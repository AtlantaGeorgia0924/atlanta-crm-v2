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Debtors Summary" sheetId="2" r:id="rId6"/>
    <sheet state="visible" name="CLIENT DIRECTORY" sheetId="3" r:id="rId7"/>
    <sheet state="visible" name="CASH FLOW" sheetId="4" r:id="rId8"/>
    <sheet state="visible" name="BACKUP_BILLING_SERVICES" sheetId="5" r:id="rId9"/>
    <sheet state="visible" name="BACKUP_STOCK_PRODUCTS" sheetId="6" r:id="rId10"/>
    <sheet state="visible" name="BACKUP_MANUAL_EXPENSES" sheetId="7" r:id="rId11"/>
    <sheet state="visible" name="BACKUP_ALLOWANCE_WITHDRAWALS" sheetId="8" r:id="rId12"/>
    <sheet state="visible" name="BACKUP_CASHFLOW_SUMMARY" sheetId="9" r:id="rId13"/>
  </sheets>
  <definedNames/>
  <calcPr/>
</workbook>
</file>

<file path=xl/sharedStrings.xml><?xml version="1.0" encoding="utf-8"?>
<sst xmlns="http://schemas.openxmlformats.org/spreadsheetml/2006/main" count="20061" uniqueCount="6372">
  <si>
    <t>in</t>
  </si>
  <si>
    <t>TIME</t>
  </si>
  <si>
    <t>DATE</t>
  </si>
  <si>
    <t>NAME</t>
  </si>
  <si>
    <t>DESCRIPTION</t>
  </si>
  <si>
    <t>IMEI</t>
  </si>
  <si>
    <t>PHONE NUMBER</t>
  </si>
  <si>
    <t>PRICE</t>
  </si>
  <si>
    <t>Amount paid</t>
  </si>
  <si>
    <t>STATUS</t>
  </si>
  <si>
    <t>IMEI FOR SWAPPED DEAL</t>
  </si>
  <si>
    <t>RECORD_ID</t>
  </si>
  <si>
    <t>DEAL LOCATION</t>
  </si>
  <si>
    <t>INTERNAL NOTE</t>
  </si>
  <si>
    <t>PAID DATE</t>
  </si>
  <si>
    <t>EXPENSE AMOUNT</t>
  </si>
  <si>
    <t>EXPENSE DESCRIPTION</t>
  </si>
  <si>
    <t>CALCULATED PROFIT</t>
  </si>
  <si>
    <t>DEMEX</t>
  </si>
  <si>
    <t>IPHONE 16 BLACK UPDATE</t>
  </si>
  <si>
    <t>2347067462101</t>
  </si>
  <si>
    <t>paid</t>
  </si>
  <si>
    <t>9dcfec929c764ae7a52bfd4caf78d6c5</t>
  </si>
  <si>
    <t>DAH UNIQUE</t>
  </si>
  <si>
    <t>GOLD IPHONE 14 PRO</t>
  </si>
  <si>
    <t>2349070536253</t>
  </si>
  <si>
    <t>PAID</t>
  </si>
  <si>
    <t>e1e76866b2b44537a367a48baed4cbb7</t>
  </si>
  <si>
    <t>HUNTER LIFE</t>
  </si>
  <si>
    <t>SWAPPED IPHONE 13 TO 11 PRO SILVER</t>
  </si>
  <si>
    <t>252820e05f6641b4aec1103a18424f72</t>
  </si>
  <si>
    <t>RICKY</t>
  </si>
  <si>
    <t>IPHONE 16 PRO GOLD 100% SWAPPED WITH IPHONE 15 PRO 512GB</t>
  </si>
  <si>
    <t>13b8f92dda7b4ff7825daa1e2676f734</t>
  </si>
  <si>
    <t>OSES</t>
  </si>
  <si>
    <t>IPHONE 14 PLUS UPDATE MIDNIGHT COLOR</t>
  </si>
  <si>
    <t>c2a8339184ce430f975db6123c51a7fb</t>
  </si>
  <si>
    <t>KEMI FROM SEUN</t>
  </si>
  <si>
    <t xml:space="preserve">IPHONE 15 PRO MAX 512GB TO IPHONE </t>
  </si>
  <si>
    <t>3debc2aabaa842ce9d440b9b84980f2d</t>
  </si>
  <si>
    <t>IBIRONKE FAVOUR</t>
  </si>
  <si>
    <t>APPLE ID CREATE &amp; SIGN IN</t>
  </si>
  <si>
    <t>ad63bb932f7e47abb64bae4d1546a4d8</t>
  </si>
  <si>
    <t>CLINTON GADGET</t>
  </si>
  <si>
    <t>IPHONE 16 256GB 354178509660284</t>
  </si>
  <si>
    <t>ff964ae5a2f2444187915c0d21934773</t>
  </si>
  <si>
    <t>NURUDEEN</t>
  </si>
  <si>
    <t>CHIP FOR IPHONE 12 PRO PACIFIC BLUE</t>
  </si>
  <si>
    <t>09122727950</t>
  </si>
  <si>
    <t>fb2d541894b74a0a9fcffa10378d8580</t>
  </si>
  <si>
    <t>WIZZY</t>
  </si>
  <si>
    <t>NATURAL TITANIUM IPHONE 15 PRO MAX IOS UPDATE</t>
  </si>
  <si>
    <t>2348108686713</t>
  </si>
  <si>
    <t>38425b848c1e4f8195ec6df4938be5ca</t>
  </si>
  <si>
    <t>ZEE TECH</t>
  </si>
  <si>
    <t xml:space="preserve">IPHONE 13 IOS UPDATE </t>
  </si>
  <si>
    <t>2349033724061</t>
  </si>
  <si>
    <t>7f9250f3a89542a69db22bdb2807f36b</t>
  </si>
  <si>
    <t>IPHONE 13 PRO MAX IOS UPDATE</t>
  </si>
  <si>
    <t>c8dc8dfa28c343c484a7f2ba7fbf5b3f</t>
  </si>
  <si>
    <t>TUNDE BABZ</t>
  </si>
  <si>
    <t>CHIP FIX</t>
  </si>
  <si>
    <t>2348130793960</t>
  </si>
  <si>
    <t>8d69b845461f43ccad08fac46ac2348c</t>
  </si>
  <si>
    <t>KAYWISE</t>
  </si>
  <si>
    <t>IPHONE 15 PRO MAX P + E 512GB</t>
  </si>
  <si>
    <t>2349032614464</t>
  </si>
  <si>
    <t>81a4d573dc4a4afeab545d034c19ae52</t>
  </si>
  <si>
    <t>IAMFODIL</t>
  </si>
  <si>
    <t>1957f2a4eeea493ea424761b0b10eb60</t>
  </si>
  <si>
    <t>DON</t>
  </si>
  <si>
    <t>IMESSAGE FIX</t>
  </si>
  <si>
    <t>2348137676322</t>
  </si>
  <si>
    <t>61b620789dbe4227a38d21fd9329b837</t>
  </si>
  <si>
    <t>TECH JAR</t>
  </si>
  <si>
    <t>GREEN IPHONE 11 FLASH</t>
  </si>
  <si>
    <t>2347047512596</t>
  </si>
  <si>
    <t>65b3dd616fef46bab83f7647525708c3</t>
  </si>
  <si>
    <t>DAPPER</t>
  </si>
  <si>
    <t>BLACK IPHONE 15 UPDATE</t>
  </si>
  <si>
    <t>2349166394378</t>
  </si>
  <si>
    <t>3ec23fa2218f4c98b42e52e295adcada</t>
  </si>
  <si>
    <t>IPHONE 12 PRO UPDATE</t>
  </si>
  <si>
    <t>4676473684ca4ecd9d5345b5515d9aa0</t>
  </si>
  <si>
    <t>NUMBER TELLOS</t>
  </si>
  <si>
    <t>NEW JERSEY USA NUMBER AND ULTRAMOBILE NUMBER REFILL</t>
  </si>
  <si>
    <t>2348066173750</t>
  </si>
  <si>
    <t>PAID 90K OUT OF 180K</t>
  </si>
  <si>
    <t>6d92fa4e661549589e511ea2c1109f42</t>
  </si>
  <si>
    <t>DAMBOX</t>
  </si>
  <si>
    <t>GOLD IPHONE 11 PRO MAX IOS UPDATE</t>
  </si>
  <si>
    <t>09040943517</t>
  </si>
  <si>
    <t>08b7c305cd444e0fb756a6a1b4fed2c7</t>
  </si>
  <si>
    <t>CH4</t>
  </si>
  <si>
    <t>OUTSTANDING</t>
  </si>
  <si>
    <t>2348131941406</t>
  </si>
  <si>
    <t>f396e68ad7e844268c3cd2c338cb4ec9</t>
  </si>
  <si>
    <t>VERTEX</t>
  </si>
  <si>
    <t>PINK IPHONE 15 PLUS UPDATE</t>
  </si>
  <si>
    <t>2348103663581</t>
  </si>
  <si>
    <t>4590d23eb8fa43579501fbc6bd071bd1</t>
  </si>
  <si>
    <t>MIKKY</t>
  </si>
  <si>
    <t>IPHONE 13 PRO MAX CHIP</t>
  </si>
  <si>
    <t>RETURNED</t>
  </si>
  <si>
    <t>9bbbf52992df41bca266eeb13d53ad91</t>
  </si>
  <si>
    <t>PRINZE GADGET</t>
  </si>
  <si>
    <t>IPHONE 13 UPDATE</t>
  </si>
  <si>
    <t>f902b4c8ea8c49a2bdb4466ed2b99884</t>
  </si>
  <si>
    <t>DENIS4WARD</t>
  </si>
  <si>
    <t>PS4 SLIM AND ONE GAMEPAD</t>
  </si>
  <si>
    <t>2348038551439</t>
  </si>
  <si>
    <t>c6f548765acd4277a3081301ea7558e0</t>
  </si>
  <si>
    <t>MIDE GADGET</t>
  </si>
  <si>
    <t>BLUE IPHONE 16 UPDATE</t>
  </si>
  <si>
    <t>1a175228683e4c7f83fa4ff7d78edd6c</t>
  </si>
  <si>
    <t>ZADDY ROLLAND</t>
  </si>
  <si>
    <t>TEAL 16 P+E BALANCE</t>
  </si>
  <si>
    <t>2348050554029</t>
  </si>
  <si>
    <t>PENDING</t>
  </si>
  <si>
    <t>cfb45f1f05604357b7eca2af401cc1b6</t>
  </si>
  <si>
    <t>TEAL 16 P+E UPDATE</t>
  </si>
  <si>
    <t>UNPAID</t>
  </si>
  <si>
    <t>08f797e6e883406aafbd18de33d0fe07</t>
  </si>
  <si>
    <t>JAMEX</t>
  </si>
  <si>
    <t>OUTSTANDING BALANCE</t>
  </si>
  <si>
    <t>2347033260364</t>
  </si>
  <si>
    <t>19d21d47029d41d0af0fc380928ba2cb</t>
  </si>
  <si>
    <t>AYANFE</t>
  </si>
  <si>
    <t>APPLE ID RECOVERY</t>
  </si>
  <si>
    <t>2348138108648</t>
  </si>
  <si>
    <t>ee70de5352b248dda16ed018caac6dab</t>
  </si>
  <si>
    <t>ILESHA DRIVER</t>
  </si>
  <si>
    <t>1e7c1962321a484b82cda53c4bbc338e</t>
  </si>
  <si>
    <t>PRINZE GADGETS</t>
  </si>
  <si>
    <t>MIDNIGET LOCKED 14 PLUS. 81%</t>
  </si>
  <si>
    <t>356295374969208</t>
  </si>
  <si>
    <t>2348073229131</t>
  </si>
  <si>
    <t>523b7a62015f4f16aaa6fdcfe135e889</t>
  </si>
  <si>
    <t>GAS FILL</t>
  </si>
  <si>
    <t>69bdbb71ddb34659b3c51ffc3f27914b</t>
  </si>
  <si>
    <t>..</t>
  </si>
  <si>
    <t>259c651fb2fc45bea1649447a37d344c</t>
  </si>
  <si>
    <t>NATURAL TITANIUM 15 PRO UPDATE</t>
  </si>
  <si>
    <t>3a3ee298459f443e97ad50509eb0e3dd</t>
  </si>
  <si>
    <t>ORANGE IPHONE 17 PRO IOS UPDATE</t>
  </si>
  <si>
    <t>860f6063e1f64ed69181fea34c1331b6</t>
  </si>
  <si>
    <t>ULTRAMARINE IPHONE 16 PLUS UPDATE</t>
  </si>
  <si>
    <t>b263752956ea49d493083d288125523d</t>
  </si>
  <si>
    <t>PANKEY</t>
  </si>
  <si>
    <t>WHITE IPHONE 15 FIX BATTERY FLASH</t>
  </si>
  <si>
    <t>1cbe6952e28545e786673dbdbb797adf</t>
  </si>
  <si>
    <t>THANKGOD</t>
  </si>
  <si>
    <t>IPHONE 16 ROUGH BODY SWAPPED WITH IPHONE 15 PTO MAX LOCKED NATURAL TITANIUM</t>
  </si>
  <si>
    <t>bf9eb880a87d40c59d132b0de1fa1c21</t>
  </si>
  <si>
    <t>JAYJOSH</t>
  </si>
  <si>
    <t>CHIP FIX IPHONE 13</t>
  </si>
  <si>
    <t>1fb7ef6836d24151a7f090a42d18e786</t>
  </si>
  <si>
    <t>BIGGIE - MELTRONICS</t>
  </si>
  <si>
    <t>HP PAVILION 1TB HDD</t>
  </si>
  <si>
    <t>303affb6d32d4981b8b8fedc73b99291</t>
  </si>
  <si>
    <t>EMPEROR CORPER</t>
  </si>
  <si>
    <t>SUPERBIKE MAN DISPATCH TO ENGINEER ISAAC</t>
  </si>
  <si>
    <t>659a57f80bc94538946b864ec33870e7</t>
  </si>
  <si>
    <t>OLLY</t>
  </si>
  <si>
    <t>ESIM 1 MONTH</t>
  </si>
  <si>
    <t>b1f5c60eb3504112b40d0c61a6075916</t>
  </si>
  <si>
    <t>CONVOCATION DRINK</t>
  </si>
  <si>
    <t>11f19a7f43ff44c189d963304bd3b32c</t>
  </si>
  <si>
    <t>b5279189300d42909bff74710f3f263a</t>
  </si>
  <si>
    <t>99aa324644f94ceea7045ff30a389a90</t>
  </si>
  <si>
    <t>MOBILETRENDS</t>
  </si>
  <si>
    <t>IPHONE 11 APPLE ID INACTIVE FIX</t>
  </si>
  <si>
    <t>77b5d09c077f4d6bb71031d0575f0baa</t>
  </si>
  <si>
    <t>BARRY</t>
  </si>
  <si>
    <t>PURPLE 14 PRO MAX IOS UPDATE TO 26.3</t>
  </si>
  <si>
    <t>2347031524935</t>
  </si>
  <si>
    <t>cb1db8e857d84f30a5621e87a66cf2fd</t>
  </si>
  <si>
    <t>BLACK 15 PRO IOS UPDATE TO IOS 26.3</t>
  </si>
  <si>
    <t>011c609d98814386ad639710a2987b95</t>
  </si>
  <si>
    <t>BLACK 16 PLUS IOS UPDATE</t>
  </si>
  <si>
    <t>7f9d7500f604451d8bb942ea99fdbd24</t>
  </si>
  <si>
    <t>NIGERIA APPLE ID</t>
  </si>
  <si>
    <t>28546211501b4ccd86b71da450e83548</t>
  </si>
  <si>
    <t>IBRAHIM GADGS</t>
  </si>
  <si>
    <t>HP ELITEBOOK 1030G2 16GB + 256GB SSD</t>
  </si>
  <si>
    <t>23c2b2928df544d29c8108a50e93ab07</t>
  </si>
  <si>
    <t>PHILIPS OLUWAFEMI</t>
  </si>
  <si>
    <t>LOCATION ON IPHONE AIR IOS 26</t>
  </si>
  <si>
    <t>d7f133b8cd1e4dd1ad64d817b1d16d34</t>
  </si>
  <si>
    <t>RAYMOND FLASH</t>
  </si>
  <si>
    <t>IPHONE 15 PRO BLUE TITANIUM P + E 87%</t>
  </si>
  <si>
    <t>307d09a37adb4a178a0f674eafd48d11</t>
  </si>
  <si>
    <t>JENNIFER</t>
  </si>
  <si>
    <t>IPHOPNE 16 E BLACK 354741550229463</t>
  </si>
  <si>
    <t>d23616dfdf79461f8541f9ead5c0ce85</t>
  </si>
  <si>
    <t>...</t>
  </si>
  <si>
    <t>b6692a162ae94d16960dfcdd3c59e242</t>
  </si>
  <si>
    <t>82ff85b965ef4000b65f89e3d3a96c2a</t>
  </si>
  <si>
    <t>BAYESH</t>
  </si>
  <si>
    <t>GOLD IPHONE XS IOS UPDATE</t>
  </si>
  <si>
    <t>2348136276066</t>
  </si>
  <si>
    <t>97b672e02eca43ca8ee818a9261eea9e</t>
  </si>
  <si>
    <t>FEMZ GADGET</t>
  </si>
  <si>
    <t>IPHONE 12 128GB WHITE 359035292273391 91%</t>
  </si>
  <si>
    <t>20810a056f264a6d8dad7b02782070fb</t>
  </si>
  <si>
    <t>FM LORD</t>
  </si>
  <si>
    <t>NIGERIA APPLE ID CREATE</t>
  </si>
  <si>
    <t>8b827bfe21c94d37b87a9c19e6cd1540</t>
  </si>
  <si>
    <t xml:space="preserve"> FORMULA</t>
  </si>
  <si>
    <t>BLUE  IPHONE 13 IOS UPDATE</t>
  </si>
  <si>
    <t>2347067612418</t>
  </si>
  <si>
    <t>ccedac4140b9443684d14cf83f03a2ec</t>
  </si>
  <si>
    <t>FOLAKEMI</t>
  </si>
  <si>
    <t>PURPLE IPHONE 14 PRO MAX IOS UPDATE</t>
  </si>
  <si>
    <t>2349075624207</t>
  </si>
  <si>
    <t>f47836ca49134dfd903ed1d3f420dbaa</t>
  </si>
  <si>
    <t>BIMKEM</t>
  </si>
  <si>
    <t xml:space="preserve">IPHONE 13 128GB 100% </t>
  </si>
  <si>
    <t>95319025ec8b4cd5a83f755bde556535</t>
  </si>
  <si>
    <t xml:space="preserve"> IPHONE 16 TEAL</t>
  </si>
  <si>
    <t>c2c427764c2a4778990c3b8c76c360b8</t>
  </si>
  <si>
    <t>ANOINTED WEALTH</t>
  </si>
  <si>
    <t>IPHONE 15 UPDATE</t>
  </si>
  <si>
    <t>2348137226383</t>
  </si>
  <si>
    <t>85e27ef19a9f4982952a54eaf24ca700</t>
  </si>
  <si>
    <t>IPHONE 16 PRO MAX UPDATE</t>
  </si>
  <si>
    <t>9da89966b8024927962ca916a386bf9c</t>
  </si>
  <si>
    <t>POPOOLA MATTHEW</t>
  </si>
  <si>
    <t>2 LOCATION CHANGE FOR IOS 18+</t>
  </si>
  <si>
    <t>a38eafede69a423e9af8336b7c02c409</t>
  </si>
  <si>
    <t>GOLD GADGET</t>
  </si>
  <si>
    <t>IPHONE 12 LOCATION CHANGE</t>
  </si>
  <si>
    <t>da4ee50a72ba4777942c220a4b94198e</t>
  </si>
  <si>
    <t>OLAFISOYE OLUWATOSIN</t>
  </si>
  <si>
    <t>CHIP FOR PURPLE IPHONE 11</t>
  </si>
  <si>
    <t>9d987e002bde459998b1af78298c570e</t>
  </si>
  <si>
    <t>STAR BUSSY</t>
  </si>
  <si>
    <t>2348127738411</t>
  </si>
  <si>
    <t>d665cc1e0b7e4679a421a4aad3e680f0</t>
  </si>
  <si>
    <t>GADGET AND EXCHANGE</t>
  </si>
  <si>
    <t>BLACK IPHONE 11 IOS BYPASS</t>
  </si>
  <si>
    <t>287e9de21e9d44c7a77fb9560c846a87</t>
  </si>
  <si>
    <t>HOLLAH</t>
  </si>
  <si>
    <t>IPHONE AIR IOS UPDATE BLACK</t>
  </si>
  <si>
    <t>dc95f285f2f948e28865082ab931b555</t>
  </si>
  <si>
    <t>THANKGOD CUSTOMER</t>
  </si>
  <si>
    <t>S24 ULTRA OS UPDATE</t>
  </si>
  <si>
    <t>44dab883c86b4c6e9a43d997109a6667</t>
  </si>
  <si>
    <t>CUSTOMER</t>
  </si>
  <si>
    <t>PERMANENT CHIP FOR IPHONE 13</t>
  </si>
  <si>
    <t>2341234567890</t>
  </si>
  <si>
    <t>c1036001dc9c4dd9b5cc2af6253b4012</t>
  </si>
  <si>
    <t>SKY BLUE IPHONE 15 IOS UPDATE</t>
  </si>
  <si>
    <t>af82da8a2df94a09a187baf4c5d98699</t>
  </si>
  <si>
    <t>OZ GADGET</t>
  </si>
  <si>
    <t>SCREEN TIME PASSWORD REMOVAL</t>
  </si>
  <si>
    <t>2348106293924</t>
  </si>
  <si>
    <t>d6c383b4b3b044749c7d5c541d20ed91</t>
  </si>
  <si>
    <t>TOBI DAVID</t>
  </si>
  <si>
    <t>11 PRO MAX CHIP</t>
  </si>
  <si>
    <t>b493d019bdab44d99219bbfe48f534aa</t>
  </si>
  <si>
    <t>2bae46277e624bb497f4ea485378b54e</t>
  </si>
  <si>
    <t>8034b9cfc29146a7b02f995313a82b96</t>
  </si>
  <si>
    <t>IPHONE AIR IOS UPDATE</t>
  </si>
  <si>
    <t>c694551436c641b2905b330e7ffde5d9</t>
  </si>
  <si>
    <t>BLACK 14 PRO MAX IOS UPDATE</t>
  </si>
  <si>
    <t>4d85b5525de34cb0b3cd164ba76d018f</t>
  </si>
  <si>
    <t>LIZZIE TECHBOX</t>
  </si>
  <si>
    <t>APPLE ID PASSWORD RECOVERY</t>
  </si>
  <si>
    <t>52e1028a443d421a8f616965d43f7198</t>
  </si>
  <si>
    <t>IPHONE 16 PRO BLACK 352657194592433 95%</t>
  </si>
  <si>
    <t>c4718bc3cc4d40d7b902fb22cc4140c1</t>
  </si>
  <si>
    <t>PABLO</t>
  </si>
  <si>
    <t>GOLD IPHONE 16 PRO MAX IOS UPDATE</t>
  </si>
  <si>
    <t>3708bbba431146d7a8ce439730664e4d</t>
  </si>
  <si>
    <t>CHIP ONLY FOR IPHONE 16 PRO MAX WITHOUT ESIM</t>
  </si>
  <si>
    <t>ebf56a10fdf24b9f86c1b7f2d24127e4</t>
  </si>
  <si>
    <t>SILVER IPHONE 17 PRO MAX IOS UPDATE</t>
  </si>
  <si>
    <t>84b08607f0144d3d9159c52f38331244</t>
  </si>
  <si>
    <t>MR AYODELE</t>
  </si>
  <si>
    <t>SAMSUNG A17 FRP FIX</t>
  </si>
  <si>
    <t>cbf8150f13c64c69bf9f24433737d50f</t>
  </si>
  <si>
    <t>TOP MAN</t>
  </si>
  <si>
    <t>IPHONE 13 WHITE IOS UPDATE</t>
  </si>
  <si>
    <t>01e26a8d2b654b60a6a3d0bfd4232177</t>
  </si>
  <si>
    <t>.</t>
  </si>
  <si>
    <t>c6bfd29e311547ecbda0a4d8f5e08821</t>
  </si>
  <si>
    <t>6bb782d201984c2999cf627a821b01fe</t>
  </si>
  <si>
    <t>CHUSTER</t>
  </si>
  <si>
    <t>761d456d208b4da796a02b920dbd55c5</t>
  </si>
  <si>
    <t>AWILO</t>
  </si>
  <si>
    <t>APPLE WATCH SERIES 9</t>
  </si>
  <si>
    <t>0d28acc2d09f4982a4e8313c2fb14917</t>
  </si>
  <si>
    <t>IPHONE 17 AIR IOS UPDATE</t>
  </si>
  <si>
    <t>d983d9aa162748069b6402ab482f72ff</t>
  </si>
  <si>
    <t>IPHONE 11 PRO PASSWORD FLASH</t>
  </si>
  <si>
    <t>5abfcab43e33484e8348fbebb46dd850</t>
  </si>
  <si>
    <t>OSAMA CUSTOMER</t>
  </si>
  <si>
    <t xml:space="preserve">NIGERIA APPLE ID CREATE </t>
  </si>
  <si>
    <t>d08f3e69b6f74269a268ddd490ebf54b</t>
  </si>
  <si>
    <t>OSAMA</t>
  </si>
  <si>
    <t>IPHONE 12 PRO SDP FLASH</t>
  </si>
  <si>
    <t>2348140672915</t>
  </si>
  <si>
    <t>c134793da67c4565aa3aeb4f41d85c6b</t>
  </si>
  <si>
    <t>3K CASH FOR DISPATCH</t>
  </si>
  <si>
    <t>94357384bea040b9861cca9151d11585</t>
  </si>
  <si>
    <t>STARBOX</t>
  </si>
  <si>
    <t>2349063620334</t>
  </si>
  <si>
    <t>40edcb7b32b04aa8b425278bbdb1eae4</t>
  </si>
  <si>
    <t>IA GADGET</t>
  </si>
  <si>
    <t>GREEN IPHONE 15 IOS UPDATE</t>
  </si>
  <si>
    <t>2347046539922</t>
  </si>
  <si>
    <t>593e7329fb6241aabcac32cf957f82e1</t>
  </si>
  <si>
    <t>BLACK IPHONE 15 IOS UPDATE</t>
  </si>
  <si>
    <t>d10271fc729a488c8157a6e8437325c6</t>
  </si>
  <si>
    <t>YUSLORD GADGET</t>
  </si>
  <si>
    <t>BLACK 16 PRO MAX IOS UPDATE</t>
  </si>
  <si>
    <t>b943380596eb48249bff8cd7c88d75b9</t>
  </si>
  <si>
    <t>531ec737d3b84d2a9c00cb9d925a22cd</t>
  </si>
  <si>
    <t>OMONLA BUGATTI</t>
  </si>
  <si>
    <t>MIDNIGHT IPHONE 13 BATTERY FLASH</t>
  </si>
  <si>
    <t>2349036489677</t>
  </si>
  <si>
    <t>37c0d73041fd4917bf494b67b43667f0</t>
  </si>
  <si>
    <t>ZEE GUY</t>
  </si>
  <si>
    <t>BLACK TITANIUM 15 PRO MAX FLASH</t>
  </si>
  <si>
    <t>2cec4531b46b489e8f070d705769805a</t>
  </si>
  <si>
    <t>FILE TRANSFER</t>
  </si>
  <si>
    <t>1b827b030c8d408bb8a0d1129af602a5</t>
  </si>
  <si>
    <t>MOSIMI</t>
  </si>
  <si>
    <t>RED  IPHONE 12 MDM BYPAS</t>
  </si>
  <si>
    <t>77323c5bb41c4b50ba0bd8d4fabb9d0b</t>
  </si>
  <si>
    <t>./</t>
  </si>
  <si>
    <t>a3e8d7b93aea445f8ff4deca7f1322f3</t>
  </si>
  <si>
    <t>d1cc9188c03c416487da81cf76e782ea</t>
  </si>
  <si>
    <t xml:space="preserve"> OMONLA BUGATTI</t>
  </si>
  <si>
    <t>GRAPHITE 12 PRO BATTERY FIX</t>
  </si>
  <si>
    <t>7770a4380b2d4519820e2113702bcc1d</t>
  </si>
  <si>
    <t>SKY BLUE 15 FIX BATTERY FLASH</t>
  </si>
  <si>
    <t>e29441e6ca074e05a971a67d4e4ae254</t>
  </si>
  <si>
    <t>TECH BOX</t>
  </si>
  <si>
    <t>IWATCH UPDATE</t>
  </si>
  <si>
    <t>2348169747697</t>
  </si>
  <si>
    <t>ddba4472d40a447c95c7a8068e9fd905</t>
  </si>
  <si>
    <t>19cbc5535e3f4399ae440e34dd82675f</t>
  </si>
  <si>
    <t>TOSIN FRO BUGATTI</t>
  </si>
  <si>
    <t xml:space="preserve">BLUE IPHONE 15 PRO MAX UPDATE </t>
  </si>
  <si>
    <t>4c466f6f742b4166af6af1c145d78ef3</t>
  </si>
  <si>
    <t>609453ec545a4c0ab400937297f6c229</t>
  </si>
  <si>
    <t>DESERT TITANIUM IPHONE 16 PRO MAX UPDATE</t>
  </si>
  <si>
    <t>9708ae6ef84b4eed804dfc4203ae4ea4</t>
  </si>
  <si>
    <t xml:space="preserve"> IPHONE 12 FIX BATTERY FIX </t>
  </si>
  <si>
    <t>8239bdaf880f455b944be61abd0bb6ed</t>
  </si>
  <si>
    <t>cdea63fd3b37419e8f81a2b824d0ba43</t>
  </si>
  <si>
    <t>48a9302452254f41abe0a50a714f9e19</t>
  </si>
  <si>
    <t>IPHONE 16 PRO MAX GOLD SDP FLASH</t>
  </si>
  <si>
    <t>74d0e8569baa444f97e24380d84ca8ce</t>
  </si>
  <si>
    <t>IPHONE 16 IOS UPDATE</t>
  </si>
  <si>
    <t>b196e8742cf642548af68a6d9cadf621</t>
  </si>
  <si>
    <t>SEYIFUNMI</t>
  </si>
  <si>
    <t>BLUE IPHONE 13 IOS UPDATE</t>
  </si>
  <si>
    <t>2347065500068</t>
  </si>
  <si>
    <t>83993ccf51754c869f2e0a90493ca356</t>
  </si>
  <si>
    <t>ORANGE I7 PRO MAX UPDATE</t>
  </si>
  <si>
    <t>8ee3a7379e4141a595e636eee6ff1389</t>
  </si>
  <si>
    <t>HORJOR</t>
  </si>
  <si>
    <t>IPHONE 13 PRO MAX UPDATE</t>
  </si>
  <si>
    <t>2347075152460</t>
  </si>
  <si>
    <t>dff4c4d6c4074c67bd6c9231001938a0</t>
  </si>
  <si>
    <t>YUSLORD</t>
  </si>
  <si>
    <t xml:space="preserve"> BLUE IPHONE 13 UPDATE</t>
  </si>
  <si>
    <t>2348022551794</t>
  </si>
  <si>
    <t>d96b77db07904ae68bbfce5a741a50e5</t>
  </si>
  <si>
    <t>ACTIVE GADGET</t>
  </si>
  <si>
    <t>IPHONE 14 PRO MAX 128GB ESIM UNLOCKED</t>
  </si>
  <si>
    <t>359702375154869</t>
  </si>
  <si>
    <t>25a4f503e9204c36bbc3e9c064a75cd1</t>
  </si>
  <si>
    <t>MR UK</t>
  </si>
  <si>
    <t>IPHONE 15 PRO NATURAL TITANIUM 128GB</t>
  </si>
  <si>
    <t>354321296051388</t>
  </si>
  <si>
    <t>6ef4baf62ed3483c85d1b59f5f675a6c</t>
  </si>
  <si>
    <t>BALANCE ON FILE TRANSFER</t>
  </si>
  <si>
    <t>5ffb6fdb89314f7a9d3412a2cd85c56d</t>
  </si>
  <si>
    <t>&gt;</t>
  </si>
  <si>
    <t>adca13c41a854293a7ce584b39d45935</t>
  </si>
  <si>
    <t>0d6bc582c9d54e2ab8092df2760bb5ad</t>
  </si>
  <si>
    <t>0f18c4eda0764586869910ece3d5e532</t>
  </si>
  <si>
    <t>FILMS JESSE</t>
  </si>
  <si>
    <t>IPHONE 12 PRO MAX IOS UPDATE</t>
  </si>
  <si>
    <t>2348145094483</t>
  </si>
  <si>
    <t>b5e0de1aabec40d78db099cfd7679028</t>
  </si>
  <si>
    <t xml:space="preserve"> DON</t>
  </si>
  <si>
    <t xml:space="preserve"> DEEP BLUE IPHONE 17 PRO MAX</t>
  </si>
  <si>
    <t>177a93ba9208476ca63e1229f2182423</t>
  </si>
  <si>
    <t>IPHONE 15 PRO 512GB 90%</t>
  </si>
  <si>
    <t>353431651842023</t>
  </si>
  <si>
    <t>4cba43897c4e44b1b84ea5744886084b</t>
  </si>
  <si>
    <t>070f25c8995445b493b8d2be3d673416</t>
  </si>
  <si>
    <t>5X5</t>
  </si>
  <si>
    <t>IPNONE 7 FLASH</t>
  </si>
  <si>
    <t>557b3170f33340cbac184c9126dafcfd</t>
  </si>
  <si>
    <t>IPRO GADGET</t>
  </si>
  <si>
    <t xml:space="preserve">BLUE IPHONE 13 IOS </t>
  </si>
  <si>
    <t>2348109344663</t>
  </si>
  <si>
    <t>3ac16e6f706d4a428f52336d6f7dfe1d</t>
  </si>
  <si>
    <t>PHLEMZY</t>
  </si>
  <si>
    <t xml:space="preserve">IPHONE 14 IOS UPDATE </t>
  </si>
  <si>
    <t>2349065642565</t>
  </si>
  <si>
    <t>3ef0bc339a344812afbc58049852c3c5</t>
  </si>
  <si>
    <t>TEE BEST GADGET</t>
  </si>
  <si>
    <t>IPHONE 13 BLUE 88% 128GB</t>
  </si>
  <si>
    <t>350183987500121</t>
  </si>
  <si>
    <t>2348037624066</t>
  </si>
  <si>
    <t>f8a58840bb05426d901751ce04d3f4c4</t>
  </si>
  <si>
    <t>EMMEX</t>
  </si>
  <si>
    <t>IPHONE 11 PRO</t>
  </si>
  <si>
    <t>353247108602988</t>
  </si>
  <si>
    <t>2349065944787</t>
  </si>
  <si>
    <t>f7e8a44bc0c7498889e8d507770a717a</t>
  </si>
  <si>
    <t>GNF</t>
  </si>
  <si>
    <t>IPHONE 14 PRO PURPLE 128GB 90%</t>
  </si>
  <si>
    <t>350923383300943</t>
  </si>
  <si>
    <t>2348160373526</t>
  </si>
  <si>
    <t>8f3d675197624d9981328efec892084b</t>
  </si>
  <si>
    <t>c15377f3bf8e4c1ebef9920e02912d5e</t>
  </si>
  <si>
    <t>HOLLAH GADGET</t>
  </si>
  <si>
    <t>BLUE IPHONE 14 UPDATE</t>
  </si>
  <si>
    <t>07041440724</t>
  </si>
  <si>
    <t>4cc654e9554846fdbde53a56023abfff</t>
  </si>
  <si>
    <t>ULTRAMARINE IPHONE 16 PLUS P + E 100%</t>
  </si>
  <si>
    <t>352373266174783</t>
  </si>
  <si>
    <t>a0d8772db6594e7ead368531e80763a4</t>
  </si>
  <si>
    <t>IPHONE 17 PRO IOS UPDATE. BLUE</t>
  </si>
  <si>
    <t>173a19ca399a4e2c98841c623f480251</t>
  </si>
  <si>
    <t>I'M KENNY LEESKY</t>
  </si>
  <si>
    <t>PS4 SLIM</t>
  </si>
  <si>
    <t>4a9d82f714bc46268753218e65c1dbf7</t>
  </si>
  <si>
    <t>OG LEKUTE</t>
  </si>
  <si>
    <t>APPLE ID CREATION. NIGERIA APPLE ID</t>
  </si>
  <si>
    <t>92103b8a66c441e387e16ac37c1477eb</t>
  </si>
  <si>
    <t>IPHONE 15 PRO MAX LOCKED. WHITE TITANIUM 86%</t>
  </si>
  <si>
    <t>351071524715196</t>
  </si>
  <si>
    <t>5d93292a9245443380348297405a86a3</t>
  </si>
  <si>
    <t>FORMULA</t>
  </si>
  <si>
    <t>BLACK IPHONE 15</t>
  </si>
  <si>
    <t>8657f1d1c6ac49fe89f480498173e9b9</t>
  </si>
  <si>
    <t>CH4 REP</t>
  </si>
  <si>
    <t>WHITE IPHONE 15 PRO MAX</t>
  </si>
  <si>
    <t>2348109659193</t>
  </si>
  <si>
    <t>6c097e24a9c1460d86e43c06bb191e4b</t>
  </si>
  <si>
    <t>a42c32f4cfab4f12907532f241f37f26</t>
  </si>
  <si>
    <t>1d432e2a9af340739159146ae39c4f91</t>
  </si>
  <si>
    <t>IPHONE 14 PRO IOS UPDATE. BLACK</t>
  </si>
  <si>
    <t>eb0d915d4b774f7686f3ee4b95f84d70</t>
  </si>
  <si>
    <t>d6f4542f5ebb4fb6ae3f0bd14803ab3c</t>
  </si>
  <si>
    <t>APPLE ID INACTIVE 15PM</t>
  </si>
  <si>
    <t>ONE MONTH ESIM ACTIVATE</t>
  </si>
  <si>
    <t>0e1596281bd54418aebe0e227dd987cb</t>
  </si>
  <si>
    <t>IPHONE 16 PRO UPDATE. BLACK</t>
  </si>
  <si>
    <t>277ce593f749486f9dd966a140674b3e</t>
  </si>
  <si>
    <t>LYDIA ADEDOJA</t>
  </si>
  <si>
    <t>4f8b43384a5d4145ac87b7a6d31afac2</t>
  </si>
  <si>
    <t>AB 16 PRO MAX BYPASS</t>
  </si>
  <si>
    <t>IPHONE 16 PRO MAX BYPASS</t>
  </si>
  <si>
    <t>d0cf24794f0441d082ef218cb56747ab</t>
  </si>
  <si>
    <t>DREY</t>
  </si>
  <si>
    <t>IPHONE 13 PRO MAX. SIERRA BLUE IOS UPDATE</t>
  </si>
  <si>
    <t>2349135770042</t>
  </si>
  <si>
    <t>aa5131b1b5534b91a16fe2cdd3b536e2</t>
  </si>
  <si>
    <t>b420560d080e49b6b7712b83e5e285f1</t>
  </si>
  <si>
    <t>e55fe52c817a477f9783c58275522c01</t>
  </si>
  <si>
    <t xml:space="preserve"> PHLEMZY</t>
  </si>
  <si>
    <t xml:space="preserve">SPACE GRAY IPHONE 11 PRO </t>
  </si>
  <si>
    <t>d18cbcec30f14cd98386de4dbb7c0152</t>
  </si>
  <si>
    <t>MZEE</t>
  </si>
  <si>
    <t>MIDNIGHT IPHONE 13 UPDATE</t>
  </si>
  <si>
    <t>2349038935833</t>
  </si>
  <si>
    <t>93407247ffdb4034b57f6fcb5ddc35b0</t>
  </si>
  <si>
    <t xml:space="preserve">ULTRAMARINE IPHONE 16 PLUS </t>
  </si>
  <si>
    <t>0e2cc48e5410462890f49c10a311a22e</t>
  </si>
  <si>
    <t>IPHONE 16 PLUS. LOCKED. BLACK. 100%</t>
  </si>
  <si>
    <t>358915828246758</t>
  </si>
  <si>
    <t>PART PAYMENT</t>
  </si>
  <si>
    <t>b34fb2a84cd64cbaba12622d7e871e79</t>
  </si>
  <si>
    <t>APPLE ID SIGN IN FIX</t>
  </si>
  <si>
    <t>b6c6ea08de7b4f90b1c90aba6484ca8c</t>
  </si>
  <si>
    <t>PANKYGEE</t>
  </si>
  <si>
    <t>2347052247397</t>
  </si>
  <si>
    <t>2728cf38c1804c04b8c668ba1da1f104</t>
  </si>
  <si>
    <t>EASY AUTOS</t>
  </si>
  <si>
    <t>ORANGE IPHONE 17 PRO MAX IOS UPDATE</t>
  </si>
  <si>
    <t>868718145082416ba8bd3198b1ca23b7</t>
  </si>
  <si>
    <t xml:space="preserve">BALANCE ON SPACE GRAY IPHONE 11 PRO </t>
  </si>
  <si>
    <t>67dc4cec2937408191cb15775b8acdab</t>
  </si>
  <si>
    <t>RED IPHONE 13 FIX BATTERY FLASH</t>
  </si>
  <si>
    <t>186403fd776e4ebd9ddf274e0f0955b9</t>
  </si>
  <si>
    <t>PELUMI</t>
  </si>
  <si>
    <t>6S PLUS FLASH</t>
  </si>
  <si>
    <t>993f3ed8397c46368cc971df23166fcd</t>
  </si>
  <si>
    <t>BLACK IPHONE 15 PLUS IOS UPDATE PHYSICAL + ESIM</t>
  </si>
  <si>
    <t>8e335227229a4a21881e8866758ae602</t>
  </si>
  <si>
    <t>PHINIXEGADGET</t>
  </si>
  <si>
    <t>IPHONE AIR</t>
  </si>
  <si>
    <t>358302111565956</t>
  </si>
  <si>
    <t>37fd8fbf87c74805b55081060fa79cb2</t>
  </si>
  <si>
    <t>MTN ESIM QR CODE</t>
  </si>
  <si>
    <t>ac2915e0e8384f0d88fd49bf5d9768e3</t>
  </si>
  <si>
    <t>STARBUSSY</t>
  </si>
  <si>
    <t>13d8bfe58f9440b7b3ca56d8dd551a27</t>
  </si>
  <si>
    <t>....</t>
  </si>
  <si>
    <t>7b586b8f14e549f29b42abccbfac0857</t>
  </si>
  <si>
    <t>39392cd47e6b487780d4e673b2a3d679</t>
  </si>
  <si>
    <t>08b7185bba024011bc524240857b982f</t>
  </si>
  <si>
    <t>36691988f6fa4fefb1a615d580e13cfe</t>
  </si>
  <si>
    <t>ARMY MIGHTY</t>
  </si>
  <si>
    <t xml:space="preserve">SILVER WIFI ONLY IPAD 11TH GEN 128GB </t>
  </si>
  <si>
    <t>K4VQT576LH</t>
  </si>
  <si>
    <t>af66603dfe2f492d9fcfaa115e38ab94</t>
  </si>
  <si>
    <t xml:space="preserve">NEW. IPHONE 17 PRO MAX LOCKED SILVER </t>
  </si>
  <si>
    <t>44760954d7514697b3a50a6f23aa081a</t>
  </si>
  <si>
    <t>BLACK IPHONE XR IOS UPDATE</t>
  </si>
  <si>
    <t>93d664a09be444f186cef0c219d22d7c</t>
  </si>
  <si>
    <t>IPHONE 14 PLUS. MIDNIGHT. 81%</t>
  </si>
  <si>
    <t>a20bedd3625042beae3263a14c07166c</t>
  </si>
  <si>
    <t>BLACK 14 PRO MAX 1TB</t>
  </si>
  <si>
    <t xml:space="preserve"> 359702372508430</t>
  </si>
  <si>
    <t>b4836b72488b45a1a1e9455d13a77f26</t>
  </si>
  <si>
    <t xml:space="preserve"> GRAPHITE IPHONE 14 PRO UPDATE</t>
  </si>
  <si>
    <t>6fd0b3786ff040348d7794748351b9a9</t>
  </si>
  <si>
    <t>STARLIGHT IPHONE 13 IOS UPDATE</t>
  </si>
  <si>
    <t>6c772f6eb8d04ec0ab7ad2ef19446a10</t>
  </si>
  <si>
    <t>CSGV GADGET</t>
  </si>
  <si>
    <t>d0a81db3ccff4490bfb9b7d602194a3c</t>
  </si>
  <si>
    <t>7f750bd13f6e4a7fb99b31ff5d20de39</t>
  </si>
  <si>
    <t>abe49c34edf9418aa6ff27b00b9d2883</t>
  </si>
  <si>
    <t>f410923e886e48eda8481b4597e1986b</t>
  </si>
  <si>
    <t>TONYTREND</t>
  </si>
  <si>
    <t>DEEP PURPLE IPHONE 14 PRO UPDATE</t>
  </si>
  <si>
    <t>b35539e3deb249a98fee41468473d72c</t>
  </si>
  <si>
    <t>CHIP UNLOCK FOR IPHONE 13</t>
  </si>
  <si>
    <t>98212683134e46daac2a980870fd5649</t>
  </si>
  <si>
    <t>IPHONE 11 SDP FLASH</t>
  </si>
  <si>
    <t>42d9a2fa64cb4fb8b22d6d860af2689d</t>
  </si>
  <si>
    <t>WHITE IPHONE 11 UPDATE</t>
  </si>
  <si>
    <t>d4665f0cc0c04ba59c52c6fdde67b0df</t>
  </si>
  <si>
    <t>PURPLE 12 IOS UPDATE</t>
  </si>
  <si>
    <t>23d4a6984e9647a0bc9528e74cb94dba</t>
  </si>
  <si>
    <t>GAS AND CONTROLLER</t>
  </si>
  <si>
    <t>97d0776d04704839b2b6b00e3ead938c</t>
  </si>
  <si>
    <t>fc8b0201bb784cb585e916eb0d09d5a3</t>
  </si>
  <si>
    <t>3516d5f2a1ac41af8f1a69ed081db0ff</t>
  </si>
  <si>
    <t xml:space="preserve">SAMSUNG A71 FLASHING </t>
  </si>
  <si>
    <t>9f457150d459401aab97f66d65c027e6</t>
  </si>
  <si>
    <t>IPHONE 13 BATTERY FIX</t>
  </si>
  <si>
    <t>fd7fda7ada594e93a71baa9029f3c6f0</t>
  </si>
  <si>
    <t>IPHONE XS MAX 64GB IBM</t>
  </si>
  <si>
    <t>96fd49474a704a3cbd7cdaab64ea9c32</t>
  </si>
  <si>
    <t>A1456306091</t>
  </si>
  <si>
    <t>bebfb43ada024bc5af30510c27e7bffd</t>
  </si>
  <si>
    <t>DEEP PURPLE IPHONE 14 PRO MAX FIX</t>
  </si>
  <si>
    <t>20af5e29d26b46198dff402e89aaed69</t>
  </si>
  <si>
    <t>GRAPHITE 12 PRO MAX IOS UPDATE</t>
  </si>
  <si>
    <t>4f7bc14449494e09b64fff7ffd08003b</t>
  </si>
  <si>
    <t>c9efeb14a2c44addb6e95e80d84416ca</t>
  </si>
  <si>
    <t>d013c280e73f404bbd27f2efc691f44f</t>
  </si>
  <si>
    <t>b0d7dada1c8d4bd3a3ca1756609374ab</t>
  </si>
  <si>
    <t>ALPINE GREEN IPHONE 13 IOS IPDATE</t>
  </si>
  <si>
    <t>469c6b0577ca4b289369c2f3b4085dbc</t>
  </si>
  <si>
    <t>SAMSUNG GALAXY FOLD 7 512GB. PHYSICAL AND ESIM</t>
  </si>
  <si>
    <t>0aa9194ffffb4608bdb0885b36d0cc2f</t>
  </si>
  <si>
    <t>BLACK IPHONE 15 PRO MAX IOS UPDATE</t>
  </si>
  <si>
    <t>625cd1dc50a8483f8303928ad3f3537d</t>
  </si>
  <si>
    <t>IPHONE 15 PRO IOS UPDATE. BLUE TITANIUM</t>
  </si>
  <si>
    <t>279a3dd4fdf243b4b24d7adbccfbe38f</t>
  </si>
  <si>
    <t>IPHONE 17 AIR IOS UPDATE. SKY BLUE</t>
  </si>
  <si>
    <t>17246c7b944948109cfe54c5920da07e</t>
  </si>
  <si>
    <t>34f64e77250a4a5fbe139fd171899e49</t>
  </si>
  <si>
    <t xml:space="preserve">2 LOCATION </t>
  </si>
  <si>
    <t>0a5738c3ebed4fb98c6d723053975723</t>
  </si>
  <si>
    <t>OLABTC</t>
  </si>
  <si>
    <t>CHIP CONFIGURATION</t>
  </si>
  <si>
    <t>2347061613141</t>
  </si>
  <si>
    <t>4abfba0414ae402d99e0fd768573011c</t>
  </si>
  <si>
    <t>ADEX GADGET</t>
  </si>
  <si>
    <t>IPHONE 15 PRO P + E. BLUE TITANIUM 87%</t>
  </si>
  <si>
    <t>24150c8ecff14b6d964bee5782298534</t>
  </si>
  <si>
    <t>3e3c9eec71864dee8421c43a09625319</t>
  </si>
  <si>
    <t>JACKSON</t>
  </si>
  <si>
    <t>IPHONE 12 PRO MAX SCREEN FIX</t>
  </si>
  <si>
    <t>7bc774c7ba1b4446bb61e036834c0144</t>
  </si>
  <si>
    <t>bcd30adae4f546e39b67227bb822825b</t>
  </si>
  <si>
    <t>012a259f57a444568e78ffc45fe5d39f</t>
  </si>
  <si>
    <t>820c413e3b974ae7a566e4114daf233e</t>
  </si>
  <si>
    <t>2 X IPHONE 17 PRO MAX UNLOCKING</t>
  </si>
  <si>
    <t>a1020ef844fe4fb88d17e3a9cb9693d2</t>
  </si>
  <si>
    <t>IPHONE 12 PRO MAX CHIP UNLOCK</t>
  </si>
  <si>
    <t>35c91a793dd0444aa9c8c5411990617b</t>
  </si>
  <si>
    <t>17 PRO MAX UPDATE</t>
  </si>
  <si>
    <t>f5442ac10218484db55bfe8363ab0e82</t>
  </si>
  <si>
    <t>IPHONE 16 PRO TMOBILE UNLOCKING</t>
  </si>
  <si>
    <t>09e485ad0e16433cb5436b3c4168d94c</t>
  </si>
  <si>
    <t>SAD BOI</t>
  </si>
  <si>
    <t xml:space="preserve">NEW IPHONE AIR SKYBLUE 256GB. </t>
  </si>
  <si>
    <t>b17740a6cef94f71b6126839bf22cd7f</t>
  </si>
  <si>
    <t>DEEP PURPLE IPHONE 14 PRO MAX UPDATE</t>
  </si>
  <si>
    <t>8beb00ae61954a6fbf7be2a38bb424ba</t>
  </si>
  <si>
    <t>MD GADGS</t>
  </si>
  <si>
    <t>WHITE TITANUIM IPHONE 16 PRO 256GB 89%</t>
  </si>
  <si>
    <t>354136651263562</t>
  </si>
  <si>
    <t>2348166860603</t>
  </si>
  <si>
    <t>b5e4d6c1a7d44e399fdb9de3e52fb86a</t>
  </si>
  <si>
    <t>OLUFAD COMMUNICATION</t>
  </si>
  <si>
    <t>NIGERIA AO\PPLE ID</t>
  </si>
  <si>
    <t>8eebfef9364746948f4eca24e5d11f85</t>
  </si>
  <si>
    <t>MOBILE TRENDS</t>
  </si>
  <si>
    <t>PINK 16 IOS UPDATE</t>
  </si>
  <si>
    <t>2348034378180</t>
  </si>
  <si>
    <t>512e57071a1e4c8ab4d3bc7640bde559</t>
  </si>
  <si>
    <t>SOBOX</t>
  </si>
  <si>
    <t>IPHONE 12 PRO MAX IOS UPDATE. GRAPHITE</t>
  </si>
  <si>
    <t>df7a102371c54a4e89992c30b88a6bfe</t>
  </si>
  <si>
    <t>IGEE</t>
  </si>
  <si>
    <t>GREEN IPHONE 15 FLASH</t>
  </si>
  <si>
    <t>2347071736488</t>
  </si>
  <si>
    <t>01bf8993d0ba4eb58f3761be8b32bdfe</t>
  </si>
  <si>
    <t>MINT CASH + CHARGES</t>
  </si>
  <si>
    <t>6d50aee21e394e39830e0e6bbc610845</t>
  </si>
  <si>
    <t>OWONIKOKO</t>
  </si>
  <si>
    <t>IPHONE 13 PRO LOCATION SPOOF</t>
  </si>
  <si>
    <t>e7379f2109c149ffaa9605363dc760c5</t>
  </si>
  <si>
    <t>IPHONE 17 AIR ELIGIBILITY CHECK</t>
  </si>
  <si>
    <t>b356d8a10cf246038e87f0845f126c49</t>
  </si>
  <si>
    <t>IPHONE 13 PINK. 91%. 128GB</t>
  </si>
  <si>
    <t>351055803413102</t>
  </si>
  <si>
    <t>35bc0db7e37c45cd9f5f569a65c42cc1</t>
  </si>
  <si>
    <t>6a9dcc813ee44381b4c7cebf86b62c74</t>
  </si>
  <si>
    <t>55ad104d93b140baa4eba605a6392b36</t>
  </si>
  <si>
    <t>7ee73298cdc04c4d84fd3edc61b64059</t>
  </si>
  <si>
    <t>DAMZIEKING</t>
  </si>
  <si>
    <t>IPHONE 13 IOS UPDATE</t>
  </si>
  <si>
    <t>f25b48e76d2b46998855b7d1bd26b679</t>
  </si>
  <si>
    <t>IPHONE 14 PRO MAX. 1 TERABYTES. 90%. BLACK</t>
  </si>
  <si>
    <t>7cb8e22d12f249fdb2c5ea9cf7d6ea00</t>
  </si>
  <si>
    <t>BLACK IPHONE 16 IOS UPDATE</t>
  </si>
  <si>
    <t>8da82739d2fd4c218ded46c8c1f019b3</t>
  </si>
  <si>
    <t>TOM CRUISE</t>
  </si>
  <si>
    <t>IPHONE 15 PRO P + E. BLACK TITANIUM 90%</t>
  </si>
  <si>
    <t>352433809356311</t>
  </si>
  <si>
    <t>9a97c67c07d641d494c5c5c6a9fe73f0</t>
  </si>
  <si>
    <t>VICTOR FCG</t>
  </si>
  <si>
    <t>353235102246621</t>
  </si>
  <si>
    <t>95982d0307e94d8ab0c76e6db6c50399</t>
  </si>
  <si>
    <t>ULTRAMARINE IPHONE 16 IOS UPDATE</t>
  </si>
  <si>
    <t>8e1dec5e39d44e82bbafec9ca5337a88</t>
  </si>
  <si>
    <t>MELTRONICS</t>
  </si>
  <si>
    <t>bd0fb8e803bc4c51a8eab484d997e43d</t>
  </si>
  <si>
    <t>ae3a8fcbd96f44d798afdc6b1883dca7</t>
  </si>
  <si>
    <t>IPHONE 16 CHIP CONFIGURATION</t>
  </si>
  <si>
    <t>8a11a44d1b0a42a3b072f7835d3aaede</t>
  </si>
  <si>
    <t>CORLDS TECH</t>
  </si>
  <si>
    <t>LIFELINE USE NAUMBER</t>
  </si>
  <si>
    <t>6bfbb8d2dc1245f0af49610811a6c938</t>
  </si>
  <si>
    <t>0d6528b467534b8ea201c91b58ed388f</t>
  </si>
  <si>
    <t>6a6f0c9fc793437f93280ecda2c49757</t>
  </si>
  <si>
    <t>8ed2553b72154cc2872c771bbc12bdfb</t>
  </si>
  <si>
    <t>MASTERY MOBILE</t>
  </si>
  <si>
    <t>IPHONE 11 PRO MAX IOS UPDATE</t>
  </si>
  <si>
    <t>2348027964718</t>
  </si>
  <si>
    <t>5b310bd75b4e4581a3cd4b24983dd9bc</t>
  </si>
  <si>
    <t>KEHINDE HOLLAH</t>
  </si>
  <si>
    <t>DESERT TITANIUM IPHONE 16 PRO P + E UPDATE</t>
  </si>
  <si>
    <t>6ce2f59135d146ad87db046393e794ab</t>
  </si>
  <si>
    <t>SAMSUNG GALAXY S21 8GB || 128GB</t>
  </si>
  <si>
    <t>350517923261142/34</t>
  </si>
  <si>
    <t>134ee9ad35aa4fe8aeaa1b95fe7f75f9</t>
  </si>
  <si>
    <t>PURPLE 11 IOS UPDATE</t>
  </si>
  <si>
    <t>b4b23fe66339441ca9b1642c52d0e330</t>
  </si>
  <si>
    <t>15 PRO MAX. 87%. NATURAL TITANIUM</t>
  </si>
  <si>
    <t>352676522059527</t>
  </si>
  <si>
    <t>675bd4a098d44dbe951273b67bbea1b7</t>
  </si>
  <si>
    <t>15 PRO MAX. 85%. NATURAL TITANIUM</t>
  </si>
  <si>
    <t>352832400580320</t>
  </si>
  <si>
    <t>42304704ff794246a3d5ac8fc99a98af</t>
  </si>
  <si>
    <t>RELIABLE CRYPTO</t>
  </si>
  <si>
    <t>MIDNIGHT 12 IOS UPDATE</t>
  </si>
  <si>
    <t>6b5c9058965e4922a2ccdfd4c3313e64</t>
  </si>
  <si>
    <t>a794da885e15495c9dd0c26279dfd5a8</t>
  </si>
  <si>
    <t>PAPPY TECH</t>
  </si>
  <si>
    <t>2349064677372</t>
  </si>
  <si>
    <t>a1d2eec563334994b0db1d4ed917b613</t>
  </si>
  <si>
    <t>ADEBAYO ADURAGBEMI</t>
  </si>
  <si>
    <t>IPHONE 14 PRO MAX LOCKED. 85%. PURPLE</t>
  </si>
  <si>
    <t>357773245354015</t>
  </si>
  <si>
    <t>88f11ac0d8cc4a24b6ef5768eac81c87</t>
  </si>
  <si>
    <t>MULLAR GADGET</t>
  </si>
  <si>
    <t>GOLD IPHONE 11 PRO 256GB. 92$</t>
  </si>
  <si>
    <t>353240103451972</t>
  </si>
  <si>
    <t>2348165523297</t>
  </si>
  <si>
    <t>5bfe44976a3a4111909a713cbfafa944</t>
  </si>
  <si>
    <t>OREZZY GADGET</t>
  </si>
  <si>
    <t>11 PRO. CHIP UNLOCKED. MIDNIGHT GREEN</t>
  </si>
  <si>
    <t>cbbb4b559bfa4f92a606af3cdcce22e1</t>
  </si>
  <si>
    <t>TECHJAR</t>
  </si>
  <si>
    <t>BLUE TITANIUM IPHONE 15 PRO 512GB</t>
  </si>
  <si>
    <t>b30aa7feb5fa4ad099236e041cf344b7</t>
  </si>
  <si>
    <t>IPHONE 17 AIR UPDATE</t>
  </si>
  <si>
    <t>d85dd16b2aa34847b70ea6a3475dbd32</t>
  </si>
  <si>
    <t>NATURAL TITANIUM IPHONE 15 PRO MAX</t>
  </si>
  <si>
    <t>fedc472ba66245bca5a8e83680907bdb</t>
  </si>
  <si>
    <t>aa0f97f600074938a49979ac6248766d</t>
  </si>
  <si>
    <t>075dfca36bb94f66b4f103ed288525f2</t>
  </si>
  <si>
    <t>3859c90eace044769d3cce29deefd9f8</t>
  </si>
  <si>
    <t>ddd4c6313af7417bad5fd064720ff2cd</t>
  </si>
  <si>
    <t>a71d1104ba454871a79993e67cb5ce11</t>
  </si>
  <si>
    <t>46c265a6bb60464288b10e8dccdc7654</t>
  </si>
  <si>
    <t>0cfb7ebfc2f844379270763822a1d6ca</t>
  </si>
  <si>
    <t>SAM</t>
  </si>
  <si>
    <t>IPHONE SE 2. BLACK. 80% BATTERY HEALTH</t>
  </si>
  <si>
    <t>356841111235385</t>
  </si>
  <si>
    <t>1102703c066e4c35b9d528897adf2a29</t>
  </si>
  <si>
    <t>FOLAKEMI BAHMS</t>
  </si>
  <si>
    <t>IPHONE 14 FIX BATTERY FLASH</t>
  </si>
  <si>
    <t>09f7a854275a4983b03d2634cf2155e2</t>
  </si>
  <si>
    <t>BLACK 14 PRO. IOS UPDATE</t>
  </si>
  <si>
    <t>ae713347b5e64d56abc0152b944824fd</t>
  </si>
  <si>
    <t>IPHONE 16 PRO MAX. DESERT TITANIUM. 95%</t>
  </si>
  <si>
    <t>354423235215700</t>
  </si>
  <si>
    <t>b625dd9813534e39868f80dd9d7d985a</t>
  </si>
  <si>
    <t>CLINTON</t>
  </si>
  <si>
    <t>IPHONE 15 PRO MAX UNLOCKED. ESIM UNLOCKED. 85%. NATURAL TITANIUM</t>
  </si>
  <si>
    <t>a01920b19845419aa21ace9b734943f9</t>
  </si>
  <si>
    <t>DESERT TITANUIM IPHONE 16 PRO MAX UPDATE</t>
  </si>
  <si>
    <t>c66461f757fb46ee881529dceb360007</t>
  </si>
  <si>
    <t>iPhone 12 Blue 128GB UPDATE</t>
  </si>
  <si>
    <t>77e7edd8d35f44f9a726a18b4ad56947</t>
  </si>
  <si>
    <t>BLUE  IPHONE 12 UPDATE</t>
  </si>
  <si>
    <t>f2539c39ed8b4d9188c6e715ef21594f</t>
  </si>
  <si>
    <t>BOLACOM</t>
  </si>
  <si>
    <t>MINDNIGHT IPHONE 14 UPDATE</t>
  </si>
  <si>
    <t>63811f0ec7664f6695cb881de877c787</t>
  </si>
  <si>
    <t>BLUE TITANIUM IPHONE 15 PRO IOS UPDATE</t>
  </si>
  <si>
    <t>a7841a49838b47708e88122f6771f65f</t>
  </si>
  <si>
    <t>RAYMOND</t>
  </si>
  <si>
    <t>P+E 14 PRO 256GB. PURPLE 91%</t>
  </si>
  <si>
    <t>2349161048040</t>
  </si>
  <si>
    <t>ff565d03bcba4da79d35e75df9b423f5</t>
  </si>
  <si>
    <t>17 PRO MAX IOS UPDATE. ORANGE</t>
  </si>
  <si>
    <t>82cb5f16f2984a7e93eefa0b033835fc</t>
  </si>
  <si>
    <t>SE 2. BLACK. 64GB</t>
  </si>
  <si>
    <t>356848113696837</t>
  </si>
  <si>
    <t>946f6d2ac2a34df88d05f4f813c019b2</t>
  </si>
  <si>
    <t>MIDNIGHT IPHONE 12 BATTERY FLASH</t>
  </si>
  <si>
    <t>bac8dc5e0abe428597e2bec2ebb83dd3</t>
  </si>
  <si>
    <t>92161c4b5bcb4e42abc93a6b6df856b3</t>
  </si>
  <si>
    <t>e5baf5de44394d2ebbb04a62d746fe53</t>
  </si>
  <si>
    <t>291d27770556473e9e4f8ed303c91206</t>
  </si>
  <si>
    <t>0c0ceb92d3cf4b18ae59904571855010</t>
  </si>
  <si>
    <t>a2aa53b184504def8f9d879edb5e4138</t>
  </si>
  <si>
    <t>IPHONE 15 PRO P + E. BLACK TITANIUM 86%</t>
  </si>
  <si>
    <t>355361727018118</t>
  </si>
  <si>
    <t>5b82c7b59fa9466cab3cbe2a9ffc93be</t>
  </si>
  <si>
    <t>354230916172369</t>
  </si>
  <si>
    <t>DROPED IPHONE 16</t>
  </si>
  <si>
    <t>d1b6c8e645b64e5fa7ceac7ac31ba17c</t>
  </si>
  <si>
    <t>JENROLA OZ</t>
  </si>
  <si>
    <t>SAMSUNG GALAXY S9 WITH WIFI ISSUE</t>
  </si>
  <si>
    <t>358625099111231</t>
  </si>
  <si>
    <t>2348151039966</t>
  </si>
  <si>
    <t>DEPOSITED 90K</t>
  </si>
  <si>
    <t>972e77b7aa0e461cad92d331d956ef33</t>
  </si>
  <si>
    <t>LIGHT GOLD IPHONE AIR IOS UPDATE</t>
  </si>
  <si>
    <t>da1634ec056e44fcbf22f9c5bcca49b4</t>
  </si>
  <si>
    <t>SAMSUNG FLASH</t>
  </si>
  <si>
    <t>6b44a5f90e3747a88737861da9f4cad7</t>
  </si>
  <si>
    <t>IPHONE XR FIX BATTERY FLASH</t>
  </si>
  <si>
    <t>153287dfa15d4a85a5ee9d6f451b459d</t>
  </si>
  <si>
    <t>938969d92cb34b4c9c0654ce6592762a</t>
  </si>
  <si>
    <t>DESERT TITANIUM IPHONE 16 PRO IOS UPDATE</t>
  </si>
  <si>
    <t>209292154a5a4943a500435d8bdcec39</t>
  </si>
  <si>
    <t>BLUE TITANIUM IPHONE 15 PRO 512GB. 90%</t>
  </si>
  <si>
    <t>42cd3288bdff4924a8f73ae8b3070903</t>
  </si>
  <si>
    <t>LIGHT GOLD IPHONE AIR. 512GB. 100%. LOCKD</t>
  </si>
  <si>
    <t>357247590767121</t>
  </si>
  <si>
    <t>0434ae3b493b4d80ade903f2a6f5fe7e</t>
  </si>
  <si>
    <t>2d9f2218c1a3421cbf7883919eaeea3e</t>
  </si>
  <si>
    <t>IPHONE 13 IOS UPDATE. RED</t>
  </si>
  <si>
    <t>055a16df76de49f58e24febe80b59252</t>
  </si>
  <si>
    <t>12 IOS UPDATE</t>
  </si>
  <si>
    <t>8246aa1d35324b158c566e887120da69</t>
  </si>
  <si>
    <t>BIGSAM</t>
  </si>
  <si>
    <t>IPHONE 11. BLACK. 64GB. 91%</t>
  </si>
  <si>
    <t>353980107564250</t>
  </si>
  <si>
    <t>bd6e82ecd7714472891658937b288781</t>
  </si>
  <si>
    <t>YELLOW IPHONE 15 FIX</t>
  </si>
  <si>
    <t>555843770f2540ab945084a53059982d</t>
  </si>
  <si>
    <t>BLACK IPHONE 14 PRO UPDATE</t>
  </si>
  <si>
    <t>ed364fe2925f44ee85a72dd68b9f21f1</t>
  </si>
  <si>
    <t xml:space="preserve"> DAH UNIQUE</t>
  </si>
  <si>
    <t>DESSERT  IPHONE 16 PRO MAX</t>
  </si>
  <si>
    <t xml:space="preserve"> 354276354227868</t>
  </si>
  <si>
    <t>9135f0dd624f4461b1a70c43a2b0ac46</t>
  </si>
  <si>
    <t>7d5fa64b9df3450ca575aba93e27ca10</t>
  </si>
  <si>
    <t>0eb8c67dae8a4a3b91ccc40351b34228</t>
  </si>
  <si>
    <t>15e6fe55bdd340379f48495462107f55</t>
  </si>
  <si>
    <t>314dfc0aa92c4a2db760ad5746383be8</t>
  </si>
  <si>
    <t>d20f20a81abb46e1ae9ced10ef66d866</t>
  </si>
  <si>
    <t>PANKY GEE</t>
  </si>
  <si>
    <t>b09ce39775cf422db85632e504bbf7a6</t>
  </si>
  <si>
    <t xml:space="preserve">TUNDE </t>
  </si>
  <si>
    <t xml:space="preserve">SPACE BLACK  IPHONE14 PRO </t>
  </si>
  <si>
    <t xml:space="preserve"> 353730795949093</t>
  </si>
  <si>
    <t>b6f475aadd984519a8089ce4ad105027</t>
  </si>
  <si>
    <t>BLUE TITANIUM IPHONE 15 PRO MAX FIX</t>
  </si>
  <si>
    <t>66504c8e86224fdfba33790e0cf63ad7</t>
  </si>
  <si>
    <t>SPENCER GADGET</t>
  </si>
  <si>
    <t>SIUVER IPHONE 7</t>
  </si>
  <si>
    <t xml:space="preserve"> 353835083710550</t>
  </si>
  <si>
    <t>8b234f34713443b2a2a2767f03a3f3ba</t>
  </si>
  <si>
    <t xml:space="preserve"> iPhone 16 Black 128GB 92%</t>
  </si>
  <si>
    <t>351582379112024</t>
  </si>
  <si>
    <t>7a6309055a404e4e818a567dc76ce82b</t>
  </si>
  <si>
    <t>FAV TECH</t>
  </si>
  <si>
    <t>IPHONE 12 PRO MAX. 256GB. SILVER. 90%. ICM</t>
  </si>
  <si>
    <t>355660520873581</t>
  </si>
  <si>
    <t>c0eae49ea76e41a4af2b19d8ae84cfe3</t>
  </si>
  <si>
    <t>NATURAL TITANIUM 15 PRO MAX IOS UPDATE</t>
  </si>
  <si>
    <t>82356d2e277d4479b1484775305980ec</t>
  </si>
  <si>
    <t>BLUE IPHONE 17 PRO IOS UPDATE</t>
  </si>
  <si>
    <t>67c41d8736024772a3b70ca73891f066</t>
  </si>
  <si>
    <t>EMM GUY</t>
  </si>
  <si>
    <t>GOOGLE DRIVE VIDEO UPLOAD</t>
  </si>
  <si>
    <t>2347040405109</t>
  </si>
  <si>
    <t>ece0b30625ac44438001340fac0bfa36</t>
  </si>
  <si>
    <t>cf757b90c81245eaaacd86732e43dc67</t>
  </si>
  <si>
    <t>acf10e7598c24d018cd568ebe2b9c225</t>
  </si>
  <si>
    <t>1f94709cc412444290cf66a5a86bb309</t>
  </si>
  <si>
    <t>8d5c118c367a402780067ba575f2e919</t>
  </si>
  <si>
    <t>SAMSUNG GALAXY S21 8GB + 128GB</t>
  </si>
  <si>
    <t>bd63cea299f54e0096c66f2e343ce0a8</t>
  </si>
  <si>
    <t>PINK IPHONE 16 IOS UPDATE</t>
  </si>
  <si>
    <t>8681b57b26654437973b935a11cd6741</t>
  </si>
  <si>
    <t>LIGHT GOLD IPHONE AIR. 512GB. 100%. OPENED BOX</t>
  </si>
  <si>
    <t>45f24e4cb9874837b182ddb775867069</t>
  </si>
  <si>
    <t>GREEN I11 IOS UPDATE</t>
  </si>
  <si>
    <t>6b30c5df99ec424dbd691b44b472c2f1</t>
  </si>
  <si>
    <t>ALPING GREEN IPHONE 13 MDM BYPASS</t>
  </si>
  <si>
    <t>34b8d6ee3cf14e73b43f38fbaaaa09bd</t>
  </si>
  <si>
    <t>16 PRO MAX IOS UPDATE</t>
  </si>
  <si>
    <t>130f670c19284b44938f85f56aaecc46</t>
  </si>
  <si>
    <t>c5ed47a7d34c4bd28b75af1705df06d9</t>
  </si>
  <si>
    <t>IPHONE 16 PRO IOS UODATE</t>
  </si>
  <si>
    <t>6d55ca081ba74ad7a45cb99b45eb2580</t>
  </si>
  <si>
    <t>SALVAGE YARD</t>
  </si>
  <si>
    <t>WHITE IPHONE 15 UPDATE</t>
  </si>
  <si>
    <t>2348115308158</t>
  </si>
  <si>
    <t>634660d1cdb743e0a5a320aa11dc603b</t>
  </si>
  <si>
    <t>MBENZ</t>
  </si>
  <si>
    <t>IPHONE 11 PRO. 256GB</t>
  </si>
  <si>
    <t>2349137123168</t>
  </si>
  <si>
    <t>5877a9706d15447fb78121b0a385a275</t>
  </si>
  <si>
    <t>14 PRO IOS UPDATE</t>
  </si>
  <si>
    <t>8aa5c81afc6e45eabe0e663a81c68696</t>
  </si>
  <si>
    <t>FINANCE FX</t>
  </si>
  <si>
    <t>IPHONE 11 PRO. LOCKED. MIDNIGHT GREEN. 89%</t>
  </si>
  <si>
    <t>,,</t>
  </si>
  <si>
    <t>,</t>
  </si>
  <si>
    <t>89ea294ba413438bb470ab9262b9f699</t>
  </si>
  <si>
    <t>4574925fdf314716bfc5b08fee65b197</t>
  </si>
  <si>
    <t>bbc0409fe5e542ba815ab581088f8306</t>
  </si>
  <si>
    <t>44d9023cac98494e88736da6bf11f70d</t>
  </si>
  <si>
    <t>1d5004c162b54b3aaf311e27c4a45f7e</t>
  </si>
  <si>
    <t>493ec1cd13d543d693467ea2278fafa6</t>
  </si>
  <si>
    <t>IFEKITAN</t>
  </si>
  <si>
    <t>3b28fb3de2cf43e39a08717951344852</t>
  </si>
  <si>
    <t>982a9aa4b9c744cfb4e509a806d0efd0</t>
  </si>
  <si>
    <t>BAHMS</t>
  </si>
  <si>
    <t>14 PRO MAX. BLACK. P + E. 256GB</t>
  </si>
  <si>
    <t>2349069477050</t>
  </si>
  <si>
    <t>bd3c693cb0834b1bb6294e3e0940aabf</t>
  </si>
  <si>
    <t>OLAJIRE</t>
  </si>
  <si>
    <t>IPHONE 11 IOS UPDATE. BLACK</t>
  </si>
  <si>
    <t>2348146725021</t>
  </si>
  <si>
    <t>5e0d50f90c274a2094052ee2450ed50a</t>
  </si>
  <si>
    <t xml:space="preserve"> iPhone 16 Ultramarine 256GB 91%</t>
  </si>
  <si>
    <t xml:space="preserve"> 350340252616483</t>
  </si>
  <si>
    <t>ee84bd0557724cc8ae1594570acc4696</t>
  </si>
  <si>
    <t>IPHONE 14 PRO IOS UPDATE. SILVER</t>
  </si>
  <si>
    <t>323eb501b32347239e0c5d527a3e548a</t>
  </si>
  <si>
    <t>GADGET TECH</t>
  </si>
  <si>
    <t>SCREEN PROTECTOR IPHONE 13</t>
  </si>
  <si>
    <t>2347025185247</t>
  </si>
  <si>
    <t>d9cbfb1aab144a6bbea503b3f2053c5f</t>
  </si>
  <si>
    <t>HAPY</t>
  </si>
  <si>
    <t>APPLE ID SIGN IN ON BYPASSED DEVICE</t>
  </si>
  <si>
    <t>0eef50c74fbf48f889a0071ae032ab81</t>
  </si>
  <si>
    <t>ULTRAMARINE IPHONE 16 FLASH</t>
  </si>
  <si>
    <t>0ff31ad26da8459f972f0e4d05d2616c</t>
  </si>
  <si>
    <t>IPHONE 14 PRO MAX. 256GB. P + E. 81%</t>
  </si>
  <si>
    <t>350636270816918</t>
  </si>
  <si>
    <t>423f1165dc414befa51a7f016101b603</t>
  </si>
  <si>
    <t>IPHONE 16. 256GB. UNTRAMARINE. 91%</t>
  </si>
  <si>
    <t>350340252616483</t>
  </si>
  <si>
    <t>a3526550f35e4c87a0147dffce53272f</t>
  </si>
  <si>
    <t>MACBOOK UPDATE AND RELOAD, AND DISPATCH MONEY</t>
  </si>
  <si>
    <t>dab6acd54189482aa8d53b6291aad0a9</t>
  </si>
  <si>
    <t>ZADDY</t>
  </si>
  <si>
    <t>bddf2b0da0154d6299816d1467d1b4b0</t>
  </si>
  <si>
    <t>aea4ecb29c414da8b8e28918ab8f0345</t>
  </si>
  <si>
    <t>39b1b700be3a47d0bbcef0931349f93a</t>
  </si>
  <si>
    <t>ae7740ab698442f19bf920b61889b3f2</t>
  </si>
  <si>
    <t>b99fb447fd9e4473ba8b9b55591c82f4</t>
  </si>
  <si>
    <t>IPHONE 14</t>
  </si>
  <si>
    <t>BRIGHT DENIS4WARD</t>
  </si>
  <si>
    <t>ffeee967334d4edf8b6803979b395f2f</t>
  </si>
  <si>
    <t>IPHONE 16 PRO IOS UPDATE</t>
  </si>
  <si>
    <t>f0d2de8648c84daba53aecb6967e9cef</t>
  </si>
  <si>
    <t>IPHONE 16 PRO MAX IOS UPDATE</t>
  </si>
  <si>
    <t>92eca09e0585451b9f5a0be784794651</t>
  </si>
  <si>
    <t>IOS LOCATION CHANGE</t>
  </si>
  <si>
    <t>6e6d3ff66ba24005b2c7a50dac51d1db</t>
  </si>
  <si>
    <t>IPHONE 15 PRO MAX IOS UPDATE</t>
  </si>
  <si>
    <t>d357d6beddb24ad4b42d827963c0df7a</t>
  </si>
  <si>
    <t>IPHONE 14 PLUS SDP FLASH</t>
  </si>
  <si>
    <t>86a75b9d97b64e40ba72be927a7c1ff2</t>
  </si>
  <si>
    <t>IPHONE 7 32GB SILVER</t>
  </si>
  <si>
    <t>35533808473146</t>
  </si>
  <si>
    <t>127c67e9f1694191a9bee782cbd1d13d</t>
  </si>
  <si>
    <t xml:space="preserve">IPHONE SE 2ND GEN </t>
  </si>
  <si>
    <t>356845113678534</t>
  </si>
  <si>
    <t>d11a3f909d2b45cdb52ea76637df108e</t>
  </si>
  <si>
    <t>iPhone Air Light Gold. 100%. 512GB</t>
  </si>
  <si>
    <t>b0f3c98b7fb5423f85b553a21d6e959e</t>
  </si>
  <si>
    <t>iPhone 16 Plus Pink IOS UPDATE</t>
  </si>
  <si>
    <t>3aa21d4d256e4165a5fc3666e53abe71</t>
  </si>
  <si>
    <t>Apple ID Disable Fix</t>
  </si>
  <si>
    <t>c39e0bd90e8f4f1989114de5c972958e</t>
  </si>
  <si>
    <t>6d595e2007194b8984a7d3c524c807dd</t>
  </si>
  <si>
    <t>1f437c370e494020847082301aaaa5c6</t>
  </si>
  <si>
    <t>6c7ef942b7794cbfba6a8cfe2dfb791c</t>
  </si>
  <si>
    <t>5a6c47500f38422fbcabfaaf1901d890</t>
  </si>
  <si>
    <t xml:space="preserve">IPHONE 15 . P + E. . BLACK. 128GB. </t>
  </si>
  <si>
    <t>354004395226065</t>
  </si>
  <si>
    <t>2cf40026ca2d4cb084bd237086deef5e</t>
  </si>
  <si>
    <t>350517923261142</t>
  </si>
  <si>
    <t>d45766f023404b6186176c4517eb41d9</t>
  </si>
  <si>
    <t>14PRO IOS UPDATE</t>
  </si>
  <si>
    <t>3a6985b31434406b893a026f20d7a81a</t>
  </si>
  <si>
    <t>IPHONE 17 PRO MAX IOS UPDATE</t>
  </si>
  <si>
    <t>4f822c079c0849408d24dd040d7c085c</t>
  </si>
  <si>
    <t>NEXUS</t>
  </si>
  <si>
    <t>ULTRAMARINE IPHONE 16. 256GB. 91%</t>
  </si>
  <si>
    <t>7fd94382e05948f99cf3106adb2c04d6</t>
  </si>
  <si>
    <t>IPHONE 12 PRO. 128GB. BLACK</t>
  </si>
  <si>
    <t>353075116116653</t>
  </si>
  <si>
    <t>0d65ebe64d2f4f3ca5c086db9239cd17</t>
  </si>
  <si>
    <t>IPHONE 12 PRO IOS UPDATE</t>
  </si>
  <si>
    <t>0980401b39844996ac6aac942c1a4fcf</t>
  </si>
  <si>
    <t>DESERT 16 PRO IOS UPDATE</t>
  </si>
  <si>
    <t>7bb42e6f986844a48b21790ba82c0528</t>
  </si>
  <si>
    <t>eb29e6c9a0d449cc9b8619b0e0e2090e</t>
  </si>
  <si>
    <t>8132ae5f62c640b5b7e99cb84efb38e2</t>
  </si>
  <si>
    <t>d144cd6637cd47d5a8b984524a52c43a</t>
  </si>
  <si>
    <t>70e53fa6666d44999b14243c3587bfa7</t>
  </si>
  <si>
    <t>IPHONE 12 PRO MAX IOS UPDATE. GOLD</t>
  </si>
  <si>
    <t>8b8db7eb67d74549a61fc79e1be340fc</t>
  </si>
  <si>
    <t>WHITE IPHONE XR IOS UPDATE</t>
  </si>
  <si>
    <t>ed71d0e2b92e4774996e0ee202a85d7e</t>
  </si>
  <si>
    <t>a1a489df450a424185dee2855634f8e8</t>
  </si>
  <si>
    <t>IPHONE 14 PRO MAX. FIXED BATTERY FLASH</t>
  </si>
  <si>
    <t>77d0b7175a0242cea96e1993abde1686</t>
  </si>
  <si>
    <t>MOLYM VENTURES CHIP UNLOCK</t>
  </si>
  <si>
    <t>YELLOW CHIP * 5</t>
  </si>
  <si>
    <t>7f15a1effcd44d8082c397dcd1c5c716</t>
  </si>
  <si>
    <t>PC FILE TRANSFER FROM IPHONE 11 TO BLUE IPAD</t>
  </si>
  <si>
    <t>c587c112c8014b138d3acc717ec7991e</t>
  </si>
  <si>
    <t>ACTIVE PLUG</t>
  </si>
  <si>
    <t>BLACK IPHONE 14 PRO MAX IOS UPDATE</t>
  </si>
  <si>
    <t>6fd3f88e9cea42788e5730a009511682</t>
  </si>
  <si>
    <t>IPHONE 16 PRO MAX. WHITE TITANIUM. 512GB. 93%</t>
  </si>
  <si>
    <t>355300183605562</t>
  </si>
  <si>
    <t>aca400cf85774f08a50e980f92744370</t>
  </si>
  <si>
    <t>b3053966ac8c41548f20cc123f050dbc</t>
  </si>
  <si>
    <t>6ea27207bed94d8697e318dc73b6ce0a</t>
  </si>
  <si>
    <t>48e6f88843434d5cbdbbbf25e259bcc5</t>
  </si>
  <si>
    <t>1691c854479e46ae83507ee7bc4faac8</t>
  </si>
  <si>
    <t>FAME</t>
  </si>
  <si>
    <t>IPHONE 16. 256GB. BLACK 100%. ESIM UNLOCKED</t>
  </si>
  <si>
    <t>354178507884670</t>
  </si>
  <si>
    <t>2348144970435</t>
  </si>
  <si>
    <t>returned</t>
  </si>
  <si>
    <t>bdc3f2661e3a4a62a41f3f3c0ed9b692</t>
  </si>
  <si>
    <t>KABEX</t>
  </si>
  <si>
    <t>IPHONE 16PRO BLACK TINTANIUM IOS UPDATE</t>
  </si>
  <si>
    <t>728429c50fbc4d60b68e770498bd71a7</t>
  </si>
  <si>
    <t>XPIFF</t>
  </si>
  <si>
    <t>MIDNIGHT IPHONE 12 IOS UPDATE</t>
  </si>
  <si>
    <t>2348164388087</t>
  </si>
  <si>
    <t>672265bb4d1a472081358da67180c1ff</t>
  </si>
  <si>
    <t>OLAMIDE</t>
  </si>
  <si>
    <t>BLACK. 1TB. IPHONE 14 PRO MAX. 90%. IDM</t>
  </si>
  <si>
    <t>2349035711584</t>
  </si>
  <si>
    <t>6191e544950e4d3ea67d37d2217bc38f</t>
  </si>
  <si>
    <t>dea3a0953e2c404d892dd33d9a8768c3</t>
  </si>
  <si>
    <t>9c5324575a42459f850b9f1fe9db0079</t>
  </si>
  <si>
    <t>4fd4bd1b8947449e89948c3b3ffc7867</t>
  </si>
  <si>
    <t>8e8b1c61f2104a93930d14159b39a442</t>
  </si>
  <si>
    <t>c3a718c68c39448ba6bca61eaeae7463</t>
  </si>
  <si>
    <t>0f6766f1e45a48b6a80bedc717a30725</t>
  </si>
  <si>
    <t>ORANGE 17 PRO IOS UPDATE</t>
  </si>
  <si>
    <t>2e5d81ee9a3e4092afc69b9cbdf244b6</t>
  </si>
  <si>
    <t>IPHONE 16 PRO MAX IOS UPDATE. DESERT TITANIUM</t>
  </si>
  <si>
    <t>df68db18aef0407bb9cab6100ae323ed</t>
  </si>
  <si>
    <t>7b4b7ad679fd449ea0c561354da6d91e</t>
  </si>
  <si>
    <t>ESIM TRANSFER</t>
  </si>
  <si>
    <t>9ac7078bb4fb4f318566978fce1c6501</t>
  </si>
  <si>
    <t>200K BORROWED</t>
  </si>
  <si>
    <t>1032b00b09364a92b51bb942e3ebe6ca</t>
  </si>
  <si>
    <t>LIFELINE ESIM</t>
  </si>
  <si>
    <t>9983171aa3bc4812aea07da199dd8ec7</t>
  </si>
  <si>
    <t>IPHONE 13 PRO MAX. 128GB. SILVER. 77%</t>
  </si>
  <si>
    <t>359811263248244</t>
  </si>
  <si>
    <t>0f046c26bd3e4887aa044a47adaa9d66</t>
  </si>
  <si>
    <t>db2f995120aa497f918e5e1b08fbe87e</t>
  </si>
  <si>
    <t>b3d7429a93594aaca6922c0bc06f31ab</t>
  </si>
  <si>
    <t>4c7fd441917142698f456a92e874ff44</t>
  </si>
  <si>
    <t>2e40b3169cb94effb3e432157da827c0</t>
  </si>
  <si>
    <t>ee0fc4b9cef74b53a8ebfdcee6457bbc</t>
  </si>
  <si>
    <t>iPhone 11 Pro Midnight Green 256GB</t>
  </si>
  <si>
    <t>353249104500786</t>
  </si>
  <si>
    <t>47a9b62dadd84256b105b319e2918806</t>
  </si>
  <si>
    <t>BORROWED 500K</t>
  </si>
  <si>
    <t>1a4c5fd7cb3f43a2a62f66738ed660cd</t>
  </si>
  <si>
    <t>BAMS</t>
  </si>
  <si>
    <t>9e4db16dd28c4feda75a52e037685b99</t>
  </si>
  <si>
    <t>ceb410cf0f25478f8041baef18bdfd4a</t>
  </si>
  <si>
    <t>fa2f8686e2f74f479dc2cd6bdd48bc71</t>
  </si>
  <si>
    <t>48178b4de164445982937407916373d9</t>
  </si>
  <si>
    <t>ORANGE 17 PRO MAX IOS UPDATE</t>
  </si>
  <si>
    <t>e64f80c87bbe4b7b8d3407cf8e38fcaf</t>
  </si>
  <si>
    <t>iPhone Air Space Black 256GB IOS UPDATE</t>
  </si>
  <si>
    <t>7050994eeb8b4bb29b0b5b74512e0762</t>
  </si>
  <si>
    <t>BIGMO</t>
  </si>
  <si>
    <t>iPhone 16 Black 256GB</t>
  </si>
  <si>
    <t>07017158374</t>
  </si>
  <si>
    <t>88eab4b003614ddd808fbcf64e731bd3</t>
  </si>
  <si>
    <t>DEMOLA</t>
  </si>
  <si>
    <t>IPHONE CHIP</t>
  </si>
  <si>
    <t>3ee67aceb3bd408e98ff168305756a85</t>
  </si>
  <si>
    <t>GODDEY</t>
  </si>
  <si>
    <t>SAMAUNG GALAXY S21 8GB + 128GB</t>
  </si>
  <si>
    <t>f4cfff84338543b4a7c914cbfe688937</t>
  </si>
  <si>
    <t>JOSSY</t>
  </si>
  <si>
    <t>USA APPLE ID</t>
  </si>
  <si>
    <t>28030eb52b3b4d4093b78def5e34e10d</t>
  </si>
  <si>
    <t>OLA</t>
  </si>
  <si>
    <t>CHIP</t>
  </si>
  <si>
    <t>7f8dd58ce8234815a65800b793367b89</t>
  </si>
  <si>
    <t>OLUMIDE ANOITED WEALTH</t>
  </si>
  <si>
    <t>IPHONE 7 ICLOUD REMOVAL</t>
  </si>
  <si>
    <t>0d2d627abc8248c085f1716f5a6c6532</t>
  </si>
  <si>
    <t>IPHONE 14 PRO MAX FLASH. BLACK. CRACKED BACK</t>
  </si>
  <si>
    <t>c495b883ba504683a7d8385d25a36213</t>
  </si>
  <si>
    <t>4ad1df5ea9074b7ea2a17408ab803e34</t>
  </si>
  <si>
    <t>ef3c395c6dd54313b0c51cb966135140</t>
  </si>
  <si>
    <t>7a7750d487a3412f875d61411c461afb</t>
  </si>
  <si>
    <t>iPhone 16 Pro White Titanium 128GB IOS UPDATE</t>
  </si>
  <si>
    <t>e4dc8f734670424abbcab1c61964b1ee</t>
  </si>
  <si>
    <t>15 PRO NATURAL TITANIC LOCATION CHANGE</t>
  </si>
  <si>
    <t>e9d7ac4962ef4dff8045205772ef63b1</t>
  </si>
  <si>
    <t>BORROWED 300K</t>
  </si>
  <si>
    <t>9208660742bb41aaa1a81c304c98a40e</t>
  </si>
  <si>
    <t>BLCK MIDNIGHT IPHONE 14 PRO MAX IOS UPDATE. P + E</t>
  </si>
  <si>
    <t>f8f7fa08677d4ea5bf22574b38ac9b16</t>
  </si>
  <si>
    <t>MIDNIGHT GREEN IPHONE 11 PRO MAX. 256GB. IDM, IBM</t>
  </si>
  <si>
    <t>353926106063562</t>
  </si>
  <si>
    <t>c42eb63a1c254be5b63682e70f660004</t>
  </si>
  <si>
    <t>APPLE ID SIGN IN ISSUE FIX</t>
  </si>
  <si>
    <t>ff15b6614a4a4383bdaee101991aac28</t>
  </si>
  <si>
    <t>RED IPHONE SE 2</t>
  </si>
  <si>
    <t>356483109107191</t>
  </si>
  <si>
    <t>db554199129a41f69039f498db1c7b08</t>
  </si>
  <si>
    <t>ac948c9ad4c44301bce1635c578550a5</t>
  </si>
  <si>
    <t>1d25ad0745c54df5ad0a92a2ac1b9cfd</t>
  </si>
  <si>
    <t>c69218f32578483387c4fe5da88a8853</t>
  </si>
  <si>
    <t>IPHONE 15 PINK IOS UPDATE</t>
  </si>
  <si>
    <t>32d8519fdc1542a1ad0a362154cf633c</t>
  </si>
  <si>
    <t>XR 64GB BLACK FIX ERRORR 1110</t>
  </si>
  <si>
    <t>4fe057627573411bbb23770e60bf13d4</t>
  </si>
  <si>
    <t>IPHONE 17 IOS UPDATE</t>
  </si>
  <si>
    <t>a6f1bc31309b4fcb9fabca6711752603</t>
  </si>
  <si>
    <t>WHATSAPP CHAT TRANSFER FOR YOUR CUSTOMER</t>
  </si>
  <si>
    <t>af8b11ee6604499f8b6130ceaa1e8860</t>
  </si>
  <si>
    <t>SAMSUNG NOTE 10 + PASSWORD FLASH</t>
  </si>
  <si>
    <t>025784ee54f54d0c98ca4b238cc6a1f3</t>
  </si>
  <si>
    <t>CLARK GADGETS</t>
  </si>
  <si>
    <t>APPLE ID REACTIVATION</t>
  </si>
  <si>
    <t>2347064459910</t>
  </si>
  <si>
    <t>66b29e3bf52744198ab004f6fc97e03f</t>
  </si>
  <si>
    <t>iPhone 17 Pro Max Sliver ios update</t>
  </si>
  <si>
    <t>689117044fbd452f9956dd357db388f8</t>
  </si>
  <si>
    <t>iPhone 16 Pro Black Titanium IOS UPDATE</t>
  </si>
  <si>
    <t>9ebfd7467a084f1ab5041052ebea0f63</t>
  </si>
  <si>
    <t>IPHONE 16 PRO MAX. DESERT TITANIUM. 93%. 256GB. LOCKED</t>
  </si>
  <si>
    <t>760b859f72224ae98f2766defa238a93</t>
  </si>
  <si>
    <t>41fab8ccee7a427e9b9996e40776fd16</t>
  </si>
  <si>
    <t>2a9fa1f4bc90418d91ebf11914bcd6f3</t>
  </si>
  <si>
    <t>d36b945c0570432e9eff8410005d5aeb</t>
  </si>
  <si>
    <t>bb6702565dda4388af3d48328df4aae0</t>
  </si>
  <si>
    <t>594278f88e5d43adbda24afa839bf967</t>
  </si>
  <si>
    <t>SPILOIT</t>
  </si>
  <si>
    <t>USA ICLOUD OPENING</t>
  </si>
  <si>
    <t>2347035996286</t>
  </si>
  <si>
    <t>404192e84ab74fcdb09ebabb1294ee03</t>
  </si>
  <si>
    <t>fb6c3439082445c586d7003a67f31fed</t>
  </si>
  <si>
    <t>c693a53156f94d70abf2395089f263ab</t>
  </si>
  <si>
    <t>NIGERIA ICLOUD OPENING</t>
  </si>
  <si>
    <t>7b94d5c671cb440db985f5e5ac5d845a</t>
  </si>
  <si>
    <t>AREMO GADGETS</t>
  </si>
  <si>
    <t>IPHONE 13 PASSWORD FLASH</t>
  </si>
  <si>
    <t>d0f8cff2b73b46618125719b0c1b8d14</t>
  </si>
  <si>
    <t>IPHONE AIR IOS UPDATE. SKY BLUE</t>
  </si>
  <si>
    <t>b9573364f06b4acda744f1e8b1f24fc1</t>
  </si>
  <si>
    <t>SPACE BLACK  IPHONE AIR IOS UPDATE</t>
  </si>
  <si>
    <t>0d0e0144a0144506a758db60871dde28</t>
  </si>
  <si>
    <t>CUTOMER</t>
  </si>
  <si>
    <t>PERMANENT CHIP UNLOCK FOR IPHONE 13 PRO MAX</t>
  </si>
  <si>
    <t>47667767ec534dc49411ffa2fbf5c627</t>
  </si>
  <si>
    <t>BROOKS</t>
  </si>
  <si>
    <t>TEMPORARY CHIP UNLOCK FOR IPHONE 12 PRO</t>
  </si>
  <si>
    <t>23cc4d474c87457199f6c3ff35719b96</t>
  </si>
  <si>
    <t>13 PRO MAX SDP FLASH</t>
  </si>
  <si>
    <t>0d211d526c7a4a4792fa71dc3c1cd3aa</t>
  </si>
  <si>
    <t>82a769bd261f4c0788ea7564fd03383b</t>
  </si>
  <si>
    <t>100K BORROWED</t>
  </si>
  <si>
    <t>fdec86dba5764137b2ab31838469e6c8</t>
  </si>
  <si>
    <t>APPLE 15 PM</t>
  </si>
  <si>
    <t>88ac71ebb8ad4dbcb20979a13507282c</t>
  </si>
  <si>
    <t>HADLARD COMMUNICATIONS</t>
  </si>
  <si>
    <t>ULTRAMARINE BLUE IPHONE 16. 128GB. ESIM. 92%</t>
  </si>
  <si>
    <t>351935566554418</t>
  </si>
  <si>
    <t>3fd85319d5d348fc895e3f486ba0de6b</t>
  </si>
  <si>
    <t>d2e5039de27142b68561a80542a92a86</t>
  </si>
  <si>
    <t>c9a0943fbdd9493cb8e6dfac8ac663be</t>
  </si>
  <si>
    <t>90fa9d4e007143d998890364b4846905</t>
  </si>
  <si>
    <t>BORROWED 465K</t>
  </si>
  <si>
    <t>54d645f9faa841818a424266a80ed1d9</t>
  </si>
  <si>
    <t>e1a33ab3638c48538de0674a00893eed</t>
  </si>
  <si>
    <t>IPHONE 12 IOS UPGRADE</t>
  </si>
  <si>
    <t>PAIS</t>
  </si>
  <si>
    <t>23e4e6996dc447fe976d68bf718b349f</t>
  </si>
  <si>
    <t>IPHONE 16. OPENED BOX. 100%. 128GB. 163 CC. ULTRAMARINE</t>
  </si>
  <si>
    <t>356140776073847</t>
  </si>
  <si>
    <t>d3279773bd044dcab37e3002e69f3eef</t>
  </si>
  <si>
    <t>IPHONE 16 IOS UPDATE. ULTRAMARINE</t>
  </si>
  <si>
    <t>22b8edb0a58541919d18d8a4192286d0</t>
  </si>
  <si>
    <t>SAMMY CONCEPT</t>
  </si>
  <si>
    <t>IPHONE 12 PRO. 128GB. BLACK. 90%</t>
  </si>
  <si>
    <t>351194966961241</t>
  </si>
  <si>
    <t>2349037002617</t>
  </si>
  <si>
    <t>0bf23f516afc418e960bf7621eb3ef4d</t>
  </si>
  <si>
    <t>OLALEKAN AWOGBOLA</t>
  </si>
  <si>
    <t>IPHONE XR APPLE ID FIX</t>
  </si>
  <si>
    <t>2347060574078</t>
  </si>
  <si>
    <t>a15015f2c6b74e13a5ac89b32e158eec</t>
  </si>
  <si>
    <t>MARVY TM</t>
  </si>
  <si>
    <t>IPHONE 17 PRO. DEEP BLUE IOS UPDATE</t>
  </si>
  <si>
    <t>d5edc87b05b34371b7f4f1c1d53f3e2a</t>
  </si>
  <si>
    <t>IPHONE XS MAX. 256GB. NFID. 96%</t>
  </si>
  <si>
    <t>358730091228981</t>
  </si>
  <si>
    <t>1bb8011404a64e85a0ce71398b06b2a2</t>
  </si>
  <si>
    <t>BLUE IPHONE 12 PRO IOS UPDATE</t>
  </si>
  <si>
    <t>30dc876891364b17a9202e659c8fab10</t>
  </si>
  <si>
    <t>b8e0917e11f7463797bcb9a5f8d28293</t>
  </si>
  <si>
    <t>d049df5e579f4d43813a7912565d8884</t>
  </si>
  <si>
    <t>IPHONE 11. PURPLE. IOS UPDATE</t>
  </si>
  <si>
    <t>125d88a78d0d49a9a775d5ce2805f6ce</t>
  </si>
  <si>
    <t>3 MONTHS ESIM</t>
  </si>
  <si>
    <t>d4ebfa0087684d47bb53e2a44818e830</t>
  </si>
  <si>
    <t>fff4e5fc5c2542caa43f4f6f3af2191d</t>
  </si>
  <si>
    <t>84a9b0408f87421284a4aa2030c3ed85</t>
  </si>
  <si>
    <t>2c0bdca7f34b4a979243f882ca559f03</t>
  </si>
  <si>
    <t>SKY PERIOXIDE</t>
  </si>
  <si>
    <t>11 PRO MAX 256. IDM. IBM. MIDNIGHT GREEN</t>
  </si>
  <si>
    <t>3a1a63e80ee54d9aa54dd98b74db24fa</t>
  </si>
  <si>
    <t>IPHONE 15 PRO IOS UPDATE</t>
  </si>
  <si>
    <t>0caa940c2b904dae9ed5c957aaa3ab22</t>
  </si>
  <si>
    <t>IPHONE 16 PRO MAX. WHITE TITANIUM. 256GB. 97%</t>
  </si>
  <si>
    <t>354331124392649</t>
  </si>
  <si>
    <t>f5153ebfb6d243a3af091d8878a83274</t>
  </si>
  <si>
    <t>ERED IPHONE SE 2ND GEN. 76%</t>
  </si>
  <si>
    <t>4a7b28976f52423095cf4b5c576038ec</t>
  </si>
  <si>
    <t>BABAWALE</t>
  </si>
  <si>
    <t>ICLOUD OPENING NIGERIA</t>
  </si>
  <si>
    <t>243677d205514b5fb83fd9b9ead31327</t>
  </si>
  <si>
    <t>WHITE IPHONE 16 PLUS IOS UPDATE</t>
  </si>
  <si>
    <t>21dd6a64ea0645a38f6ad3bb844071c3</t>
  </si>
  <si>
    <t>d072e3e5c9cd4ebaa73dbd866d2960ef</t>
  </si>
  <si>
    <t>JT GADGET</t>
  </si>
  <si>
    <t>SAMSUNG GALAXY S21 8GB + 256GB</t>
  </si>
  <si>
    <t>350359740006958</t>
  </si>
  <si>
    <t>d7e3605ef3b84893927b791227624cd6</t>
  </si>
  <si>
    <t>0339347f89284a81aa96003708acd8fc</t>
  </si>
  <si>
    <t>KOLAWOLE</t>
  </si>
  <si>
    <t>5a89b740d5a04c30ab54d62bbe34aa7c</t>
  </si>
  <si>
    <t>IPHONE 14 PRO PHYSICAL + ESIM. GOLD. 90%</t>
  </si>
  <si>
    <t>2d4313a61c2e428b9d9fd396434298ca</t>
  </si>
  <si>
    <t>OGLEVEL</t>
  </si>
  <si>
    <t>IPHONE 11 PRO MAX CHIP UNLOCK</t>
  </si>
  <si>
    <t>a8e7be5f81564f23aaa029415d49de88</t>
  </si>
  <si>
    <t>a472a16558144eb8b961decd777ed6bb</t>
  </si>
  <si>
    <t>99f47ad37b634b5ca0907514d3f212d5</t>
  </si>
  <si>
    <t>ab0195ad31684808a5b24f484bfb081c</t>
  </si>
  <si>
    <t>iPhone XS Max Space Gray 64GB IOS UPDATE</t>
  </si>
  <si>
    <t>2114a3f0d7e34dcd8896783dd2e51880</t>
  </si>
  <si>
    <t>MILLITANTPLAY</t>
  </si>
  <si>
    <t xml:space="preserve">SERIES 7 </t>
  </si>
  <si>
    <t>VD7V676WT3</t>
  </si>
  <si>
    <t>4295db3c458a4383860cb4dc9069c31c</t>
  </si>
  <si>
    <t>BLACK 14 PRO IOS UPDATE</t>
  </si>
  <si>
    <t>5c479322f3e64ef68689faa36c30dcbd</t>
  </si>
  <si>
    <t>BLACK XR IOS UPDATE</t>
  </si>
  <si>
    <t>4d6d0528192646648a0add57e97594b1</t>
  </si>
  <si>
    <t>0LUSOLA ADESIDA</t>
  </si>
  <si>
    <t>IPHONE XR RED. NFID. 74%</t>
  </si>
  <si>
    <t>26f7797486da4047a604b244e14a3d96</t>
  </si>
  <si>
    <t>IPHONE SE 2ND GEN. RED. 76%</t>
  </si>
  <si>
    <t>85e56e5531874e9281604cc45f40727d</t>
  </si>
  <si>
    <t>iPhone 13 Pro Sierra Blue 128GB IOS UPDATE</t>
  </si>
  <si>
    <t>0f9e0ab987344bb1a261ce6fae96c186</t>
  </si>
  <si>
    <t>ULTRAMARINE BLUE IPHONE 16 IOS UPDATE</t>
  </si>
  <si>
    <t>799339156e164f6386edf866f05e5e50</t>
  </si>
  <si>
    <t>IPHONE 16 PRO DESERT TITIANIM IOS UPDATE</t>
  </si>
  <si>
    <t>41462fb4611049dba78e733245390f81</t>
  </si>
  <si>
    <t>630fc808dcfc4a8097e59a23f120c57a</t>
  </si>
  <si>
    <t>ULTRAMARINE 16 ESIM UNLOCKED. 91%</t>
  </si>
  <si>
    <t>e88afd7ed77742a19b65b4e01edfb887</t>
  </si>
  <si>
    <t>PROFIT ON IPHONE 14 PRO. OPENED BOX. 128GB. GOLD. DEAL</t>
  </si>
  <si>
    <t>d5535c86952c4b16a77e3f64fafec2d1</t>
  </si>
  <si>
    <t>8678a242b5d7489796de9c2b997b8d4d</t>
  </si>
  <si>
    <t>33d6df42fd1f4ca8a4dde7e4847af2c3</t>
  </si>
  <si>
    <t>e9dceb49b00042159548914854ea99ff</t>
  </si>
  <si>
    <t>IPHONE 16. 128GB. 92%. ULTRAMATINE BLUE</t>
  </si>
  <si>
    <t>7d189e286d304811942825eda1717700</t>
  </si>
  <si>
    <t>679106e772854671af4a7ebb44c4bec6</t>
  </si>
  <si>
    <t>906014f600f649f39dda66167939d893</t>
  </si>
  <si>
    <t>9ba37992f07d40b388fd5373301d867a</t>
  </si>
  <si>
    <t>3025d532e02b4807b4e7686d38374726</t>
  </si>
  <si>
    <t>SEAN GADGETS</t>
  </si>
  <si>
    <t>iPhone 17 Pro Cosmic Orange 256GB IOS UPDATE</t>
  </si>
  <si>
    <t>2806a547adca446594cc8762b05c6a91</t>
  </si>
  <si>
    <t>IPHONE 12 PRO MAX IOS UPDATE. PACIFIC BLUE</t>
  </si>
  <si>
    <t>ac493b5551b2450db41ed8e49ad22925</t>
  </si>
  <si>
    <t>RED IPHONE 12 IOS UPDATE</t>
  </si>
  <si>
    <t>dd3ac049473c419881c5a7d1c3dff016</t>
  </si>
  <si>
    <t>MTN ESIM QR CODE GENERATION</t>
  </si>
  <si>
    <t>27bbbda4a8a943df931dc9084540fffa</t>
  </si>
  <si>
    <t>JOZMAT COMPUTERS</t>
  </si>
  <si>
    <t>IPHONE 14 PRO MAX. 128GB. ESIM UNLOCKED. 82%</t>
  </si>
  <si>
    <t>9a9702bdeaca4e08a8a038384cc46563</t>
  </si>
  <si>
    <t>STARLIGHT. IPHONE 13 IOS UPDATE</t>
  </si>
  <si>
    <t>eff5c44c86e34373b69c29395bdf892e</t>
  </si>
  <si>
    <t>IPHONE 14 PRO. GOLD. MDM BYPASS</t>
  </si>
  <si>
    <t>410e648630d04cbc95c7c2d4c44727d9</t>
  </si>
  <si>
    <t>USA NUMBER 3 MONTHS</t>
  </si>
  <si>
    <t>0be3840503e14af3bd5648a3f28f2205</t>
  </si>
  <si>
    <t>CHIP FOR IPHONE 12 PRO MAX. PACIFIC BLUE</t>
  </si>
  <si>
    <t>8416aaa5d94b4ebd808c69605c577396</t>
  </si>
  <si>
    <t>MDM DEVICE FILE TRANSFER</t>
  </si>
  <si>
    <t>4b11ea34a16a43d7a9ed022e99f36793</t>
  </si>
  <si>
    <t>3ca6defdbd774578aaf4b1fc1f9c6c22</t>
  </si>
  <si>
    <t>7aed2e6f9540414c89cfa1fc66e629d7</t>
  </si>
  <si>
    <t>6f5cc4facd2344458b6c3bfb321afcb2</t>
  </si>
  <si>
    <t>SILVER IPAD 10TH GEN MDM BYPASS</t>
  </si>
  <si>
    <t>1369679f92dc48709a299c324e36dda2</t>
  </si>
  <si>
    <t>GRAPHITE IPHONE 13 PRO IOS UPDATE</t>
  </si>
  <si>
    <t>69a7bab0496d44e1856e22d66f2e5a3e</t>
  </si>
  <si>
    <t>OKIKI GADGET</t>
  </si>
  <si>
    <t>IPHONE 16 E OPENED BOX</t>
  </si>
  <si>
    <t>308ce91a310c45009b6481db44bf1905</t>
  </si>
  <si>
    <t>iPhone 16 Black 128GB IOS UPDATE</t>
  </si>
  <si>
    <t>f7a669f300eb404896fb59ad407f9d8d</t>
  </si>
  <si>
    <t>ICE GAGDETS</t>
  </si>
  <si>
    <t>iPhone 12 Pro Graphite 128GB IOS UPDATE</t>
  </si>
  <si>
    <t>c7092e3a79264c06b9210df28a2b100a</t>
  </si>
  <si>
    <t>0684b2a123194e5ab6bdcda15cdd6dda</t>
  </si>
  <si>
    <t>3b6d98d3dde14815b8f003292ff14d95</t>
  </si>
  <si>
    <t>827bd51db1224d63a61527092c479c81</t>
  </si>
  <si>
    <t>iPhone XR Black 64GB IOS UPDATE</t>
  </si>
  <si>
    <t>aea3f915c060459db464f51b2ede4590</t>
  </si>
  <si>
    <t>iPhone 16 Ultramarine IOS UPDATE</t>
  </si>
  <si>
    <t>c58613578f4d4fd98d8928fbfad51719</t>
  </si>
  <si>
    <t>41468d23cb0843289335af4ab32ebdfc</t>
  </si>
  <si>
    <t>iPhone 13 Pro Max Sierra Blue IOS UPDATE</t>
  </si>
  <si>
    <t>5e46516e17fa45809a06281aadb336bd</t>
  </si>
  <si>
    <t>b2e9b4a287664b2d83e3d34a64a7d970</t>
  </si>
  <si>
    <t>iPhone 14 Pro Max Deep Purple 256GB UPGRADE</t>
  </si>
  <si>
    <t>0803 762 4066</t>
  </si>
  <si>
    <t>826bf300b683424da78b569f4cecef52</t>
  </si>
  <si>
    <t>iPhone 12 Blue 64GB IOS UPDATE</t>
  </si>
  <si>
    <t>c118f1faf4ce48e69abe432dce74b908</t>
  </si>
  <si>
    <t>OPEN BOX FOLD 7</t>
  </si>
  <si>
    <t>354273444015213</t>
  </si>
  <si>
    <t>91712d5bb21b46589e6a967025fc5f80</t>
  </si>
  <si>
    <t>ENGINEER JOHN</t>
  </si>
  <si>
    <t>BLACK IPHONE 16 PLUS IOS UPDATE</t>
  </si>
  <si>
    <t>c0133265a46b4ecbab0a0b5aaa101e48</t>
  </si>
  <si>
    <t>WHITE TITANIUM. IPHONE 15 PRO IOS UPDATE</t>
  </si>
  <si>
    <t>b1c831c3338f4dc9b11d65180409cef8</t>
  </si>
  <si>
    <t>iPhone 16 Pro Black Titanium 256GB IOS UPDATE</t>
  </si>
  <si>
    <t>246a6341ea75427bac283544c4157ab6</t>
  </si>
  <si>
    <t>USA NUMBER LIFELINE ESIM FOR ENGR AZ (DADDY). 100K</t>
  </si>
  <si>
    <t>f57a095b6a3c43a9baf53f7552d0130c</t>
  </si>
  <si>
    <t>SIERRA BLUE. IPHONE 13 PRO IOS UPDATE</t>
  </si>
  <si>
    <t>5003dbc3970949ca94c4ccf6739b3e30</t>
  </si>
  <si>
    <t>b260a6a9ed8c44a5beed1c5680031cca</t>
  </si>
  <si>
    <t>6ecf3ef2d0e64739907638d443769192</t>
  </si>
  <si>
    <t>1a2ac1711d97488083ed8df01c7ce2ea</t>
  </si>
  <si>
    <t>10707018181d471993c6bb7e12b10c53</t>
  </si>
  <si>
    <t>S8 SAMSUNG BLACK FLASHING/ERASING</t>
  </si>
  <si>
    <t>e6752b6c3c7a444c9f4c6d17129ca47d</t>
  </si>
  <si>
    <t>IPHONE 14 PRO IOS UPDATE</t>
  </si>
  <si>
    <t>09514e17eeb94f4bbfe85f6e344e6bac</t>
  </si>
  <si>
    <t>50K ON IPHONE AIR. SNAP BAN SOLD TO KAYWISE</t>
  </si>
  <si>
    <t>bdbd12c0545e473eaa3b31a30baaf1c6</t>
  </si>
  <si>
    <t>iPhone 14 Purple 128GB IOS UPDATE</t>
  </si>
  <si>
    <t>4afd8cfbdde8429687bae0278920e334</t>
  </si>
  <si>
    <t>IPHONE 14 PRO MAX. PHYSICAL + ESIM. GOLD. 87%</t>
  </si>
  <si>
    <t>353843242565410</t>
  </si>
  <si>
    <t>932b1df9effc437d82fefe80428cf4bb</t>
  </si>
  <si>
    <t>ICLOUD OPENING. USA</t>
  </si>
  <si>
    <t>e79c0fced4a045b7930c568365543b31</t>
  </si>
  <si>
    <t>PURPLE IPHONE 14 IOS UPDATE</t>
  </si>
  <si>
    <t>61bd53cbbdbe4a8181ce751c0a6ee9c6</t>
  </si>
  <si>
    <t>SIGNAL TRANSFER</t>
  </si>
  <si>
    <t>1b53f168c880437197111561f0cc619c</t>
  </si>
  <si>
    <t>SEVILEN AUTOS</t>
  </si>
  <si>
    <t>IPHONE 17 PRO DEEP BLUE IOS UPDATE</t>
  </si>
  <si>
    <t>2349052936918</t>
  </si>
  <si>
    <t>64d9813b322b4949a4dc1ffffc96ec4b</t>
  </si>
  <si>
    <t>IPHONE 13 IOS UPDATE. MIDNIGHT COLOR</t>
  </si>
  <si>
    <t>c13d2c927e0d40d193a25e1b630b3cc7</t>
  </si>
  <si>
    <t>MARVY FCG</t>
  </si>
  <si>
    <t>iPhone 16 White 128GB IOS UPDATE</t>
  </si>
  <si>
    <t>2348138375326</t>
  </si>
  <si>
    <t>29ae32ba8ad84e60849c6cc375feaea3</t>
  </si>
  <si>
    <t>fdccbe8980f741f89294c1909987fe03</t>
  </si>
  <si>
    <t>IPHONE 11 128GB. BLACK. 94%</t>
  </si>
  <si>
    <t>357293372803775</t>
  </si>
  <si>
    <t>d2b7b42fc4df4a18acc3d4d6fb4ee4b1</t>
  </si>
  <si>
    <t>06d4433d777840ed84070bbddf055520</t>
  </si>
  <si>
    <t>14 PRO MAX WHITE IOS UPDATE</t>
  </si>
  <si>
    <t>8e5cb71417f44750aabfffd6e6993872</t>
  </si>
  <si>
    <t>a24cbeea9ace4d2d92be6a8e25d212fa</t>
  </si>
  <si>
    <t xml:space="preserve">IPHONE 12 ESIM TRANSFER TO 14 PRO </t>
  </si>
  <si>
    <t>9ce405ad3cca42719e6c686428118be5</t>
  </si>
  <si>
    <t>ICLOUD OPENING. NIGERIA</t>
  </si>
  <si>
    <t>0b352fb989f6467d8d5829e8c70b01ad</t>
  </si>
  <si>
    <t>PURPLE IPHONE 14 PASSWORD FLASH</t>
  </si>
  <si>
    <t>db0422e67b7f4432b6526858cbb7cc5c</t>
  </si>
  <si>
    <t>DEE YHUNG GADGET</t>
  </si>
  <si>
    <t>PURPLE IPHONE 14 PRO IOS UPDATE</t>
  </si>
  <si>
    <t>91d6bf0ef415442e86459fe67d879194</t>
  </si>
  <si>
    <t>BLUE IPHONE 12 BATTERY CALIBERATION</t>
  </si>
  <si>
    <t>2349122727950</t>
  </si>
  <si>
    <t>2e1df6a7ced14a4aa113820424951c21</t>
  </si>
  <si>
    <t>038b1b9a18814b929c83337cf4d384a3</t>
  </si>
  <si>
    <t>1a4ec75d1372453b8bf4a9014d7b520a</t>
  </si>
  <si>
    <t>PS 4 SLIM COLOSE AND 2 PADS</t>
  </si>
  <si>
    <t>MC872201734</t>
  </si>
  <si>
    <t>0fd08c15dce84c1b84c38413878fb7d9</t>
  </si>
  <si>
    <t>DEEP BLUE 17 PRO IOS UPDATE</t>
  </si>
  <si>
    <t>08935953f0da425b845ad92f90904920</t>
  </si>
  <si>
    <t>iPhone 12 Blue 128GB ICLOUD OPENING</t>
  </si>
  <si>
    <t>53097c02613a44f683d969f69f1ce230</t>
  </si>
  <si>
    <t>PINK IPHONE 16 PLUS IOS UPDATE</t>
  </si>
  <si>
    <t>800103c76b064d3d9a5a87521ae1d29e</t>
  </si>
  <si>
    <t>IPHONE 12 BLACK 64 IOS UPDATE</t>
  </si>
  <si>
    <t>827b383f5cc14cdbbef47809f119819b</t>
  </si>
  <si>
    <t>iPhone 16 Ultramarine 128GB IOS UPDATE</t>
  </si>
  <si>
    <t>ae1410ff13d84da5954a07abb794ede4</t>
  </si>
  <si>
    <t>SILVER IPHONE 14 PRO MAX IOS UPDATE. THAT HAS ESIM</t>
  </si>
  <si>
    <t>1d3df01406484730b41bb1cb5eac7063</t>
  </si>
  <si>
    <t>c38f64ae17f04cf1a55f78928287f3f5</t>
  </si>
  <si>
    <t>IPHONE XR WHITE 128GB 100% BH</t>
  </si>
  <si>
    <t>357344098486526</t>
  </si>
  <si>
    <t>12612b8828b548e4beffcc242cbdd099</t>
  </si>
  <si>
    <t>5K OUTSTANDING</t>
  </si>
  <si>
    <t>d029deaae69b4074a16f5bfa82c1337f</t>
  </si>
  <si>
    <t>IWATCH SERIES 11</t>
  </si>
  <si>
    <t>JKH9GNP094</t>
  </si>
  <si>
    <t>5b08670117b7495285de8b72317fb5f9</t>
  </si>
  <si>
    <t>a9733cd6196d42ed905467591c81c1bc</t>
  </si>
  <si>
    <t>AFRIKA</t>
  </si>
  <si>
    <t>PURPLE IPHONE 14 PRO MAX. 82%. ESIM UNLOCKED</t>
  </si>
  <si>
    <t>2349032711183</t>
  </si>
  <si>
    <t>eb6b47c91e8e498599a30cf21c328c87</t>
  </si>
  <si>
    <t>SILVER IPHONE 11 PRO FIX BATTERY FLASH</t>
  </si>
  <si>
    <t>e8f0fd68d0754e55880e08a283ac1cb2</t>
  </si>
  <si>
    <t>iPhone 16 Pro Desert Titanium 128GB IOS UPDATE</t>
  </si>
  <si>
    <t>f1e811e45ca14d9dba37ad1a65736f48</t>
  </si>
  <si>
    <t>USA ICLOUD OPENING &amp; LOCATION CHANGE</t>
  </si>
  <si>
    <t>7980675ebcc0448fb74300e53e67050e</t>
  </si>
  <si>
    <t>iPhone Air Sky Blue 256GB IOS UPDATE</t>
  </si>
  <si>
    <t>0e47bb27a64b41e9b4dc077b9efd2e12</t>
  </si>
  <si>
    <t>IPHONE 13 PINK IOS UPDATE</t>
  </si>
  <si>
    <t>f3a45374f7114570b2e0ab81e51541e8</t>
  </si>
  <si>
    <t>SAMSUNG TO SAMSUNG FILE TRANSFER</t>
  </si>
  <si>
    <t>39e438a14b6c4fda90d4344d12d278a1</t>
  </si>
  <si>
    <t>ff09bf07ebd749a485cdee940b395583</t>
  </si>
  <si>
    <t>5d04649e7c964846b8dab614115a5854</t>
  </si>
  <si>
    <t>2b0eec17f1d34ccd8a0f8f518fd312e9</t>
  </si>
  <si>
    <t>IPHONE 11 TO XR DATA TRANSFER AND UPGRADE</t>
  </si>
  <si>
    <t>5934c19ca4c44ddc8ae82e634193e478</t>
  </si>
  <si>
    <t>RICHIE APPLE ID</t>
  </si>
  <si>
    <t xml:space="preserve">IPHONE 16 PRO MAX SWAPPED TO IPHONE </t>
  </si>
  <si>
    <t>2349060362110</t>
  </si>
  <si>
    <t>354661672109387</t>
  </si>
  <si>
    <t>4c85856f8d7a46c0a880e73c46c426d4</t>
  </si>
  <si>
    <t>HONEYTEE</t>
  </si>
  <si>
    <t>IPHONE 12 64GB IOS UPDATE</t>
  </si>
  <si>
    <t>2349125271770</t>
  </si>
  <si>
    <t>057ace36e9f5484cabdb364567f4ed01</t>
  </si>
  <si>
    <t>IPHONE 16 PLUS PHYSICAL + ESIM. ULTRAMARINE BLUE. 91%</t>
  </si>
  <si>
    <t>352973351900768</t>
  </si>
  <si>
    <t>c1bad99b5dc74a21b53f699b52ca8343</t>
  </si>
  <si>
    <t>IPHONE 16 PLUS ESIM UNLOCKED. 97%. ULTRAMARINE BLUE</t>
  </si>
  <si>
    <t>358915823120982</t>
  </si>
  <si>
    <t>1d0924e083bc42debe707928440fc7e0</t>
  </si>
  <si>
    <t>iPhone 11 Pro Max Silver 256GB IOS UPDATE</t>
  </si>
  <si>
    <t>5bf6672c3dee41ecab8011b09538918f</t>
  </si>
  <si>
    <t>IPHONE 15 128GB. ESIM. 86%</t>
  </si>
  <si>
    <t>357770206656735</t>
  </si>
  <si>
    <t>049e75c623e44b0d87aea4e1b6452659</t>
  </si>
  <si>
    <t>IPHONE 16 PLUS 128GB</t>
  </si>
  <si>
    <t>c26baa9308974ab2b247f177e14167ed</t>
  </si>
  <si>
    <t>iPhone 15 Pro Max Natural Titanium 256GB IOS UPDATE</t>
  </si>
  <si>
    <t>7fbdd9b0cd704338a18b5b485fc3329e</t>
  </si>
  <si>
    <t>cce7ff947d0e4485a42b0b4e226b8719</t>
  </si>
  <si>
    <t>6059293bb6394700a3cf152e51066834</t>
  </si>
  <si>
    <t>3f0771e560cc40c08baf57a2ff67de1a</t>
  </si>
  <si>
    <t>IPHONE 16 PRO MAX . LOCKED. OPENED BOX. 256GB. 92%. DESERT TITANIUM</t>
  </si>
  <si>
    <t>77ce7b0a9e3248539659a014d29f5a1a</t>
  </si>
  <si>
    <t>620e7b0f0a194f96b200130570666156</t>
  </si>
  <si>
    <t>ba36745386d743bb8ad29c1e63e2f48f</t>
  </si>
  <si>
    <t>2571d91ebac04e6eb3b9e6a65f3e5c80</t>
  </si>
  <si>
    <t>iPhone 16 Pro Max Black Titanium 256GB IOS UPDATE</t>
  </si>
  <si>
    <t>234706 5500068</t>
  </si>
  <si>
    <t>86b2aefeef5240dcae8e694ee7517964</t>
  </si>
  <si>
    <t>364cdca0c4ce4046959f4dd5437d988a</t>
  </si>
  <si>
    <t>755b88953dfd44d297dce8c70285e4a2</t>
  </si>
  <si>
    <t>377032f520424ab289967b60ed637ccb</t>
  </si>
  <si>
    <t>ISAIAH BIKEMAN</t>
  </si>
  <si>
    <t>iPhone 6s Rose Gold 16GB FLASHING</t>
  </si>
  <si>
    <t>2347069975385</t>
  </si>
  <si>
    <t>b85cf33d25ea48ae8ee02929479ca376</t>
  </si>
  <si>
    <t>TETE GADGET</t>
  </si>
  <si>
    <t>IPHONE 15 LOCKED WITH ACTIVE ESIM. 100%. LOCKED. BLACK</t>
  </si>
  <si>
    <t>353817900069121</t>
  </si>
  <si>
    <t>48e5d655254a42288e3a4d731a1b5bac</t>
  </si>
  <si>
    <t>ADEYEYE</t>
  </si>
  <si>
    <t>IPHONE 17 PRO MAX ORANGE COLOR IOS UPDATE</t>
  </si>
  <si>
    <t>2347069117214</t>
  </si>
  <si>
    <t>458f1b78ec524cf88a3f6b94c47460e9</t>
  </si>
  <si>
    <t>CLOUD WHITE IPHONE AIR IOS UPDATE</t>
  </si>
  <si>
    <t>5d848bb03dc6485b91638dd201c11132</t>
  </si>
  <si>
    <t>aa62f54e0a904ee9befe3e429050c70b</t>
  </si>
  <si>
    <t>ICLOUD OPENING</t>
  </si>
  <si>
    <t>234 810 934 4663</t>
  </si>
  <si>
    <t>9342530c081d4e6aa53f92d92f2cfa4b</t>
  </si>
  <si>
    <t>BIG INVESTOR</t>
  </si>
  <si>
    <t>iPhone 13 Starlight 128GB LOCATION CHANGING</t>
  </si>
  <si>
    <t>2349158627347</t>
  </si>
  <si>
    <t>df5cb0320ee142c49aaabb18a6da62d0</t>
  </si>
  <si>
    <t>HANSPHEEZY</t>
  </si>
  <si>
    <t>IPHONE X FLASH</t>
  </si>
  <si>
    <t>2349024734092</t>
  </si>
  <si>
    <t>1a87759d398d469eaab8a071f3f1490b</t>
  </si>
  <si>
    <t>ec9f59dbc3a84ec7bb3a5f1787ed5e86</t>
  </si>
  <si>
    <t>47671f1d639e43b98734f279781eb25b</t>
  </si>
  <si>
    <t>FOR DARAVIT</t>
  </si>
  <si>
    <t>ba2c16891ded4285a660a369d55b8b6f</t>
  </si>
  <si>
    <t>ZINO</t>
  </si>
  <si>
    <t>IPHONE 16 PRO MAX. NATURAL TITANIUM. LOCKED. 90%</t>
  </si>
  <si>
    <t>358637620606720</t>
  </si>
  <si>
    <t>09017635284</t>
  </si>
  <si>
    <t>bad49cdd027442f39caee3d1b408af3c</t>
  </si>
  <si>
    <t>e934a648d222470fb67d39c7086cec22</t>
  </si>
  <si>
    <t>55e693abd2da4082b134bf0aa55c2e53</t>
  </si>
  <si>
    <t>a9b6abe705a444fca78d958e9434b685</t>
  </si>
  <si>
    <t>NEW IPHONE 17 PRO. AT&amp;T . 0CC</t>
  </si>
  <si>
    <t>353748537419738</t>
  </si>
  <si>
    <t>0701 715 8374</t>
  </si>
  <si>
    <t>2e34988d502c4daeb9726d9bf9d6dcee</t>
  </si>
  <si>
    <t>IPHONE 13 PRO MAX SIERRA BLUE FLASHING</t>
  </si>
  <si>
    <t>b8ea31d563e4465cb0ff84b6e23d0c46</t>
  </si>
  <si>
    <t xml:space="preserve">SAMSUNG S8 FLASH. </t>
  </si>
  <si>
    <t>cd703c69a76e4e05a27af62403cc9c92</t>
  </si>
  <si>
    <t>IPHONE XR YELLOW BATTERY FIXING</t>
  </si>
  <si>
    <t>234 916 104 8040</t>
  </si>
  <si>
    <t>f8a0ffb2b7904c0fb1a1aba4f89246f9</t>
  </si>
  <si>
    <t>IPHONE 16 PLUS 128GB ULTRAMARINE</t>
  </si>
  <si>
    <t>ff49c76302c3466c92265957d965cbef</t>
  </si>
  <si>
    <t>IPHONE 12 PRO. GRAPHITE. 90%. 128GB</t>
  </si>
  <si>
    <t>356478843889559</t>
  </si>
  <si>
    <t>dac2dadf9589483c970fcad9fe1f1e89</t>
  </si>
  <si>
    <t>S22 FLASH</t>
  </si>
  <si>
    <t>9f7d6eae3c464d11815667a657d60d08</t>
  </si>
  <si>
    <t>IPHONE 14 PRO MAX IOS UPDATE</t>
  </si>
  <si>
    <t>fda5cf28ac454e09a0df64f25119d5b5</t>
  </si>
  <si>
    <t>new customer</t>
  </si>
  <si>
    <t>testing</t>
  </si>
  <si>
    <t>95035cdf0b15461e9bfdd04216d13557</t>
  </si>
  <si>
    <t>06f3ed987d49449cba13951b5926d950</t>
  </si>
  <si>
    <t>1c264c46f4924d25841296645b57580c</t>
  </si>
  <si>
    <t>518916508760437b90e1126010f5e949</t>
  </si>
  <si>
    <t>234 810 629 3924</t>
  </si>
  <si>
    <t>eb4e1cb2b19f43edb8bd290948c9135c</t>
  </si>
  <si>
    <t>IPHONE 16 ULTRA MARINE SDP FLASH</t>
  </si>
  <si>
    <t>076cc83f44514d0cb17d85cef86882f7</t>
  </si>
  <si>
    <t>iPhone 15 Pro Max Black Titanium IOS UPDATE</t>
  </si>
  <si>
    <t>2347041440724</t>
  </si>
  <si>
    <t>010cb88e69614fdbb05e1be41f323c9d</t>
  </si>
  <si>
    <t>LOCATION CHANGING</t>
  </si>
  <si>
    <t>34fccaf2652449dd977f8e51a656b053</t>
  </si>
  <si>
    <t>SAMTOP GADGETS</t>
  </si>
  <si>
    <t>CHIP FOR IPHONE 14 PRO MAX</t>
  </si>
  <si>
    <t>07040339641</t>
  </si>
  <si>
    <t>e245cdd14cfc4f7f96f3f692f28a9920</t>
  </si>
  <si>
    <t>IPHONE 16 PRO MAX. DESERT TITANIUM IOS UPDATE</t>
  </si>
  <si>
    <t>dfdc4623ab6d4d8886960e12cfd750c6</t>
  </si>
  <si>
    <t>IPHONE 17 PRO. SILVER COLOR. IOS UPDATE</t>
  </si>
  <si>
    <t>7fccee83a8e345048f6f49884ad73b29</t>
  </si>
  <si>
    <t>FOLD 7. 512GB. OPENED. BOX</t>
  </si>
  <si>
    <t>a58ee2cbcbd344efa631afa5ca631a5f</t>
  </si>
  <si>
    <t>IPHONE 13 PRO MAX. ALPINE GREEN FLASH</t>
  </si>
  <si>
    <t>7632d435d3464b5aba86669904cb4a18</t>
  </si>
  <si>
    <t>BLACK IPHONE XR BATTERY FIX FLASH</t>
  </si>
  <si>
    <t>0813 627 6066</t>
  </si>
  <si>
    <t>ae895b77818c4144a911cbdd4e7bb767</t>
  </si>
  <si>
    <t>2e9246fd35e048b0a722a9a5360b8c6d</t>
  </si>
  <si>
    <t>31f8c14beed446c9b1f58d3c1b5dc484</t>
  </si>
  <si>
    <t>035a0aa7b17c436c84a23454159ea2d9</t>
  </si>
  <si>
    <t>82180f45b96f44218d04bad744b01819</t>
  </si>
  <si>
    <t>IPAD 10TH GEN PINK PASSWORD FLASH</t>
  </si>
  <si>
    <t>09063620334</t>
  </si>
  <si>
    <t>cb207201e703433ebf67c27e8dde353e</t>
  </si>
  <si>
    <t>RED IPHONE XR BATTERY FLASH</t>
  </si>
  <si>
    <t>c9aa5ea3770841dd9056b4ae1b5f7f74</t>
  </si>
  <si>
    <t>IPHONE AIR. SPACE BLACK IOS UPDATE</t>
  </si>
  <si>
    <t>fadf2bd9cf1d424fa9b272aee680286e</t>
  </si>
  <si>
    <t>ULTRAMARINE BLUE. IPHONE 16 IOS UPDATE</t>
  </si>
  <si>
    <t>3acd430f557c43b9993ce69b1fe74b80</t>
  </si>
  <si>
    <t>9c115977b1254fd9804cf0a0b47888df</t>
  </si>
  <si>
    <t>IPhone 17 pro. Deep Purple IOS UPDATE</t>
  </si>
  <si>
    <t>24bb479c21064b02a47a953cc13cc1ef</t>
  </si>
  <si>
    <t>CORAL COLOR IPHONE XR BATTERY FIX</t>
  </si>
  <si>
    <t>73293e6b7b144d13a9c1b54cc83ce19b</t>
  </si>
  <si>
    <t>JONAH</t>
  </si>
  <si>
    <t>IPHONE 16 PLUS</t>
  </si>
  <si>
    <t>350991541697468</t>
  </si>
  <si>
    <t>2348106265881</t>
  </si>
  <si>
    <t>b9bdefcbc79943cd8a7b0ff1012eac2b</t>
  </si>
  <si>
    <t>f43eaff3e2f048c6aec54b6086839e0f</t>
  </si>
  <si>
    <t>DEMIGLOBAL MULTISERVICE</t>
  </si>
  <si>
    <t>IPHONE 14 PRO ESIM</t>
  </si>
  <si>
    <t>351284087033812</t>
  </si>
  <si>
    <t>2349066720385</t>
  </si>
  <si>
    <t>7fd23ffbef8649ed9d165088366bc6b0</t>
  </si>
  <si>
    <t>IPHONE 15 PRO MAX IOS UPDATE. BLUE TITANIUM</t>
  </si>
  <si>
    <t>228c11c01f3a4ed58eb3f069108f600e</t>
  </si>
  <si>
    <t>PROTECH GADGET</t>
  </si>
  <si>
    <t>358838941045446</t>
  </si>
  <si>
    <t>2348102522960</t>
  </si>
  <si>
    <t>8b92574d5c8549e58e94d325d699ca33</t>
  </si>
  <si>
    <t>e133615516ba4495aefe2d4f21f9bd21</t>
  </si>
  <si>
    <t>3ce398e9493e417d985f8c8550d6413e</t>
  </si>
  <si>
    <t xml:space="preserve">LIFE LINE ESIM </t>
  </si>
  <si>
    <t>234 903 893 5833</t>
  </si>
  <si>
    <t>b49e441c21574e8b8600769907fe7916</t>
  </si>
  <si>
    <t>00fc96c9b34c44878425e1163f9a1156</t>
  </si>
  <si>
    <t>TEST</t>
  </si>
  <si>
    <t>yyy</t>
  </si>
  <si>
    <t>23479831273842938</t>
  </si>
  <si>
    <t>987e8abead804a5ca7c3315221806c26</t>
  </si>
  <si>
    <t>DARQUIZ</t>
  </si>
  <si>
    <t>Money laundering</t>
  </si>
  <si>
    <t>23412345698708</t>
  </si>
  <si>
    <t>a9a30519e8d24899835e5e8717e06002</t>
  </si>
  <si>
    <t>BLACK IPHONE XR FIX BATTERY FLASH</t>
  </si>
  <si>
    <t>e3b40f534e3c4fc8b7874cf97f7690be</t>
  </si>
  <si>
    <t>JUST TO TEST</t>
  </si>
  <si>
    <t>cbc0ae70290a43858b7afaef04bd53ab</t>
  </si>
  <si>
    <t>IFEM GADGETS</t>
  </si>
  <si>
    <t>iPhone 15 pro 128gb silver iOS UPDATE</t>
  </si>
  <si>
    <t>2349069198610</t>
  </si>
  <si>
    <t>3dd9960ec5684cd597635c1fa4ef9069</t>
  </si>
  <si>
    <t>DESERT TITANIUM IPHONE 16 IOS UPDATE</t>
  </si>
  <si>
    <t>e27fb13382284372ae97f4ebea40528b</t>
  </si>
  <si>
    <t>ANNIE</t>
  </si>
  <si>
    <t>SPACE BLACK IPHONE AIR IOS UPDATE</t>
  </si>
  <si>
    <t>2348141375361</t>
  </si>
  <si>
    <t>57382e28aff3485088b23df1d6ca9914</t>
  </si>
  <si>
    <t>IPHONE SE 2</t>
  </si>
  <si>
    <t>356473104213474</t>
  </si>
  <si>
    <t>78215473a43447a2869d4268c5f305b5</t>
  </si>
  <si>
    <t>GLORY BOMA</t>
  </si>
  <si>
    <t>IPHONE 15</t>
  </si>
  <si>
    <t>358178370957021</t>
  </si>
  <si>
    <t>2348163305240</t>
  </si>
  <si>
    <t>7c055da70460479a8d0978f3e231c8e4</t>
  </si>
  <si>
    <t>IPHONE 16 E FLASH</t>
  </si>
  <si>
    <t>3c1c3527c28f486b8e03159f965bbec9</t>
  </si>
  <si>
    <t>MDM BYPASS FOR IPHONE 16 E</t>
  </si>
  <si>
    <t>2fdcc7918fd84f399cb5d20ca9d33601</t>
  </si>
  <si>
    <t>IPHONE 16 E FLASHING</t>
  </si>
  <si>
    <t>cbd72b88b6a54e5bb7a656d2729a8cbc</t>
  </si>
  <si>
    <t>ZINTO</t>
  </si>
  <si>
    <t>PS4 SLIM AND 2 PADS</t>
  </si>
  <si>
    <t>MG230529524</t>
  </si>
  <si>
    <t>2349068103734</t>
  </si>
  <si>
    <t>91056475e46d4c338f501ffe31c85a34</t>
  </si>
  <si>
    <t>HAYOR GADGET</t>
  </si>
  <si>
    <t>2 X NIGERIA ICLOUD</t>
  </si>
  <si>
    <t>2349067627889</t>
  </si>
  <si>
    <t>32e396add4064af3ac9d5379cf848a8b</t>
  </si>
  <si>
    <t>ESTEEM GADGETS STORE AND MORE</t>
  </si>
  <si>
    <t>2349066027066</t>
  </si>
  <si>
    <t>ccaa95add7754486b1667f289b37288a</t>
  </si>
  <si>
    <t>601a69498cfa4c43b89ff5635fda7f96</t>
  </si>
  <si>
    <t>QAFFIF</t>
  </si>
  <si>
    <t>2349060724788</t>
  </si>
  <si>
    <t>94f546a0992041919023b1740ef56a67</t>
  </si>
  <si>
    <t>IPHONE 15 IOS UPDATE WITH FILES</t>
  </si>
  <si>
    <t>b82820c5f7e6435592e29d39f5d8c30a</t>
  </si>
  <si>
    <t>IMISIOLUWA</t>
  </si>
  <si>
    <t>iPhone 11</t>
  </si>
  <si>
    <t>356549102962491</t>
  </si>
  <si>
    <t>2347014473284</t>
  </si>
  <si>
    <t>93289ec5012c4903a2be4915cca668e2</t>
  </si>
  <si>
    <t>APPLE ID SIGN FIX ON IPHONE 16 PRO</t>
  </si>
  <si>
    <t>1dfeed6633cc44ac9ef4fb03d0b7f56d</t>
  </si>
  <si>
    <t>08109659193</t>
  </si>
  <si>
    <t>767a737032444c0e8d7dacbaf08bffda</t>
  </si>
  <si>
    <t>RED IPHONE 13 IOS UPDATE</t>
  </si>
  <si>
    <t>e384dcc7a6464b0d85ec7bf48a094053</t>
  </si>
  <si>
    <t>d754b53fb748449299de81cf3e904e38</t>
  </si>
  <si>
    <t>358838944190470</t>
  </si>
  <si>
    <t>067067366ebc4488ac3d09e34224797a</t>
  </si>
  <si>
    <t>OLA_BTC</t>
  </si>
  <si>
    <t>3 MONTHS USA ESIM PLAN</t>
  </si>
  <si>
    <t>2348105053684</t>
  </si>
  <si>
    <t>d1695041c5ae41c3a5d663f19b2e779b</t>
  </si>
  <si>
    <t>ORANGE IPHONE 17 PRO IOS UPDATE TO 26.4</t>
  </si>
  <si>
    <t>a5036469cfcb4a1e9188d78375f13915</t>
  </si>
  <si>
    <t>TEAL COLOR IPHONE 16 IOS UPDATE</t>
  </si>
  <si>
    <t>3dce363c0c444ba4a94b8bd3e2be8359</t>
  </si>
  <si>
    <t>IPHONE 14 PRO GOLD IOS UPDATE</t>
  </si>
  <si>
    <t>f8728e4077384b108522dcec9508b91f</t>
  </si>
  <si>
    <t>CLEARIES GASGETS</t>
  </si>
  <si>
    <t>GREEN IPHONE 12 FLASHING</t>
  </si>
  <si>
    <t>2348142735624</t>
  </si>
  <si>
    <t>818adfddf68644b599901e0210849819</t>
  </si>
  <si>
    <t>NATURAL TITANIUM IPHONE 16 PRO IOS UPDATE</t>
  </si>
  <si>
    <t>f677c90cab954e76b93d7df0c3a3ac88</t>
  </si>
  <si>
    <t>YUPPIE GADGETS</t>
  </si>
  <si>
    <t>2348138132811</t>
  </si>
  <si>
    <t>3da2705ffddd4b1a8cf7b97494815078</t>
  </si>
  <si>
    <t>300K BORROWED</t>
  </si>
  <si>
    <t>33bb5215cac0464f8f49cc4332d776a8</t>
  </si>
  <si>
    <t>b241627334f34c2d97483a74f971dfd7</t>
  </si>
  <si>
    <t xml:space="preserve">iPhone 14 </t>
  </si>
  <si>
    <t>359608203806168</t>
  </si>
  <si>
    <t>3545a29391344af4ac9b6f383e74bff2</t>
  </si>
  <si>
    <t>PINK IPHONE 15 PLUS IOS UPDATE</t>
  </si>
  <si>
    <t>9367dd71aadf412c9f9159d9602fe151</t>
  </si>
  <si>
    <t>iPhone 15 Pro Max Black Titanium 256GB IOS UPDATE</t>
  </si>
  <si>
    <t>d7869d532ebf463dba3272c13de8ee6a</t>
  </si>
  <si>
    <t>iPhone 15 Plus Black 128GB IOS UPDATE</t>
  </si>
  <si>
    <t>51d96aa02a574bfabade01f06adf37bd</t>
  </si>
  <si>
    <t>IPHONE 15 PLUS PINK 128GB IOS UPDATE</t>
  </si>
  <si>
    <t>d5aeb08eebaa4663933062c3e1d9fc24</t>
  </si>
  <si>
    <t>OLAOLUWA</t>
  </si>
  <si>
    <t>iPhone 11 Green 64GB IOS UPDATE</t>
  </si>
  <si>
    <t>2348104072407</t>
  </si>
  <si>
    <t>9f420d963f4e420ab497a7c21489423c</t>
  </si>
  <si>
    <t>358355843220282</t>
  </si>
  <si>
    <t>4cc9267eb8f94f22846cea2fd50d1907</t>
  </si>
  <si>
    <t>3 Months esim plan</t>
  </si>
  <si>
    <t>a2b62ebcbb4d4d96b4990caa0863121b</t>
  </si>
  <si>
    <t>IPHONE 15 PLUS</t>
  </si>
  <si>
    <t>353352958920199</t>
  </si>
  <si>
    <t>c9667d92cbd0411d8e6d289aed2a6164</t>
  </si>
  <si>
    <t>ACTIVE</t>
  </si>
  <si>
    <t>iPhone 16 Plus</t>
  </si>
  <si>
    <t>359012141800617</t>
  </si>
  <si>
    <t>2348145310779</t>
  </si>
  <si>
    <t>f849d8fff6524deca66774c86d0bf69b</t>
  </si>
  <si>
    <t>7f5d5f93145f4fb09838dc66f4b687a9</t>
  </si>
  <si>
    <t>5ae21b03ed024beba6bb42eb30bc17e9</t>
  </si>
  <si>
    <t>7eb03292681147038f309b4012c4f481</t>
  </si>
  <si>
    <t>35961bfd1d064bfbb7fd1c4e6a3a4fe4</t>
  </si>
  <si>
    <t>5a247bd484be42d9b4664627fe63f448</t>
  </si>
  <si>
    <t>APPLE ID OPENING / ICLOUD</t>
  </si>
  <si>
    <t>8675d1063cb841fca82da4e8ce39eb3e</t>
  </si>
  <si>
    <t>PIC BACKUP AND RESTORE</t>
  </si>
  <si>
    <t>daaf007e570c4421b55c2240cd861e3b</t>
  </si>
  <si>
    <t>KUNLEX COMMUNICATION</t>
  </si>
  <si>
    <t>IPHONE 7</t>
  </si>
  <si>
    <t>355845080208761</t>
  </si>
  <si>
    <t>2347076133809</t>
  </si>
  <si>
    <t>684074eace0c49cb8d274c1b5f272a13</t>
  </si>
  <si>
    <t>IPAD APPLE ID REACTIVATION</t>
  </si>
  <si>
    <t>833eee907abe4d789c617caf2cd938a7</t>
  </si>
  <si>
    <t>GOLD IPHONE 14 PRO IOS UPDATE</t>
  </si>
  <si>
    <t>8220a4db66184bd2b17695c89d8b05e4</t>
  </si>
  <si>
    <t>1K CASH</t>
  </si>
  <si>
    <t>5f2f403c73644a88bcb461949fa19fbb</t>
  </si>
  <si>
    <t>SEGUN DISPATCH</t>
  </si>
  <si>
    <t>2347032686144</t>
  </si>
  <si>
    <t>78f9499e9c0c426ba109ff6649b951ae</t>
  </si>
  <si>
    <t>KUDA GADGET</t>
  </si>
  <si>
    <t>MIDNIGHT IPHONE 14 IOS UPDATE</t>
  </si>
  <si>
    <t>2348137604798</t>
  </si>
  <si>
    <t>11d08edae220448a87d81c419a25d2c8</t>
  </si>
  <si>
    <t>IPHONE 16 PRO MAX</t>
  </si>
  <si>
    <t>e07a94f7556a4dedafa76afb7eddaadd</t>
  </si>
  <si>
    <t>4e87bb98849643869098a339822cffc6</t>
  </si>
  <si>
    <t>IPHONE 11 BATTERY FIX</t>
  </si>
  <si>
    <t>91043adf7a9e40cfbe3ec6d8ab69562c</t>
  </si>
  <si>
    <t>USA ESIM ACTIATION ON IPHONE 16 PLUS</t>
  </si>
  <si>
    <t>718863e2e9fb4535b4e37131713d45bb</t>
  </si>
  <si>
    <t>49417eae4b7445f9b18ffe6b56c78279</t>
  </si>
  <si>
    <t>6b01fd1ff74e423e8ae6ced4df32d4aa</t>
  </si>
  <si>
    <t>IPHONE 14 PRO IOS UPDATE GOLD</t>
  </si>
  <si>
    <t>304df9bd2247436289b202a0135aadce</t>
  </si>
  <si>
    <t>DESERT TITANIUM IPHONE 16 PRO MAX IOS UPDATE</t>
  </si>
  <si>
    <t>20999e937e3646b0affb8244c48bdd6d</t>
  </si>
  <si>
    <t>BLESSING SOLOMON</t>
  </si>
  <si>
    <t>IPHONE 12 PRO CHIP UNLOCKING</t>
  </si>
  <si>
    <t>2348101744522</t>
  </si>
  <si>
    <t>f80596a67e72480d8b4cb8a59f6090d2</t>
  </si>
  <si>
    <t>ebaaec668461470f9f9ffb6648a4ffcd</t>
  </si>
  <si>
    <t>SHARK</t>
  </si>
  <si>
    <t>2349067394136</t>
  </si>
  <si>
    <t>24bec4eff6834ea69bfee4cfb773b215</t>
  </si>
  <si>
    <t>a59926d594d24ddc8022917223ea8ef1</t>
  </si>
  <si>
    <t>KEKULE</t>
  </si>
  <si>
    <t>USA NUMBER COLORADO</t>
  </si>
  <si>
    <t>2347068389226</t>
  </si>
  <si>
    <t>04c9e0ea111241b09bb08e61cabb4216</t>
  </si>
  <si>
    <t>SEALED IPHONE 17 PRO MAX</t>
  </si>
  <si>
    <t>353263428082785</t>
  </si>
  <si>
    <t>493760f70c2b4fb98f90575b5341b6ba</t>
  </si>
  <si>
    <t>CSGV</t>
  </si>
  <si>
    <t>356545108980057</t>
  </si>
  <si>
    <t>2348106125167</t>
  </si>
  <si>
    <t>decfb44555e0419dade314527b8e88fc</t>
  </si>
  <si>
    <t>f9b8af4c68234ce5bf9a106ff9aa9ebc</t>
  </si>
  <si>
    <t>IPHONE 13 BLUE IOS UPDATE</t>
  </si>
  <si>
    <t>bd5b3323167f4ce19294e8e03fe9503b</t>
  </si>
  <si>
    <t>MARVITECH</t>
  </si>
  <si>
    <t>IPHONE 17 PRO IOS UPDATE DEEP BLUE</t>
  </si>
  <si>
    <t>2348106931715</t>
  </si>
  <si>
    <t>475fce9ffda64c9caf603db8ad492a0f</t>
  </si>
  <si>
    <t>IPHONE 16 PRO MAX DESERT TITANIUM IOS UPDATE</t>
  </si>
  <si>
    <t>9d319a457b3049a898b148e55c645852</t>
  </si>
  <si>
    <t>IPHONE 16 PRO DESERT TITANIUM IOS UPDATE</t>
  </si>
  <si>
    <t>cc9f6e659daa4982b2be2602d18918a1</t>
  </si>
  <si>
    <t>IPHONE 16 PRO WHITE TITANIUM IOS UPDATE</t>
  </si>
  <si>
    <t>eb19da0eb0024eb4b2dbd1cf410ddbb6</t>
  </si>
  <si>
    <t>053c4fb10ebb42e59d3b1205028c37a2</t>
  </si>
  <si>
    <t>iPhone 15 Pro Max Blue Titanium 256GB IOS UPDATE</t>
  </si>
  <si>
    <t>52ec4d59a6df4faf9a6fa04ac913e06c</t>
  </si>
  <si>
    <t>POSI</t>
  </si>
  <si>
    <t>HP LAPTOP FIX</t>
  </si>
  <si>
    <t>2348107041156</t>
  </si>
  <si>
    <t>efcf742d0ce0405a977be96c9c40fee5</t>
  </si>
  <si>
    <t>DARQUIZ PROMOTIONS</t>
  </si>
  <si>
    <t>VOICE CHANGER I9 SOUND CARD</t>
  </si>
  <si>
    <t>2348027719627</t>
  </si>
  <si>
    <t>3cee1bdbddda41ccb6f5f507b0a47a13</t>
  </si>
  <si>
    <t>IPHONE 13 PRO MAX IOS UPDATE: SIERRA BLUE, CRACKED</t>
  </si>
  <si>
    <t>71416cb1c1cb4df69dcfdde780f0c50a</t>
  </si>
  <si>
    <t>MARVY T.M</t>
  </si>
  <si>
    <t>FILE TRANSFER + MDM BYPASS</t>
  </si>
  <si>
    <t>2349037388643</t>
  </si>
  <si>
    <t>5f3cc8de5ed84397994381cb202d8a19</t>
  </si>
  <si>
    <t>JAGO DC</t>
  </si>
  <si>
    <t>IPHONE 13 FLASH</t>
  </si>
  <si>
    <t>2348062486867</t>
  </si>
  <si>
    <t>d58f673adf494f6082208bf1cf27f01f</t>
  </si>
  <si>
    <t>9c431f86b02642f58583c9a35771522e</t>
  </si>
  <si>
    <t>fd93336c8e4c4ac9a9f28e8c14d52fef</t>
  </si>
  <si>
    <t>iPhone 12 Pro Max Pacific Blue 128GB IOS UPDATE {CRACKED BACK}</t>
  </si>
  <si>
    <t>6a143cbd10294203ab0adae04a0fa47c</t>
  </si>
  <si>
    <t>f5ce8e3325c54afe98578cb420e9bc7a</t>
  </si>
  <si>
    <t>c7d28836272c43c58f1ca53035ff5a34</t>
  </si>
  <si>
    <t>ca5150ca4086442497ceab73f768f1b2</t>
  </si>
  <si>
    <t>IPHONE 14 PRO P + E</t>
  </si>
  <si>
    <t>350114363080305</t>
  </si>
  <si>
    <t>b6a0a3d219f04c3bb0d9e4c0ca492ba9</t>
  </si>
  <si>
    <t>9cbc4b7215c3408f9f7bfd85284ca726</t>
  </si>
  <si>
    <t>d95c3372f75f4d6194a2cf92d9d90960</t>
  </si>
  <si>
    <t>iPhone XR black iOS update fix battery</t>
  </si>
  <si>
    <t>f2c2ae3d71614ece9cd5247e74040c9f</t>
  </si>
  <si>
    <t>46315b97b0044a3a89b3a57051f88611</t>
  </si>
  <si>
    <t>ae4b8fdc3f4c416fa9cacc7d67809221</t>
  </si>
  <si>
    <t>449d387cc73e433dad9af7f8ed98d7b3</t>
  </si>
  <si>
    <t>iPhone 15 Pro White Titanium 128GB IOS UPDATE</t>
  </si>
  <si>
    <t>ba0902bb1e7645969ac82e9247509551</t>
  </si>
  <si>
    <t>7ab64b4857ca4a30a2395041ac18f74c</t>
  </si>
  <si>
    <t>cca8277a022f4a45b9cbd8dd5492602a</t>
  </si>
  <si>
    <t>eddfbab6ab734468aa310f9cae597d93</t>
  </si>
  <si>
    <t>SERIES 8 GPS 45MM</t>
  </si>
  <si>
    <t>DQXWYGP1WC</t>
  </si>
  <si>
    <t>95db50c1ecfd4c6ca5b5d3e2d61e1c41</t>
  </si>
  <si>
    <t>iPhone 16e</t>
  </si>
  <si>
    <t>354741550229463</t>
  </si>
  <si>
    <t>34e1d1cc63ce4989904ca9b691b0914e</t>
  </si>
  <si>
    <t>4c92f9fa0e964d8ab896c922418b54b1</t>
  </si>
  <si>
    <t>iPhone Air Cloud White 256GB IOS UPDATE</t>
  </si>
  <si>
    <t>3113f43e0e484392ae83fe51f43da046</t>
  </si>
  <si>
    <t>fc29e51bd79742d183dce135905e8d69</t>
  </si>
  <si>
    <t>BLACK IPHONE 17 IOS UPDATE</t>
  </si>
  <si>
    <t>b060f9399ecd4bbf97d828587979a766</t>
  </si>
  <si>
    <t>IPHONE 16 IOS UPDATE: BLACK</t>
  </si>
  <si>
    <t>b4af31deb202471e83d5dc325d277790</t>
  </si>
  <si>
    <t>IPHONE 15 ESIM</t>
  </si>
  <si>
    <t>57a236b3e2a94be1a16be3dd015a7367</t>
  </si>
  <si>
    <t>IPHONE 12</t>
  </si>
  <si>
    <t>353342886555290</t>
  </si>
  <si>
    <t>7034a96345a2470b9f3dc222a4dfb208</t>
  </si>
  <si>
    <t>MC GADGETS</t>
  </si>
  <si>
    <t>2348129564538</t>
  </si>
  <si>
    <t>264b4f6c5cf94dffbe28625917f33001</t>
  </si>
  <si>
    <t>IPAD 11TH GEN IOS UPDATE: SILVER</t>
  </si>
  <si>
    <t>ff60632a6e80456788c5a51cf7f6d332</t>
  </si>
  <si>
    <t>b43ec15fa2f04f0aa6433928f180879a</t>
  </si>
  <si>
    <t>EAZI GADGETS</t>
  </si>
  <si>
    <t>IPHONE 15 PRO MAX IOS UPDATE: BLACK</t>
  </si>
  <si>
    <t>2347066910812</t>
  </si>
  <si>
    <t>7d68bbbe843a49d39f715a947b612a12</t>
  </si>
  <si>
    <t>MILLY</t>
  </si>
  <si>
    <t>iPhone 15 Pro Black Titanium 256GB IOS UPDATE</t>
  </si>
  <si>
    <t>09133219270</t>
  </si>
  <si>
    <t>861c250d5dfa4569858d7679c3852085</t>
  </si>
  <si>
    <t>65ae9041a3314d27b9c3b0054b6a9177</t>
  </si>
  <si>
    <t>IPHONE 11 BATTERY FIX: RED</t>
  </si>
  <si>
    <t>715d214495c44d678f39b19cf1acf29a</t>
  </si>
  <si>
    <t>IPHONE 11 IOS UPDATE: PURPLE</t>
  </si>
  <si>
    <t>16895cfaafa74906aa254dde1ae4dd4a</t>
  </si>
  <si>
    <t>SEMILORE</t>
  </si>
  <si>
    <t>IPHONE 12 PRO MAX CHIP UNLOCKING</t>
  </si>
  <si>
    <t>2348113366287</t>
  </si>
  <si>
    <t>5997cc3ca29d40618f6286e7b9e74e6e</t>
  </si>
  <si>
    <t>SPENZER</t>
  </si>
  <si>
    <t>IPHONE 17 PRO MAX LOCATION SPOOF</t>
  </si>
  <si>
    <t>2349161595100</t>
  </si>
  <si>
    <t>f06f4d96ea9d44fbb276329b6061c529</t>
  </si>
  <si>
    <t xml:space="preserve">iPhone 16 Pro Max </t>
  </si>
  <si>
    <t>355067548715440</t>
  </si>
  <si>
    <t>3f5f79d2df3b468bba2da2f442ea847b</t>
  </si>
  <si>
    <t>IWATCH STRAP FOR SERIES 8 45MM</t>
  </si>
  <si>
    <t>ea94c02e61854832b2301fed196cbfb3</t>
  </si>
  <si>
    <t>bab17d5e51584bfb92987cd5ff9ad970</t>
  </si>
  <si>
    <t>4677a17ecfd34c579881c92ecf8df976</t>
  </si>
  <si>
    <t>6516b92e4156445d8006f99567b28790</t>
  </si>
  <si>
    <t>IPHONE 15 128GB BLACK</t>
  </si>
  <si>
    <t>f212afc86c3043d4b0c156ff2f6d6d5c</t>
  </si>
  <si>
    <t>iPhone 16 Pink 128GB IOS UPDATE</t>
  </si>
  <si>
    <t>1d1bbb1402af46f9a0c3d9a6e2022cfc</t>
  </si>
  <si>
    <t>FIRSTCLASS FURNITURE</t>
  </si>
  <si>
    <t>2347031845198</t>
  </si>
  <si>
    <t>c92584e9048741c9b3ed392e7f280b34</t>
  </si>
  <si>
    <t>fe1f00bdbde045eab2ef84fe6ec63748</t>
  </si>
  <si>
    <t>e8392318cdca47a0ae62c135b3de17c5</t>
  </si>
  <si>
    <t>b0b328f68bd348929130f8d0628b7fe9</t>
  </si>
  <si>
    <t>YUSUF OLATUNJI</t>
  </si>
  <si>
    <t>LOCATION SPOOF</t>
  </si>
  <si>
    <t>bd65531cf1aa45e6a4c43600f70a731f</t>
  </si>
  <si>
    <t>HALLAND APH'25</t>
  </si>
  <si>
    <t>ICLOUD OPENING: NIGERIA</t>
  </si>
  <si>
    <t>2347036526897</t>
  </si>
  <si>
    <t>4577959bfa554936a6526f0982c3be05</t>
  </si>
  <si>
    <t>iPhone 13 Midnight IOS UPDATE</t>
  </si>
  <si>
    <t>a7e497ab71384429b8c0ce95cc9ca8dd</t>
  </si>
  <si>
    <t>iPhone 11 White 64GB IOS UPDATE</t>
  </si>
  <si>
    <t>15ffb724ed274b268cf719ed49fe790f</t>
  </si>
  <si>
    <t xml:space="preserve">iPhone 12 Pro Graphite 128GB IOS UPDATE </t>
  </si>
  <si>
    <t>972d7161283744bcb0a3d4083be1e833</t>
  </si>
  <si>
    <t>iPhone 16 Plus Black 128GB IOS UPDATE</t>
  </si>
  <si>
    <t>878a32279ea3469e97ac577ca25c7020</t>
  </si>
  <si>
    <t>234 707 173 6488</t>
  </si>
  <si>
    <t>d972aeb22bfa44ef85676312db1e8984</t>
  </si>
  <si>
    <t>e7272db6b45749baa33ab1cc1f06cbc1</t>
  </si>
  <si>
    <t>b9ed92d8614b4d6a8caaba715148b386</t>
  </si>
  <si>
    <t>72ddfdd191c4437482999d202d49ac35</t>
  </si>
  <si>
    <t>IPHONE 12 PRO</t>
  </si>
  <si>
    <t>1af677ea2d744772910ea9f7a94f9ad6</t>
  </si>
  <si>
    <t>IPHONE 12 RED IOS UPDATE</t>
  </si>
  <si>
    <t>13bf145699194c99a17ac80cf9a436f3</t>
  </si>
  <si>
    <t>IPHONE 16 IOS UPDATE: ULTRAMARINE BLUE: P + E</t>
  </si>
  <si>
    <t>d7e71a38b0034350ab2b224f321f1190</t>
  </si>
  <si>
    <t>130K BALANCE FOR FLIMS IPHONE 16 PRO MAX ( AFTER REMOVING 16 PRO BALANCE)</t>
  </si>
  <si>
    <t>48dd0617b9d84dceb67fae43d64a961d</t>
  </si>
  <si>
    <t>IPHONE 17 PRO IOS UPDATE: DEEP PURPLE</t>
  </si>
  <si>
    <t>f9bbdd20fb3640a5acdc13dbdd62537a</t>
  </si>
  <si>
    <t>DRAKE DEMO</t>
  </si>
  <si>
    <t>2347030489956</t>
  </si>
  <si>
    <t>0fe6a72c7f424b3083b60effe1059dd8</t>
  </si>
  <si>
    <t>INTEREST ON MONEY BORROWED</t>
  </si>
  <si>
    <t>1118fbadabba4ad8a92f60249a86ab94</t>
  </si>
  <si>
    <t>iPhone 15 Pro IOS UPDATE: Blue Titanium</t>
  </si>
  <si>
    <t>a64abeb5462d48988a94f7f27b07ae89</t>
  </si>
  <si>
    <t>MOLYM VENTURES</t>
  </si>
  <si>
    <t>5 UNITS OF CHIP: YELLOW AND BALANCE OF LAST CHIP PURCHASE</t>
  </si>
  <si>
    <t>2348106236036</t>
  </si>
  <si>
    <t>bba576f0dcca4ba7b200ff49d421d56f</t>
  </si>
  <si>
    <t xml:space="preserve">IPHONE XR BLUE IOS UPDATE </t>
  </si>
  <si>
    <t>7448b04dbae445f69695734e26e4952a</t>
  </si>
  <si>
    <t>IPHONE 16 IOS UPDATE: TEAL: SENT WIZZY</t>
  </si>
  <si>
    <t>9038001b9e034303a44d50ad17fc00d6</t>
  </si>
  <si>
    <t>iPhone 14 Pro Max Silver 256GB IOS UPDATE</t>
  </si>
  <si>
    <t>45c63e3280694261a0aa1524364fd8fb</t>
  </si>
  <si>
    <t>iPhone 17 Pro Cosmic Orange IOS UPDATE</t>
  </si>
  <si>
    <t>d1cc7edd1d524c48aa0b76674c3e725c</t>
  </si>
  <si>
    <t>42db7488a95d409b82c83473af3be3ff</t>
  </si>
  <si>
    <t>6a82af9f7f104d1bad82a316f6d22c74</t>
  </si>
  <si>
    <t>9c71280a63414b5b807fd0d34f59e85d</t>
  </si>
  <si>
    <t>0b4fdcb48d364675919edbfd3e43597f</t>
  </si>
  <si>
    <t>iPhone 15 Pro</t>
  </si>
  <si>
    <t>351188229101645</t>
  </si>
  <si>
    <t>23c1fd795553499b8ed7d046646765d0</t>
  </si>
  <si>
    <t>iPhone 14 Pro Deep Purple 256GB</t>
  </si>
  <si>
    <t>7d30bf0700b849b2a7f18fd57c0e9e7a</t>
  </si>
  <si>
    <t>768ee47248b345a184430b3c9fb7be62</t>
  </si>
  <si>
    <t>4afbe1233e084610b40bcd5a01ef8141</t>
  </si>
  <si>
    <t>iPhone 15 Plus Black 128GB</t>
  </si>
  <si>
    <t>357136795531251</t>
  </si>
  <si>
    <t>unpaid</t>
  </si>
  <si>
    <t>0ec5d2a41e654316b55859cd5c6ed642</t>
  </si>
  <si>
    <t>WIDAD</t>
  </si>
  <si>
    <t>IPHONE 17 PRO MAX IOS UPDATE: SILVER: ESIM ONLY</t>
  </si>
  <si>
    <t>2347062514545</t>
  </si>
  <si>
    <t>3dec1fa976b8467b8d4ffac1fc35c308</t>
  </si>
  <si>
    <t>IPHONE 17 PRO MAX IOS UPDATE: SILVER</t>
  </si>
  <si>
    <t>0aca9e02c7e04760b2ec7074969863b3</t>
  </si>
  <si>
    <t>IPHONE 17 PRO: ORANGE</t>
  </si>
  <si>
    <t>0ebe9ed973ef4cc3978207bbeed258e3</t>
  </si>
  <si>
    <t>IPHONE 13 PRO IOS FIX BATTERY UPDATE</t>
  </si>
  <si>
    <t>da76895bd3134530b6b7d4de15d4533c</t>
  </si>
  <si>
    <t>357170546854167</t>
  </si>
  <si>
    <t>81d4b9faf3db447cbb8ac1d8ca8392f7</t>
  </si>
  <si>
    <t>OZZY</t>
  </si>
  <si>
    <t>2348148670276</t>
  </si>
  <si>
    <t>0b92061eaa704ac1a05bda8e6ee71797</t>
  </si>
  <si>
    <t>IPHONE 17 AIR SPACE BLACK IOS UPDATE</t>
  </si>
  <si>
    <t>ada988509fc34a71a2e0794f2dbac4e8</t>
  </si>
  <si>
    <t>IPHONE 14 PRO DEEP PURPLE 128GB IOS UPDATE</t>
  </si>
  <si>
    <t>0346a486a1cf48a0a4b99280db948e2f</t>
  </si>
  <si>
    <t>OLUBAYO IFE</t>
  </si>
  <si>
    <t>CHIP UNLOCK FOR IPHONE 13 PRO MAX</t>
  </si>
  <si>
    <t>2347071307974</t>
  </si>
  <si>
    <t>6001632aa4104969848ef3901ac34f51</t>
  </si>
  <si>
    <t>LOVETH KAYWISE</t>
  </si>
  <si>
    <t>IPHONE 16 PRO IOS UPDATE: DESERT TITANIUM</t>
  </si>
  <si>
    <t>2348147148695</t>
  </si>
  <si>
    <t>4e8d357a02de4c88ac41888067ad3aa0</t>
  </si>
  <si>
    <t>KHING [GOMEZ STORE]</t>
  </si>
  <si>
    <t>WHATSAPP TRANDFER</t>
  </si>
  <si>
    <t>2349059122301</t>
  </si>
  <si>
    <t>0c5df8ff9ebc40e8bd7a94c1949a43dc</t>
  </si>
  <si>
    <t>FEMI IBUGATTI</t>
  </si>
  <si>
    <t>iPhone 17 Pro Sliver 256GB IOS UPDATE</t>
  </si>
  <si>
    <t>2348149965431</t>
  </si>
  <si>
    <t>2fa99102f57d42bf8c22b2dc4a5b6a9a</t>
  </si>
  <si>
    <t>fb9848b8b2d74bd6b9742075d2d73007</t>
  </si>
  <si>
    <t>b5a6fd81466348cca387a0023f66ae9b</t>
  </si>
  <si>
    <t>iPhone 13 Pro Max Alpine Green 128GB IOS UPDATE</t>
  </si>
  <si>
    <t>aa92ea03a8734f7e9240fc34a8513c7f</t>
  </si>
  <si>
    <t>240d1469fb344be0ad00768d5f5afff6</t>
  </si>
  <si>
    <t>EMMANUEL OLAMILEKAN</t>
  </si>
  <si>
    <t>CHIP UNLOCKING</t>
  </si>
  <si>
    <t>2349166542597</t>
  </si>
  <si>
    <t>920e4b64d4854fc290c6b21d4d6cee88</t>
  </si>
  <si>
    <t>IPHONE 14 PRO IOS UPDATE: SILVER</t>
  </si>
  <si>
    <t>fd614e1f38b54d588e2a7cf757586ed9</t>
  </si>
  <si>
    <t>563177983ebe43f486545354afc072f1</t>
  </si>
  <si>
    <t>iPhone 14 Pro Space Black 128GB IOS UPDATE</t>
  </si>
  <si>
    <t>a04a1f0b06d9432491798c4c484e0a0a</t>
  </si>
  <si>
    <t>fb9d2efb8e554c62960a885a47328692</t>
  </si>
  <si>
    <t>FOSTER</t>
  </si>
  <si>
    <t>iPhone 16 Ultramarine 128GB</t>
  </si>
  <si>
    <t>2349135046871</t>
  </si>
  <si>
    <t>e007b06b8c784762b28f6cfd20b62456</t>
  </si>
  <si>
    <t>AHB</t>
  </si>
  <si>
    <t>2349136777731</t>
  </si>
  <si>
    <t>59d2a12e1ae74ce68fbbb3ea2930e8a7</t>
  </si>
  <si>
    <t>IPHONE 16E IOS UPDATE</t>
  </si>
  <si>
    <t>346d68a5be6346098f232a5406048c12</t>
  </si>
  <si>
    <t>iPhone 14 Pro Deep Purple 128GB IOS UPDATE</t>
  </si>
  <si>
    <t>5f175c65965d4472b99ef13334dc4f9f</t>
  </si>
  <si>
    <t>iPhone 17 Pro Max Sliver 512GB IOS UPDATE</t>
  </si>
  <si>
    <t>2349040943517</t>
  </si>
  <si>
    <t>7d35c93a80d64c83a113a57889becb76</t>
  </si>
  <si>
    <t>ACTIVATION LOCK REMOVAL REQUEST</t>
  </si>
  <si>
    <t>cc20c1b3497742f2acf59b3e00090092</t>
  </si>
  <si>
    <t>OG SCOTT</t>
  </si>
  <si>
    <t>S21 5G</t>
  </si>
  <si>
    <t>354034472315143/73</t>
  </si>
  <si>
    <t>2348140980933</t>
  </si>
  <si>
    <t>7fd791800e2c4f68bdcd2a5c566e6359</t>
  </si>
  <si>
    <t>OPEN BOX IPHONE 15 PHY+ESIM</t>
  </si>
  <si>
    <t>356258487038139</t>
  </si>
  <si>
    <t>6d58386ab153475983878a051e79b54c</t>
  </si>
  <si>
    <t>IPHONE 16 IOS UPDATE: PINK</t>
  </si>
  <si>
    <t>b387a10ba1c940d1a6d5f52f445d119b</t>
  </si>
  <si>
    <t>ICLOUD BYPASS</t>
  </si>
  <si>
    <t>7826afa257bb45b0bdf1292bc6ce91f2</t>
  </si>
  <si>
    <t>OG LEVEL</t>
  </si>
  <si>
    <t>IPHONE 16 PRO</t>
  </si>
  <si>
    <t>353268399262753</t>
  </si>
  <si>
    <t>2349064673042</t>
  </si>
  <si>
    <t>306b0844c94d4a29978ebe1ac702e445</t>
  </si>
  <si>
    <t>IPHONE 7 FLASHING: SILVER</t>
  </si>
  <si>
    <t>a967f662e4204aa4bedd65d83023d883</t>
  </si>
  <si>
    <t>ENESTA</t>
  </si>
  <si>
    <t>2347032770703</t>
  </si>
  <si>
    <t>6b09ef79334c41268e5212f7d89d3230</t>
  </si>
  <si>
    <t>8f22d35145234615984b3a4e39feaa5c</t>
  </si>
  <si>
    <t>iPhone 12 Black 64GB FLSHING + MDM BYPASS</t>
  </si>
  <si>
    <t>114776968b624b0c95ea889a07740f4e</t>
  </si>
  <si>
    <t>IPHONE 17 PRO MAX IOS UPDATE: ORANGE</t>
  </si>
  <si>
    <t>8f46370e47f94fc4830097d05e96ca54</t>
  </si>
  <si>
    <t>IPHONE 13 IOS UPDATE: RED</t>
  </si>
  <si>
    <t>c9cc2c1d8f6844f2a51b80580d98594f</t>
  </si>
  <si>
    <t>APPLE ID CREATION</t>
  </si>
  <si>
    <t>28ea9966410640da917b3b5d5b71b427</t>
  </si>
  <si>
    <t>IPHONE 17 AIR SKY BLUE IOS UPDATE</t>
  </si>
  <si>
    <t>ff226b550e8c4315bd914e215309748b</t>
  </si>
  <si>
    <t>iPhone 13 Pro Graphite 128GB IOS UPDATE</t>
  </si>
  <si>
    <t>9aec126fbffe43aa8188946822a23a6c</t>
  </si>
  <si>
    <t>2e1ab03f8c0545a784ec1c2ff0983c1c</t>
  </si>
  <si>
    <t>iPhone 12 Pro Silver 256GB IOS UPDATE</t>
  </si>
  <si>
    <t>ccc9d1d9975940aa8e5cf79430f4682f</t>
  </si>
  <si>
    <t>e09330d4383f453a89e7ed215190ddba</t>
  </si>
  <si>
    <t>IPHONE 16</t>
  </si>
  <si>
    <t>357762267842460</t>
  </si>
  <si>
    <t>c441deb7421044da811a8422ddec8973</t>
  </si>
  <si>
    <t>ADESOLA AYODELE</t>
  </si>
  <si>
    <t>IPHONE 15 PRO</t>
  </si>
  <si>
    <t>353431655327849</t>
  </si>
  <si>
    <t>2349166314423</t>
  </si>
  <si>
    <t>7369d00993974296828d781b15efe24b</t>
  </si>
  <si>
    <t>b675dec0ff8e4f1cbc7f8868124791a4</t>
  </si>
  <si>
    <t>KABEX KAYWISE</t>
  </si>
  <si>
    <t>2349167221871</t>
  </si>
  <si>
    <t>69dced2a95ac4544bab5f5bda7e2a75d</t>
  </si>
  <si>
    <t>iPhone 11 Pro Max Gold</t>
  </si>
  <si>
    <t>197ef5c8731b4ceea7b879fd0394d239</t>
  </si>
  <si>
    <t>2b20ff047311439086fd2a5dc9020ab6</t>
  </si>
  <si>
    <t>ADEX GADGETS</t>
  </si>
  <si>
    <t>iPhone 13 Midnight 128GB IOS UPDATE</t>
  </si>
  <si>
    <t>2347067852062</t>
  </si>
  <si>
    <t>9ba7b3c13f4b4dfebd82f95ebf1592d2</t>
  </si>
  <si>
    <t>GBOLAHAN</t>
  </si>
  <si>
    <t>2348144786552</t>
  </si>
  <si>
    <t>d2527d509ec44261a212f858f29e61e8</t>
  </si>
  <si>
    <t>IPHONE TYPS C FIBRE CORD</t>
  </si>
  <si>
    <t>cb6a885b231144ffadb76e47488fa73c</t>
  </si>
  <si>
    <t>af7af7abacfb4953ae57bafa0277a374</t>
  </si>
  <si>
    <t>IPHONE 16 PLUS FLASHING</t>
  </si>
  <si>
    <t>ff1da314cf98416a96e805a9005e0f9d</t>
  </si>
  <si>
    <t>WILLIX</t>
  </si>
  <si>
    <t>IPHONE XR BATTERY FIX</t>
  </si>
  <si>
    <t>2348142600412</t>
  </si>
  <si>
    <t>06e6102a747040cc8c93400cb6770a91</t>
  </si>
  <si>
    <t>e5e7274dbbea4ac08c6310e2c6cc4701</t>
  </si>
  <si>
    <t>iPhone 12 Pro Max Gold 256GB IOS UPDATE</t>
  </si>
  <si>
    <t>0df45539da6c4dd289560fbe23e32943</t>
  </si>
  <si>
    <t>iPhone 15 Blue 128GB IOS UPDATE</t>
  </si>
  <si>
    <t>999ff1175779408a95433350b793d59c</t>
  </si>
  <si>
    <t>VICTOR EXCEL</t>
  </si>
  <si>
    <t>353992319885357</t>
  </si>
  <si>
    <t>2347046258301</t>
  </si>
  <si>
    <t>051f6e04c34640c4b11dd965b599fc2f</t>
  </si>
  <si>
    <t>iPhone 11 Pro Max</t>
  </si>
  <si>
    <t>353906104909362</t>
  </si>
  <si>
    <t>454fe223cd284ddf8af9ba1c2b3e6bb2</t>
  </si>
  <si>
    <t>JEFFERY EMONEMA</t>
  </si>
  <si>
    <t>IPHONE 16 P + E</t>
  </si>
  <si>
    <t>357498197864031</t>
  </si>
  <si>
    <t>2347025278481</t>
  </si>
  <si>
    <t>77928bc68686444ab2702d043221e06e</t>
  </si>
  <si>
    <t>TYPE C TO C</t>
  </si>
  <si>
    <t>7f32d0d4480e4998924405c37a4002e1</t>
  </si>
  <si>
    <t>IPHONE 13 PRO SIERRA BLUE IOS UPDATE</t>
  </si>
  <si>
    <t>199fcabc2f6942e488b13a4f9fc1288a</t>
  </si>
  <si>
    <t>ADEBAYO ROKEEB</t>
  </si>
  <si>
    <t>SAMSUNG GALAXY S22 SEALED</t>
  </si>
  <si>
    <t>358933738239243</t>
  </si>
  <si>
    <t>2348073670589</t>
  </si>
  <si>
    <t>dbfd6c18e6ea4698a28e78ac259d8f5b</t>
  </si>
  <si>
    <t>b17589971f5f4286a20108122df058ec</t>
  </si>
  <si>
    <t>IPHONE 17 PRO MAX UNLOCKING</t>
  </si>
  <si>
    <t>b7bf0597a69241a09d1bf942d29b31d3</t>
  </si>
  <si>
    <t>59ded1f6b2174fd197001bb94049c7e6</t>
  </si>
  <si>
    <t>AYOMIDE DAVIDE FASORE</t>
  </si>
  <si>
    <t>iPhone 12 Pro Max</t>
  </si>
  <si>
    <t>350022963659040</t>
  </si>
  <si>
    <t>2348034910127</t>
  </si>
  <si>
    <t>e18f5df5086b457f9317f13ccb789dc0</t>
  </si>
  <si>
    <t>SWEETBOY</t>
  </si>
  <si>
    <t>VICTUS BY HP GAMING LAPTOP 15-fa2xxx</t>
  </si>
  <si>
    <t>1H85136QQB</t>
  </si>
  <si>
    <t>2349039519037</t>
  </si>
  <si>
    <t>d5ab54a1ee49449b92fa552fe0f14cbb</t>
  </si>
  <si>
    <t>IPHONE 7 SILVER IOS UPDATE</t>
  </si>
  <si>
    <t>3c74cae093cd4d128b91118f1b6d1ba2</t>
  </si>
  <si>
    <t>AKINPELUMI MEE</t>
  </si>
  <si>
    <t>PAID 10K LOAN</t>
  </si>
  <si>
    <t>2349039596257</t>
  </si>
  <si>
    <t>8d66b61d21ba4f84bdbb54a95a1a0778</t>
  </si>
  <si>
    <t>IPHONE 17 PRO MAX IOS UPDATE: ORANGE: 2 UNITS</t>
  </si>
  <si>
    <t>3f48de936619426e82a11be9c71da9f9</t>
  </si>
  <si>
    <t>IPHONE X FLASH: BLACK</t>
  </si>
  <si>
    <t>0fdce51fee8f4a43860ac884ad5972f4</t>
  </si>
  <si>
    <t>BOLTUNSAM INT'L LTD</t>
  </si>
  <si>
    <t>2347067042742</t>
  </si>
  <si>
    <t>e4900fb25d4348f0854912bacd0180e7</t>
  </si>
  <si>
    <t>IPHONE 14 PRO</t>
  </si>
  <si>
    <t>351284086814162</t>
  </si>
  <si>
    <t>96463e620cb64b4784497bc7a4a9d671</t>
  </si>
  <si>
    <t>iPhone 12 Pro Max Gold 128GB IOS UPDATE</t>
  </si>
  <si>
    <t>31b443d11f7b4d429f05dc9aca48387f</t>
  </si>
  <si>
    <t>IPHONE 16 PLUS TEAL IOS UPDATE</t>
  </si>
  <si>
    <t>8572df829beb436592134ad9fca23d10</t>
  </si>
  <si>
    <t>b420c0ad4c0b446cb466a46b382d6aba</t>
  </si>
  <si>
    <t>OLLY ESIM</t>
  </si>
  <si>
    <t>3 MONTHS USA ESIM</t>
  </si>
  <si>
    <t>2348140182599</t>
  </si>
  <si>
    <t>3c2632976d334c748f1635f37ebf9c1f</t>
  </si>
  <si>
    <t>iPhone 15 Plus Blue 128GB IOS UPDATE</t>
  </si>
  <si>
    <t>378ae1d2dc9a4a248f2743a4a261d2ba</t>
  </si>
  <si>
    <t>RIDWAN</t>
  </si>
  <si>
    <t>2349061789152</t>
  </si>
  <si>
    <t>c434661f31f144099f26e2d32f82faeb</t>
  </si>
  <si>
    <t>IPHONE 16 PRO MAX UNLOCKING</t>
  </si>
  <si>
    <t>68b8704a14af44d2a2421b3686e99868</t>
  </si>
  <si>
    <t>SAMSUNG S24 ULTRA</t>
  </si>
  <si>
    <t>351885215226753/13</t>
  </si>
  <si>
    <t>3822a62efc51456bab2d6c30a4cf0b2c</t>
  </si>
  <si>
    <t>iPhone 16 Teal 128GB IOS UPDATE</t>
  </si>
  <si>
    <t>4714e58ccc6142868b3ec6bd1a16605f</t>
  </si>
  <si>
    <t>fbe9067f68b644119e96a03889484885</t>
  </si>
  <si>
    <t>IPHONE 16 PLUS IOS UPDATE: BLUE TITANIUM</t>
  </si>
  <si>
    <t>215a331dacf14c778bdfb77217446b2e</t>
  </si>
  <si>
    <t>ebac5683940b49649d364d3c98b7c125</t>
  </si>
  <si>
    <t>a10a9c96fa1d419b8bd930a2967254e5</t>
  </si>
  <si>
    <t>354029285395035</t>
  </si>
  <si>
    <t>51a11475000a4dad876d924d39ad978c</t>
  </si>
  <si>
    <t>888f58ebfded4c06b0b796da3555b3dc</t>
  </si>
  <si>
    <t>IPHONE 15 PRO MAX IOS UPDATE: NATURAL TITANIUM</t>
  </si>
  <si>
    <t>d43893a8d069444d8d3fcf8fd40c5271</t>
  </si>
  <si>
    <t>ICLOUD OPENING:  NIGERIA</t>
  </si>
  <si>
    <t>503533fe09774754b6fb286218f09a8c</t>
  </si>
  <si>
    <t>IPHONE 11 PRO MAX GOLD IOS UPDATE | NOTE: SENT FUNMI</t>
  </si>
  <si>
    <t>56ee6900434c41c88bd3722f84b87077</t>
  </si>
  <si>
    <t>4b479807ecf14e67a7516c17dcf3ac02</t>
  </si>
  <si>
    <t>iPhone 15 Pro Black Titanium 128GB IOS UPDATE | NOTE: SENT FUNMI</t>
  </si>
  <si>
    <t>1a390f8f41994c1e915a89b0c3eb9cdb</t>
  </si>
  <si>
    <t>IPHONE XR BLACK LOCATION CHANGING | NOTE: NURUDEEN CUSTOMER</t>
  </si>
  <si>
    <t>cca0f0ca550f4b51af39432a093eb2dc</t>
  </si>
  <si>
    <t>293f2938a2fa4b0ea90d41bdbd78819c</t>
  </si>
  <si>
    <t>THANKGOD CONCEPT</t>
  </si>
  <si>
    <t>iPhone 14 Pro Max</t>
  </si>
  <si>
    <t>356200546566213</t>
  </si>
  <si>
    <t>2349060695934</t>
  </si>
  <si>
    <t>2696bc71dd6a468f9f27f46622598522</t>
  </si>
  <si>
    <t>IPHONE 7 BLACK IOS UPDATE</t>
  </si>
  <si>
    <t>86db3ef22d504078811599b1b118a9f0</t>
  </si>
  <si>
    <t>ENGR AZ</t>
  </si>
  <si>
    <t>USA 3 MONTHS ESIM</t>
  </si>
  <si>
    <t>2348166397858</t>
  </si>
  <si>
    <t>bb6569b576f44b09b89983e0b216b17e</t>
  </si>
  <si>
    <t>TIZZY</t>
  </si>
  <si>
    <t>IPHONE 12 PRO MAX CHIP UNLOCKING: STABLE CHIP</t>
  </si>
  <si>
    <t>2347067356481</t>
  </si>
  <si>
    <t>822f34ecd11047ab964fdfe2b8449d83</t>
  </si>
  <si>
    <t>iPhone 16 Plus Pink 128GB IOS UPDATE | NOTE: SENT DARASIMI</t>
  </si>
  <si>
    <t>b93b44e37d8c4b8da96d66176bd8c549</t>
  </si>
  <si>
    <t>e1a0d575a6d74235925a4dc9fdc32180</t>
  </si>
  <si>
    <t>4d078fb2f605490fa4309d55610573d3</t>
  </si>
  <si>
    <t>DOVESGADGETS</t>
  </si>
  <si>
    <t>354540530464186</t>
  </si>
  <si>
    <t>2348131118365</t>
  </si>
  <si>
    <t>9e3124bbc1f4401ead92add2a4bb3d73</t>
  </si>
  <si>
    <t>AREMO</t>
  </si>
  <si>
    <t>IPHONE 16 PLUS APPLE LOGO LOOP FIX</t>
  </si>
  <si>
    <t>2349037888923</t>
  </si>
  <si>
    <t>5b134981b1ab4dec9b0e7b9ad2789415</t>
  </si>
  <si>
    <t>FEMI</t>
  </si>
  <si>
    <t>IPHONE 12 IOS UPDATE: BLACK</t>
  </si>
  <si>
    <t>2349037004973</t>
  </si>
  <si>
    <t>55a0bcc14fd04c9b988b5351091f7e98</t>
  </si>
  <si>
    <t>iPhone 14 Pro Silver 128GB IOS UPDATE | NOTE: SENT DAUNSI</t>
  </si>
  <si>
    <t>745f6bef8f114bfab27648e4a4898023</t>
  </si>
  <si>
    <t>IPHONE 11 SDP FLASH: BLACK</t>
  </si>
  <si>
    <t>de5a96f971b44ade8e636890feed945c</t>
  </si>
  <si>
    <t>iPhone 14 Pro Gold 256GB IOS UPDATE</t>
  </si>
  <si>
    <t>16548480946740b6bb3c7d5fb582609e</t>
  </si>
  <si>
    <t>TUNARO</t>
  </si>
  <si>
    <t>SPOOFING LOCATION FOR IPHONE 17 PRO MAX</t>
  </si>
  <si>
    <t>2349038269473</t>
  </si>
  <si>
    <t>0c47839ef9344003a71c0ac73b20da53</t>
  </si>
  <si>
    <t>iphone 12 pro max PACIFIC BLUE 128GB IOS UPDATE | NOTE: SENT DARASIMI</t>
  </si>
  <si>
    <t>07e72a35f678483ab559f8d0ac47ab0e</t>
  </si>
  <si>
    <t>FILE TRANSFER: IPHONE 12 TO IPHOINE XR | NOTE: LOWER IOS VERSION</t>
  </si>
  <si>
    <t>bf4ee38538de43ad98ec76c7a0cd6c1a</t>
  </si>
  <si>
    <t>MACBOOK M1 PRO 2020</t>
  </si>
  <si>
    <t>C02G38FWQ05N</t>
  </si>
  <si>
    <t>b82b68840939402081236a70dab6fdb4</t>
  </si>
  <si>
    <t>GLORY HOLLAH GADGETS</t>
  </si>
  <si>
    <t>IPHONE 12 PRO MAX GOLD IOS UPDATE</t>
  </si>
  <si>
    <t>2349160584225</t>
  </si>
  <si>
    <t>8cfd44399b0240a99e232623a71d59ff</t>
  </si>
  <si>
    <t>c788e5b5768e4bc49460ce3708c121ef</t>
  </si>
  <si>
    <t>IPHONE XR BLUE IOS UPDATE</t>
  </si>
  <si>
    <t>09bdf58122734aab833db5de09ecdccf</t>
  </si>
  <si>
    <t>iPhone 16 White 128GB IOS UPDATE | NOTE: SENT DARASIMI</t>
  </si>
  <si>
    <t>279633a46dfd465491654f79d274ccfb</t>
  </si>
  <si>
    <t>IJEOMA</t>
  </si>
  <si>
    <t>IPHONE XSMAX SYSTEM DATA SPACE FIX</t>
  </si>
  <si>
    <t>2349033337256</t>
  </si>
  <si>
    <t>fd293b222ad94dfaa5c7709272b81ac5</t>
  </si>
  <si>
    <t>SAM EXCHANGE</t>
  </si>
  <si>
    <t>ICLOUD OPENING: NIGERIA | NOTE: Blessing oluwaseun, blessingoluwaseunogunleye@gmail.com,  07035919593 , Password provided: AppleID2026#  adjusted date to 2004 from 2006</t>
  </si>
  <si>
    <t>2349165644976</t>
  </si>
  <si>
    <t>3e85790a3f71459186dc1d79f40542e3</t>
  </si>
  <si>
    <t>iPhone 14 Starlight 128GB IOS UPDATE</t>
  </si>
  <si>
    <t>bb0b51b345ad4e3c94083dcf445780b0</t>
  </si>
  <si>
    <t>DAMOLA FCG</t>
  </si>
  <si>
    <t>STABLE CHIP FOR IPHONE 12</t>
  </si>
  <si>
    <t>2348059523385</t>
  </si>
  <si>
    <t>91908ab3d30046fbad8a7842b42b896b</t>
  </si>
  <si>
    <t>IPHONE 14 PRO MAX IOS UPDATE: PURPLE</t>
  </si>
  <si>
    <t>8ecb3a7be39241d495ad5ca20ef096f5</t>
  </si>
  <si>
    <t>iPhone 11 Black 128GB IOS UPDATE</t>
  </si>
  <si>
    <t>6c74b64cd4624923abc4da8a7fe201f5</t>
  </si>
  <si>
    <t>DELIGHT</t>
  </si>
  <si>
    <t>IPHONE 14 PRO IOS UPDATE: SPACE BLACK</t>
  </si>
  <si>
    <t>2347065811799</t>
  </si>
  <si>
    <t>4e0b656ecf504d1f863e7afcf71bc79c</t>
  </si>
  <si>
    <t>IPHONE 15 PLUS IOS UPDATE: sky blue</t>
  </si>
  <si>
    <t>4c1ae6ac618c40f4ba59803e48c316ca</t>
  </si>
  <si>
    <t>6d8537f9332745c3b8a586cf0e8bb7bf</t>
  </si>
  <si>
    <t>ccf9381b3265423987e5a69b6f99ce4f</t>
  </si>
  <si>
    <t>cb0ef351761c49aba60d15a52b0d2d4b</t>
  </si>
  <si>
    <t>791f0e83908b48ff9b715b47d0344715</t>
  </si>
  <si>
    <t>beba1d8c00c441aab3a7781d4c40ca5e</t>
  </si>
  <si>
    <t>608e7a872d844bf293c6a18f2a58a0a5</t>
  </si>
  <si>
    <t>c8c1fd8ae0624c25b977d2ce27d93115</t>
  </si>
  <si>
    <t>760eb13aaaae43c6a7504ceaa6cbf0cc</t>
  </si>
  <si>
    <t>82f5e54f4df24fa388af8c610e38d059</t>
  </si>
  <si>
    <t>IPHONE 6S REMOTE MANAGEMENT BYPASS</t>
  </si>
  <si>
    <t>2e7e70935cff4be58935fe9ae33e0b40</t>
  </si>
  <si>
    <t>SMART</t>
  </si>
  <si>
    <t>iPhone 11 Red 64GB IOS UPDATE</t>
  </si>
  <si>
    <t>2347059966105</t>
  </si>
  <si>
    <t>262c14913b494272bea6f49b2426da17</t>
  </si>
  <si>
    <t>fcae536a2c2d47aba7c90160cf21f223</t>
  </si>
  <si>
    <t>IPHONE 17 PRO MAX IOS UPDATE: silver</t>
  </si>
  <si>
    <t>88335141cfc34b7f9f892b5983072553</t>
  </si>
  <si>
    <t>IPHONE 17 PRO MAX</t>
  </si>
  <si>
    <t>359814712534123</t>
  </si>
  <si>
    <t>ee27039918c846a28d7a3bf469daf33c</t>
  </si>
  <si>
    <t>3fd5b3da7c9d4e5284378a4e4ee6b0c4</t>
  </si>
  <si>
    <t>IPHONE 12 IOS UPDATE: Blue</t>
  </si>
  <si>
    <t>2d568bbb8896457a8bbc25d6963b30d3</t>
  </si>
  <si>
    <t>IPHONE 11 PRO MAX FLASH: Gold</t>
  </si>
  <si>
    <t>6a50925266b84b2084bf64406c7b429d</t>
  </si>
  <si>
    <t>856316c904d64d0282fb0417ad8a54e3</t>
  </si>
  <si>
    <t>Bashiru Rashidat rsd881557@gmail.com 08134453687 @Rashy2020 01/07/2000</t>
  </si>
  <si>
    <t>IPHONE 11 PRO MAX GOLD, 64GB, BATTERY CLIBRATE</t>
  </si>
  <si>
    <t>3861efa6b2994064b857502830eb7fc4</t>
  </si>
  <si>
    <t>DE YUNG</t>
  </si>
  <si>
    <t>IPHONE 12 IOS UPDATE AND FILE TRANSFER</t>
  </si>
  <si>
    <t>2347080377149</t>
  </si>
  <si>
    <t>37bbad53d6554503a1f937f77f31cf4d</t>
  </si>
  <si>
    <t>IPHONE 17 PRO MAX IMEI UNBARRING</t>
  </si>
  <si>
    <t>8a6e2e0ce9354524afda70e269b03d28</t>
  </si>
  <si>
    <t>IPHONE 12 PRO MAX IOS UPDATE: GOLD</t>
  </si>
  <si>
    <t>04372dbe7e1742e69017a00a521b9753</t>
  </si>
  <si>
    <t>OLUFAD TELECOMMUNICATION</t>
  </si>
  <si>
    <t>ICLOUD OPENING: USA</t>
  </si>
  <si>
    <t>2349033780767</t>
  </si>
  <si>
    <t>13acc9cefb2f4751b718a3f3365c8de0</t>
  </si>
  <si>
    <t>Esther Anderson scottoptimus235@gmail.com 11/11/1983 HustleHustle16 +18135951735</t>
  </si>
  <si>
    <t>39fb34c760fa428fba5fe4599d15d20d</t>
  </si>
  <si>
    <t>CUSTOMER WITHDREW 5K TO POS (FOR APPLE ID)</t>
  </si>
  <si>
    <t>57d2a500e1284755913d402e38bb9a4c</t>
  </si>
  <si>
    <t>IBUKUN OWOYEMI IBUKUNOLUWA55@GMAIL.COM 08131210907 AppleID2026# 5/5/1997</t>
  </si>
  <si>
    <t>CUSTOMER FILE TRANSFER</t>
  </si>
  <si>
    <t>47581fe4552344da9353bd4e9a501581</t>
  </si>
  <si>
    <t>IPHONE 13 PRO MAX BATTERY CALIBRATION: GRAPHITE</t>
  </si>
  <si>
    <t>e4cc8d32b3fb46799106c30400cf2375</t>
  </si>
  <si>
    <t>iPhone XR Blue 64GB IOS UODATE</t>
  </si>
  <si>
    <t>f28a024ac24147ae80983ee7b7fb60e3</t>
  </si>
  <si>
    <t>TIMILEYIN</t>
  </si>
  <si>
    <t>LOCATION SPOOFING</t>
  </si>
  <si>
    <t>911c6f21cbc54cc783be5468eaef6f58</t>
  </si>
  <si>
    <t>TOP NATION</t>
  </si>
  <si>
    <t>IPHONE 12 IOS UPDATE: Black</t>
  </si>
  <si>
    <t>54ba06843b65426d815d56c170cd2566</t>
  </si>
  <si>
    <t>bfd28c7f1c234764bd778c58f33406c7</t>
  </si>
  <si>
    <t>0072d24c33974aaf99ef89d3bc89b811</t>
  </si>
  <si>
    <t>1f81f96c1999436d8c2f874e27c114a4</t>
  </si>
  <si>
    <t>iPhone XR Black 64GB LOCATIN SPOOFING</t>
  </si>
  <si>
    <t>0c467deb9ec349fa8910104611601906</t>
  </si>
  <si>
    <t>IPHONE 17 PRO MAX SILVER IOS UPDATE</t>
  </si>
  <si>
    <t>c0b90f9bf755479a8da8741055535361</t>
  </si>
  <si>
    <t>2K CASH</t>
  </si>
  <si>
    <t>b6abb13974fb4f51a2a8c06c2a1161eb</t>
  </si>
  <si>
    <t>TONYTRENDS</t>
  </si>
  <si>
    <t>iPhone 17 Pro Max Cosmic Orange 256GB IOS UPDATE</t>
  </si>
  <si>
    <t>c30870d6d5314b178c3db2871c39b3b0</t>
  </si>
  <si>
    <t>e1fb75c2a57a4cad8074077d4dbbc26e</t>
  </si>
  <si>
    <t>81cbf41b97374fd49006cb10b089bd96</t>
  </si>
  <si>
    <t>iPhone 11 Black 64GB IOS UPDATE</t>
  </si>
  <si>
    <t>9c751732c0c0444999ad2906d8fcb39e</t>
  </si>
  <si>
    <t>PRINCE MOSES</t>
  </si>
  <si>
    <t>ICLOUD SIGN IN FIX</t>
  </si>
  <si>
    <t>b34f25dd40cc40f784b29c39f910b67f</t>
  </si>
  <si>
    <t>TUNA MONEY</t>
  </si>
  <si>
    <t>2b98c0b9e54b427c845305035cfb1f7f</t>
  </si>
  <si>
    <t>iPhone Air Light Gold 256GB IOS UPDATE</t>
  </si>
  <si>
    <t>5461fb6bbf26468eaae160b7771d7676</t>
  </si>
  <si>
    <t>ICLOUD FIX</t>
  </si>
  <si>
    <t>d40556f678da4955981868ccb314af31</t>
  </si>
  <si>
    <t>ICLOUD FIXING</t>
  </si>
  <si>
    <t>ca976c610c1c46839b728a66a8853a01</t>
  </si>
  <si>
    <t>PERFECT</t>
  </si>
  <si>
    <t>iPhone 14 Pro Max Deep Purple 256GB IOS UPDATE</t>
  </si>
  <si>
    <t>82b9920a6ec44bcebed8285bb95434e1</t>
  </si>
  <si>
    <t>SEALED IPHONE 17 PRO P + E</t>
  </si>
  <si>
    <t>66714584089b4ea6915cac4d952a3b03</t>
  </si>
  <si>
    <t>IPHONE 17 PRO COSMIC ORANGE IOS UPDATE</t>
  </si>
  <si>
    <t>159dd34a91e5474594ccdfe65c584a19</t>
  </si>
  <si>
    <t>dbe1f3ef2a964c4696f98eb433f9c3ad</t>
  </si>
  <si>
    <t>b26de9564dd640429155bd71e60c50e7</t>
  </si>
  <si>
    <t>c697a21abcb24c06ba740fbbb6142ee3</t>
  </si>
  <si>
    <t>7974dce216f545ce9d88bcc7a36d480b</t>
  </si>
  <si>
    <t>CHIKINIE MONIE</t>
  </si>
  <si>
    <t>BRAND NEW IPHONE 17 PRO MAX</t>
  </si>
  <si>
    <t>c883113beb794280a86f2acdc4cd151e</t>
  </si>
  <si>
    <t>iPhone 17 Pro DeepBlue 256GB IOS UPDATE</t>
  </si>
  <si>
    <t>2eed5cb8465c4a54bf0be3addb8c2cef</t>
  </si>
  <si>
    <t>2eb5b41e25584925b293d3bc99611830</t>
  </si>
  <si>
    <t>IPHONE 14 PRO IOS UPDATE: PURPLE</t>
  </si>
  <si>
    <t>6e1ce1129f9d459cb2a41c7edde8499c</t>
  </si>
  <si>
    <t>66cd8ff697bc4e24b7cdb04a5b071dd2</t>
  </si>
  <si>
    <t>PICTURES BACKUP AND RESTORE</t>
  </si>
  <si>
    <t>838dbc40bda045fa9150b06214dd16a0</t>
  </si>
  <si>
    <t>IPHONE 16 PLUS FACTORY UNLOCKING</t>
  </si>
  <si>
    <t>dd7514162bfb4f19863e69f57e58ab1e</t>
  </si>
  <si>
    <t>dfab6db889664757835961cef4f7e807</t>
  </si>
  <si>
    <t>iPhone 16 Plus Teal 128GB IOS UPDATE</t>
  </si>
  <si>
    <t>1ff528b5855e46c8b8ad9c32fc189c8c</t>
  </si>
  <si>
    <t>ICLOUD OPENING: Nigeria</t>
  </si>
  <si>
    <t>8c6082f288c945a0bfd0179e8c1910a3</t>
  </si>
  <si>
    <t>Joseph Oluwadare Olarewaju josepholarewaju86@gmail.com 08153932538 +18135951735 Jmoney@11</t>
  </si>
  <si>
    <t>EMMZY</t>
  </si>
  <si>
    <t>ICLOUD RECOVERY</t>
  </si>
  <si>
    <t>ea9503dcce67415dac36a7b1e01dcb78</t>
  </si>
  <si>
    <t>EMMANUEL DAMILARE</t>
  </si>
  <si>
    <t>004de24fa59a4733b1161dd0b72caa06</t>
  </si>
  <si>
    <t>Emmanuel Damilare ojo049102@gmail.com 08146527691 Emmyhot2005$ Feb 16 2005</t>
  </si>
  <si>
    <t>IPHONE 16 PLUS IOS UPDATE: Black</t>
  </si>
  <si>
    <t>3484713d95cc4674b28725b92bcaeb79</t>
  </si>
  <si>
    <t>HOUSE</t>
  </si>
  <si>
    <t>IPHONE 12 PRO UNLOCKING</t>
  </si>
  <si>
    <t>4c0112b7ee0b4239ae7e5b7355e82477</t>
  </si>
  <si>
    <t>TEST CLIENT</t>
  </si>
  <si>
    <t>TEST SERVICE</t>
  </si>
  <si>
    <t>46ea57d79ab947d6a8832b804686fbdd</t>
  </si>
  <si>
    <t>OPEYEMI STORE</t>
  </si>
  <si>
    <t>iPhone 12</t>
  </si>
  <si>
    <t>8fe2d586d14f4a96b55cab34eb095c62</t>
  </si>
  <si>
    <t>9136b680cb384a82a324d0a06968d275</t>
  </si>
  <si>
    <t>500K</t>
  </si>
  <si>
    <t>146a088d0bc544afa8e1d5c91249c94c</t>
  </si>
  <si>
    <t>OLUWATOMI VICTOR AVE</t>
  </si>
  <si>
    <t>d34adbebeda24fadb94cf2b6e6c5c465</t>
  </si>
  <si>
    <t>Oluwatomi Awe Romero.itz@gmail.com || 24th July 2004 || interestinG77*</t>
  </si>
  <si>
    <t>39d7e91eaa1449cab1f121fcd531129c</t>
  </si>
  <si>
    <t>3ef60095ff0d40f9b975bf25d6dcd234</t>
  </si>
  <si>
    <t>f09fd748413546ae8fae8896897d6549</t>
  </si>
  <si>
    <t>OPEN BOX IPHONE 17 PRO</t>
  </si>
  <si>
    <t>027091bb3097463297f8ca24a08c23ec</t>
  </si>
  <si>
    <t>iPhone 15 Pink 128GB IOS UPDATE</t>
  </si>
  <si>
    <t>73b004174ace4e48bdc9073c290c971f</t>
  </si>
  <si>
    <t>c5be7f3783c34951ab1bdb16d0038ce4</t>
  </si>
  <si>
    <t>c84f9ba7fcfb4e85a4f4fb87c81f11ce</t>
  </si>
  <si>
    <t>WILLIAMSTYLERXX@ICLOUD.COM</t>
  </si>
  <si>
    <t>c24d0edaa33a4c86a1586adc827b8c4e</t>
  </si>
  <si>
    <t>bd6aff48c2a34972bca8da9bfe7db07d</t>
  </si>
  <si>
    <t>IPHONE 14 PRO MAX IOS UPDATE: Space Black</t>
  </si>
  <si>
    <t>b7ff5d04ddec432abf74c27e83a8b7f5</t>
  </si>
  <si>
    <t>IPHONE 11 BATTERY CALIBRATION: Green</t>
  </si>
  <si>
    <t>a3c574aa9ead48018c691ac18436b97a</t>
  </si>
  <si>
    <t>IPHONE AIR IOS UPDATE: CLOUD EHITE</t>
  </si>
  <si>
    <t>c67dd8aed73c4e73b8ad56e7b66a64e3</t>
  </si>
  <si>
    <t>D_HYSE</t>
  </si>
  <si>
    <t>IPHONE 13 CHIP UNLOCKING</t>
  </si>
  <si>
    <t>a616317a394e426c879fe05b0b66c2bb</t>
  </si>
  <si>
    <t>iPhone 14 Pro Max Space Black 128GB IOS UPDATE</t>
  </si>
  <si>
    <t>39aa022136974f5ea9bf635363925bb9</t>
  </si>
  <si>
    <t>IPHONE 11 IOS UPDATE</t>
  </si>
  <si>
    <t>ec2f957b10894b5aa7c8e1fb98af20a7</t>
  </si>
  <si>
    <t>iPhone 15 Yellow 256GB UPGRADE &amp; WIPING</t>
  </si>
  <si>
    <t>3b29a209fd4e4872b0eb9918053440e0</t>
  </si>
  <si>
    <t>3bb04f960f0d4fddad489307c7bb8601</t>
  </si>
  <si>
    <t>600K CASH</t>
  </si>
  <si>
    <t>892ea329b06b4449aa5df5ed45839b54</t>
  </si>
  <si>
    <t>SAINTYUNG</t>
  </si>
  <si>
    <t>2056d34f4ebe4d709a850e67b341fdf9</t>
  </si>
  <si>
    <t>Josiahclinton078@gmail.com  09014272599 Josiah Clinton Aust, 3th 1997 mad121@Z</t>
  </si>
  <si>
    <t>IPHONE 13</t>
  </si>
  <si>
    <t>d3dfc67f18f3481ebd0730c250fb3338</t>
  </si>
  <si>
    <t>PROMISE OKON</t>
  </si>
  <si>
    <t>d76476da699148bf9d3cb4224295e64d</t>
  </si>
  <si>
    <t>Promise Okon okonpromise073@gmail.com 08138306902 14 March 2001 AppleID2026#</t>
  </si>
  <si>
    <t>OGRICHIE GADGETS</t>
  </si>
  <si>
    <t>f12b3c51d2cb44acbc866af079b2cfc2</t>
  </si>
  <si>
    <t>JOHNG</t>
  </si>
  <si>
    <t>IPHONE 14 PRO MAX: Deep Purple</t>
  </si>
  <si>
    <t>79153994b5044c19ad277506f30da1fb</t>
  </si>
  <si>
    <t>IPHONE 15 IOS UPDATE: Black</t>
  </si>
  <si>
    <t>bbfd9daa92b946ba8b5650cf50555475</t>
  </si>
  <si>
    <t>72690371600d4b95b2409b480f12eef1</t>
  </si>
  <si>
    <t>2729da159e384d008043a353f22ff6ac</t>
  </si>
  <si>
    <t>HYCE</t>
  </si>
  <si>
    <t>72b1e5506b784e2085fba385564ba4d0</t>
  </si>
  <si>
    <t>IPHONE 14 PRO MAX</t>
  </si>
  <si>
    <t>357183964961505</t>
  </si>
  <si>
    <t>0a6d9be76c164cadbd3da2658bed1644</t>
  </si>
  <si>
    <t>a496e2e16622423681047af51265ec42</t>
  </si>
  <si>
    <t>IPHONE 14 || PHYSICAL AND ESIM || 84% || MIDNIGHT</t>
  </si>
  <si>
    <t>c48a96c0cb5c4728a5301f9f072f07f0</t>
  </si>
  <si>
    <t>PROMISE OKWA</t>
  </si>
  <si>
    <t>IPHONE SE 2 ICLOUD BYPASS 18.3.1</t>
  </si>
  <si>
    <t>b6303a133d3a4162a6435462b70f8a46</t>
  </si>
  <si>
    <t>IPHONE 16 PRO MAX IOS UPDATE: DESERT</t>
  </si>
  <si>
    <t>ff49e66a0cf74676b25881749f5caac4</t>
  </si>
  <si>
    <t>EVaNS (STARBOX)</t>
  </si>
  <si>
    <t>MICROSOFT OFFICE FOR MACBOOK M3</t>
  </si>
  <si>
    <t>799c8091cc5347cc8659f4ebe8ef6248</t>
  </si>
  <si>
    <t>VEE MOBILE AND TECHNOLOGY</t>
  </si>
  <si>
    <t>IPHONE 16 PLUS IOS UPDATE. ULTRAMARINE BLUE</t>
  </si>
  <si>
    <t>9fb181535d8641949cb7d3ea4b6e6282</t>
  </si>
  <si>
    <t>iPhone 14 Pro Space Black 256GB IOS UPDATE</t>
  </si>
  <si>
    <t>78de58d172694c4dafababfa5baf5f8c</t>
  </si>
  <si>
    <t>HYPO EMM</t>
  </si>
  <si>
    <t>0903 578 3449</t>
  </si>
  <si>
    <t>76092a1e364742ed9885f8c306ccfdfe</t>
  </si>
  <si>
    <t>BRAMLEY</t>
  </si>
  <si>
    <t>038543cd767141bd97d20c59299eac7a</t>
  </si>
  <si>
    <t>ADESINA MEE</t>
  </si>
  <si>
    <t>IPHONE 14 PRO MAX. BACK GLASS CHANGE</t>
  </si>
  <si>
    <t>IPHONE 16 PLUS || OPENED BOX || ESIM || 96%</t>
  </si>
  <si>
    <t>352942563450037</t>
  </si>
  <si>
    <t>IPHONE 16 || ESIM UNLOCKED || ULTRAMARINE BLUE || 91%</t>
  </si>
  <si>
    <t>350465828975384</t>
  </si>
  <si>
    <t>Name</t>
  </si>
  <si>
    <t>Outstanding Amount</t>
  </si>
  <si>
    <t>NGN 1,150,000</t>
  </si>
  <si>
    <t>NGN 875,000</t>
  </si>
  <si>
    <t>NGN 825,000</t>
  </si>
  <si>
    <t>NGN 580,000</t>
  </si>
  <si>
    <t>NGN 475,000</t>
  </si>
  <si>
    <t>NGN 452,500</t>
  </si>
  <si>
    <t>NGN 395,000</t>
  </si>
  <si>
    <t>NGN 392,500</t>
  </si>
  <si>
    <t>NGN 305,000</t>
  </si>
  <si>
    <t>NGN 300,000</t>
  </si>
  <si>
    <t>ZEE</t>
  </si>
  <si>
    <t>NGN 37,500</t>
  </si>
  <si>
    <t>NGN 20,000</t>
  </si>
  <si>
    <t>NGN 15,000</t>
  </si>
  <si>
    <t>NGN 10,000</t>
  </si>
  <si>
    <t>NGN 9,500</t>
  </si>
  <si>
    <t>NGN 8,500</t>
  </si>
  <si>
    <t>NGN 8,000</t>
  </si>
  <si>
    <t>NGN 7,500</t>
  </si>
  <si>
    <t>NGN 6,500</t>
  </si>
  <si>
    <t>NGN 5,500</t>
  </si>
  <si>
    <t>NGN 5,000</t>
  </si>
  <si>
    <t>NGN 4,000</t>
  </si>
  <si>
    <t>NGN 2,500</t>
  </si>
  <si>
    <t>NGN 2,000</t>
  </si>
  <si>
    <t>2347017158374</t>
  </si>
  <si>
    <t>2347025790985</t>
  </si>
  <si>
    <t>2348146527691</t>
  </si>
  <si>
    <t>2347052035873</t>
  </si>
  <si>
    <t>2349133219270</t>
  </si>
  <si>
    <t>2349038212715</t>
  </si>
  <si>
    <t>2347053250105</t>
  </si>
  <si>
    <t>2349151646430</t>
  </si>
  <si>
    <t>2348103299135</t>
  </si>
  <si>
    <t>2348138306902</t>
  </si>
  <si>
    <t>2348105251875</t>
  </si>
  <si>
    <t>2347040339641</t>
  </si>
  <si>
    <t>2349014571637</t>
  </si>
  <si>
    <t>2349050226014</t>
  </si>
  <si>
    <t>2349153417872</t>
  </si>
  <si>
    <t>2349036264833</t>
  </si>
  <si>
    <t>2349017635284</t>
  </si>
  <si>
    <t>CATEGORY</t>
  </si>
  <si>
    <t>AMOUNT</t>
  </si>
  <si>
    <t>CREATED BY</t>
  </si>
  <si>
    <t>SOURCE</t>
  </si>
  <si>
    <t>PAYMENT_STATUS</t>
  </si>
  <si>
    <t>TYPE</t>
  </si>
  <si>
    <t>COST_PRICE</t>
  </si>
  <si>
    <t>PAYMENT_DATE</t>
  </si>
  <si>
    <t>Column 11</t>
  </si>
  <si>
    <t>Column 12</t>
  </si>
  <si>
    <t>Column 13</t>
  </si>
  <si>
    <t>Column 14</t>
  </si>
  <si>
    <t>Column 15</t>
  </si>
  <si>
    <t>Column 16</t>
  </si>
  <si>
    <t>Column 17</t>
  </si>
  <si>
    <t>Column 18</t>
  </si>
  <si>
    <t>Column 19</t>
  </si>
  <si>
    <t>Column 20</t>
  </si>
  <si>
    <t>Column 21</t>
  </si>
  <si>
    <t>Column 22</t>
  </si>
  <si>
    <t>Column 23</t>
  </si>
  <si>
    <t>Column 24</t>
  </si>
  <si>
    <t>Column 25</t>
  </si>
  <si>
    <t>Column 26</t>
  </si>
  <si>
    <t>Column 27</t>
  </si>
  <si>
    <t>Column 28</t>
  </si>
  <si>
    <t>Column 29</t>
  </si>
  <si>
    <t>Column 30</t>
  </si>
  <si>
    <t>Column 31</t>
  </si>
  <si>
    <t>Column 32</t>
  </si>
  <si>
    <t>Column 33</t>
  </si>
  <si>
    <t>Column 34</t>
  </si>
  <si>
    <t>Column 35</t>
  </si>
  <si>
    <t>SERVICE PROFIT</t>
  </si>
  <si>
    <t>income</t>
  </si>
  <si>
    <t>service</t>
  </si>
  <si>
    <t>PHONE PROFIT</t>
  </si>
  <si>
    <t>phone</t>
  </si>
  <si>
    <t>USA NUMBER</t>
  </si>
  <si>
    <t>FOR TUNA MONEY USE NUMBER 3 MONTHS</t>
  </si>
  <si>
    <t>admin</t>
  </si>
  <si>
    <t>expense</t>
  </si>
  <si>
    <t>Item record_id: 7974dce216f545ce9d88bcc7a36d480b, sale: 820000.00, cost: 730000.00</t>
  </si>
  <si>
    <t>PHONE SALE EXPENSE</t>
  </si>
  <si>
    <t>USA ESIM</t>
  </si>
  <si>
    <t>USA 3 MONTHS ESIM FOR TUNA MONEY</t>
  </si>
  <si>
    <t>IPHONE 14 PRO SPACE BLACK 128GB IOS UPDATE</t>
  </si>
  <si>
    <t>SERVICE EXPENSE</t>
  </si>
  <si>
    <t>IPHONE 16 PLUS TEAL 128GB IOS UPDATE</t>
  </si>
  <si>
    <t>esim 3 months</t>
  </si>
  <si>
    <t>for 17 pro max unlocking</t>
  </si>
  <si>
    <t>TRACE</t>
  </si>
  <si>
    <t>TRACE LOOP 1778245008</t>
  </si>
  <si>
    <t>TRACE LOOP 1778245026</t>
  </si>
  <si>
    <t>TRACE PATCH 1778245120</t>
  </si>
  <si>
    <t>TRACE PATCH 1778245139</t>
  </si>
  <si>
    <t>TRACE PATCH 1778245156</t>
  </si>
  <si>
    <t>TRACE LIVEFIX 1778245333</t>
  </si>
  <si>
    <t>TRACE LIVEFIX 1778245359</t>
  </si>
  <si>
    <t>TRACE LIVEFIX 1778245385</t>
  </si>
  <si>
    <t>TRACE APPLY</t>
  </si>
  <si>
    <t>TRACE APPLY 1778245602</t>
  </si>
  <si>
    <t>TRACE APPLY 1778245820</t>
  </si>
  <si>
    <t>TRACE CHECK 1778245885</t>
  </si>
  <si>
    <t>TRACE COMPARE</t>
  </si>
  <si>
    <t>TRACE COMPARE 1778245957</t>
  </si>
  <si>
    <t>TRACE FINAL</t>
  </si>
  <si>
    <t>TRACE FINAL 1778246074</t>
  </si>
  <si>
    <t>TRACE FINAL2</t>
  </si>
  <si>
    <t>TRACE FINAL2 1778246367</t>
  </si>
  <si>
    <t>DELTA TEST</t>
  </si>
  <si>
    <t>DELTA TEST 1778246480</t>
  </si>
  <si>
    <t>DELTA TEST 1778246527</t>
  </si>
  <si>
    <t>UI CHECK</t>
  </si>
  <si>
    <t>UI CHECK 1778246649</t>
  </si>
  <si>
    <t>DELTA NOW</t>
  </si>
  <si>
    <t>DELTA NOW 1778246714</t>
  </si>
  <si>
    <t>Item record_id: 8fe2d586d14f4a96b55cab34eb095c62, sale: 240000.00, cost: 200000.00</t>
  </si>
  <si>
    <t>TEST SERVICE [ROW 1049]</t>
  </si>
  <si>
    <t>iPhone 13 Pro Graphite 128GB IOS UPDATE [ROW 1061]</t>
  </si>
  <si>
    <t>IPHONE 14 PRO MAX IOS UPDATE: Space Black [ROW 1063]</t>
  </si>
  <si>
    <t>iPhone 15 Yellow 256GB UPGRADE &amp; WIPING [ROW 1069]</t>
  </si>
  <si>
    <t>IPHONE 13 MIDNIGHT IOS UPDATE</t>
  </si>
  <si>
    <t>IPHONE 11 WHITE 64GB IOS UPDATE</t>
  </si>
  <si>
    <t>IPHONE 12 PRO GRAPHITE 128GB IOS UPDATE</t>
  </si>
  <si>
    <t>IPHONE 14 PRO SILVER 128GB IOS UPDATE | NOTE: SENT DAUNSI</t>
  </si>
  <si>
    <t>IPHONE 15 BLUE 128GB IOS UPDATE</t>
  </si>
  <si>
    <t>IPHONE XR BLUE 64GB IOS UODATE</t>
  </si>
  <si>
    <t>IPHONE 17 PRO DEEPBLUE 256GB IOS UPDATE</t>
  </si>
  <si>
    <t>sync_key</t>
  </si>
  <si>
    <t>record_id</t>
  </si>
  <si>
    <t>source_hash</t>
  </si>
  <si>
    <t>sheet_row_num</t>
  </si>
  <si>
    <t>imei</t>
  </si>
  <si>
    <t>customer_name</t>
  </si>
  <si>
    <t>payment_status</t>
  </si>
  <si>
    <t>payment_date</t>
  </si>
  <si>
    <t>paid_date</t>
  </si>
  <si>
    <t>expense_amount</t>
  </si>
  <si>
    <t>expense_description</t>
  </si>
  <si>
    <t>calculated_profit</t>
  </si>
  <si>
    <t>payload_json</t>
  </si>
  <si>
    <t>created_at</t>
  </si>
  <si>
    <t>updated_at</t>
  </si>
  <si>
    <t>182bd7f4e09edca5570efa1ba87659792e0fcc62d66bae646bb204971c4c6ed8</t>
  </si>
  <si>
    <t>2026-02-17T00:00:00+01:00</t>
  </si>
  <si>
    <t>{"in":1,"DATE":"2/17/2026","IMEI":"","NAME":"DEMEX","TIME":1,"PRICE":"\u20a62,500.00","STATUS":"paid","PAID DATE":"","RECORD_ID":"9dcfec929c764ae7a52bfd4caf78d6c5","Amount paid":"\u20a62,500.00","DESCRIPTION":"IPHONE 16 BLACK UPDATE","PHONE NUMBER":2347067462101,"DEAL LOCATION":"","INTERNAL NOTE":"","EXPENSE AMOUNT":"","CALCULATED PROFIT":"","EXPENSE DESCRIPTION":"","IMEI FOR SWAPPED DEAL":""}</t>
  </si>
  <si>
    <t>2026-05-11T22:24:59.205205+01:00</t>
  </si>
  <si>
    <t>372f3ec78b24323147b4f700dffe4e8aa3c1d6aeef50adb5615f6d5cf63b3e6a</t>
  </si>
  <si>
    <t>{"in":2,"DATE":"2/17/2026","IMEI":"","NAME":"DAH UNIQUE","TIME":2,"PRICE":"\u20a62,500.00","STATUS":"PAID","PAID DATE":"","RECORD_ID":"e1e76866b2b44537a367a48baed4cbb7","Amount paid":"\u20a62,500.00","DESCRIPTION":"GOLD IPHONE 14 PRO","PHONE NUMBER":2349070536253,"DEAL LOCATION":"","INTERNAL NOTE":"","EXPENSE AMOUNT":"","CALCULATED PROFIT":"","EXPENSE DESCRIPTION":"","IMEI FOR SWAPPED DEAL":""}</t>
  </si>
  <si>
    <t>2026-05-11T22:00:09.855781+01:00</t>
  </si>
  <si>
    <t>312f2e7e6a48d84f1357c43e5364158446c10ef131b927ada6e57a707cc4207e</t>
  </si>
  <si>
    <t>{"in":3,"DATE":"2/17/2026","IMEI":"","NAME":"HUNTER LIFE","TIME":3,"PRICE":"\u20a6185,000.00","STATUS":"PAID","PAID DATE":"","RECORD_ID":"252820e05f6641b4aec1103a18424f72","Amount paid":"\u20a6185,000.00","DESCRIPTION":"SWAPPED IPHONE 13 TO 11 PRO SILVER","PHONE NUMBER":"","DEAL LOCATION":"","INTERNAL NOTE":"","EXPENSE AMOUNT":"","CALCULATED PROFIT":"","EXPENSE DESCRIPTION":"","IMEI FOR SWAPPED DEAL":""}</t>
  </si>
  <si>
    <t>b342de0a85ca7015b921d37136e8df4efbe26d5ac38b88660361376b52d05439</t>
  </si>
  <si>
    <t>{"in":4,"DATE":"2/17/2026","IMEI":"","NAME":"RICKY","TIME":4,"PRICE":"\u20a6280,000.00","STATUS":"PAID","PAID DATE":"","RECORD_ID":"13b8f92dda7b4ff7825daa1e2676f734","Amount paid":"\u20a6280,000.00","DESCRIPTION":"IPHONE 16 PRO GOLD 100% SWAPPED WITH IPHONE 15 PRO 512GB","PHONE NUMBER":"","DEAL LOCATION":"","INTERNAL NOTE":"","EXPENSE AMOUNT":"","CALCULATED PROFIT":"","EXPENSE DESCRIPTION":"","IMEI FOR SWAPPED DEAL":""}</t>
  </si>
  <si>
    <t>04433d211be85f3310bc12392fe78ad9267c483d15f928cfeedd6495fe0c0099</t>
  </si>
  <si>
    <t>{"in":5,"DATE":"2/17/2026","IMEI":"","NAME":"OSES","TIME":5,"PRICE":"\u20a62,500.00","STATUS":"PAID","PAID DATE":"","RECORD_ID":"c2a8339184ce430f975db6123c51a7fb","Amount paid":"\u20a62,500.00","DESCRIPTION":"IPHONE 14 PLUS UPDATE MIDNIGHT COLOR","PHONE NUMBER":"","DEAL LOCATION":"","INTERNAL NOTE":"","EXPENSE AMOUNT":"","CALCULATED PROFIT":"","EXPENSE DESCRIPTION":"","IMEI FOR SWAPPED DEAL":""}</t>
  </si>
  <si>
    <t>1cf3d8e50fa7d4466cfac22718dad2a957bc970ef8057e8e7bd5c07b6f68c88e</t>
  </si>
  <si>
    <t>{"in":6,"DATE":"2/17/2026","IMEI":"","NAME":"KEMI FROM SEUN","TIME":6,"PRICE":"\u20a61,500,000.00","STATUS":"PAID","PAID DATE":"","RECORD_ID":"3debc2aabaa842ce9d440b9b84980f2d","Amount paid":"\u20a61,500,000.00","DESCRIPTION":"IPHONE 15 PRO MAX 512GB TO IPHONE ","PHONE NUMBER":"","DEAL LOCATION":"","INTERNAL NOTE":"","EXPENSE AMOUNT":"","CALCULATED PROFIT":"","EXPENSE DESCRIPTION":"","IMEI FOR SWAPPED DEAL":""}</t>
  </si>
  <si>
    <t>a72c6adfd6571cb40c0e58670dcaca91f1237ed0dce6b37b07fa2bced7ab1d89</t>
  </si>
  <si>
    <t>{"in":7,"DATE":"2/17/2026","IMEI":"","NAME":"IBIRONKE FAVOUR","TIME":7,"PRICE":"\u20a610,000.00","STATUS":"PAID","PAID DATE":"","RECORD_ID":"ad63bb932f7e47abb64bae4d1546a4d8","Amount paid":"\u20a610,000.00","DESCRIPTION":"APPLE ID CREATE &amp; SIGN IN","PHONE NUMBER":"","DEAL LOCATION":"","INTERNAL NOTE":"","EXPENSE AMOUNT":"","CALCULATED PROFIT":"","EXPENSE DESCRIPTION":"","IMEI FOR SWAPPED DEAL":""}</t>
  </si>
  <si>
    <t>fa6f408304c6f398b59360e9e27e83e1473c89e0742d62036655e231c564f9bf</t>
  </si>
  <si>
    <t>{"in":8,"DATE":"2/17/2026","IMEI":"","NAME":"CLINTON GADGET","TIME":8,"PRICE":"\u20a6800,000.00","STATUS":"PAID","PAID DATE":"","RECORD_ID":"ff964ae5a2f2444187915c0d21934773","Amount paid":"\u20a6800,000.00","DESCRIPTION":"IPHONE 16 256GB 354178509660284","PHONE NUMBER":"","DEAL LOCATION":"","INTERNAL NOTE":"","EXPENSE AMOUNT":"","CALCULATED PROFIT":"","EXPENSE DESCRIPTION":"","IMEI FOR SWAPPED DEAL":""}</t>
  </si>
  <si>
    <t>752ed674e7c3e5b952090af84d410bfe0c4b4399c82e0b2f2372f6fc655ed8d4</t>
  </si>
  <si>
    <t>{"in":9,"DATE":"2/17/2026","IMEI":"","NAME":"NURUDEEN","TIME":9,"PRICE":"\u20a625,000.00","STATUS":"PAID","PAID DATE":"","RECORD_ID":"fb2d541894b74a0a9fcffa10378d8580","Amount paid":"\u20a625,000.00","DESCRIPTION":"CHIP FOR IPHONE 12 PRO PACIFIC BLUE","PHONE NUMBER":9122727950,"DEAL LOCATION":"","INTERNAL NOTE":"","EXPENSE AMOUNT":"","CALCULATED PROFIT":"","EXPENSE DESCRIPTION":"","IMEI FOR SWAPPED DEAL":""}</t>
  </si>
  <si>
    <t>abc1305ba32ad02576483dce4e9c28a4a3b2c1b92f2cace07e66d83d0f3b96f9</t>
  </si>
  <si>
    <t>{"in":10,"DATE":"2/17/2026","IMEI":"","NAME":"WIZZY","TIME":10,"PRICE":"\u20a62,500.00","STATUS":"PAID","PAID DATE":"","RECORD_ID":"38425b848c1e4f8195ec6df4938be5ca","Amount paid":"\u20a62,500.00","DESCRIPTION":"NATURAL TITANIUM IPHONE 15 PRO MAX IOS UPDATE","PHONE NUMBER":2348108686713,"DEAL LOCATION":"","INTERNAL NOTE":"","EXPENSE AMOUNT":"","CALCULATED PROFIT":"","EXPENSE DESCRIPTION":"","IMEI FOR SWAPPED DEAL":""}</t>
  </si>
  <si>
    <t>cc53046a2b49f5d4ad8aa9e79267f3851b15ee26ac8a813f9a3a35657598cd51</t>
  </si>
  <si>
    <t>2026-02-15T00:00:00+01:00</t>
  </si>
  <si>
    <t>{"in":11,"DATE":"2/15/2026","IMEI":"","NAME":"ZEE TECH","TIME":11,"PRICE":"\u20a62,500.00","STATUS":"PAID","PAID DATE":"","RECORD_ID":"7f9250f3a89542a69db22bdb2807f36b","Amount paid":"\u20a62,500.00","DESCRIPTION":"IPHONE 13 IOS UPDATE ","PHONE NUMBER":2349033724061,"DEAL LOCATION":"","INTERNAL NOTE":"","EXPENSE AMOUNT":"","CALCULATED PROFIT":"","EXPENSE DESCRIPTION":"","IMEI FOR SWAPPED DEAL":""}</t>
  </si>
  <si>
    <t>0f2f93f4f889a4fde8c557267248a9bea0311aff0d24971f6bf1788d8543f881</t>
  </si>
  <si>
    <t>2026-02-16T00:00:00+01:00</t>
  </si>
  <si>
    <t>{"in":12,"DATE":"2/16/2026","IMEI":"","NAME":"ZEE TECH","TIME":12,"PRICE":"\u20a62,500.00","STATUS":"PAID","PAID DATE":"","RECORD_ID":"c8dc8dfa28c343c484a7f2ba7fbf5b3f","Amount paid":"\u20a62,500.00","DESCRIPTION":"IPHONE 13 PRO MAX IOS UPDATE","PHONE NUMBER":2349033724061,"DEAL LOCATION":"","INTERNAL NOTE":"","EXPENSE AMOUNT":"","CALCULATED PROFIT":"","EXPENSE DESCRIPTION":"","IMEI FOR SWAPPED DEAL":""}</t>
  </si>
  <si>
    <t>089f9cb782e65f87037db8f4221b1b3ee9e0cf2655717b8b4ec2011b08dd2173</t>
  </si>
  <si>
    <t>{"in":13,"DATE":"2/17/2026","IMEI":"","NAME":"TUNDE BABZ","TIME":13,"PRICE":"\u20a610,000.00","STATUS":"PAID","PAID DATE":"","RECORD_ID":"8d69b845461f43ccad08fac46ac2348c","Amount paid":"\u20a610,000.00","DESCRIPTION":"CHIP FIX","PHONE NUMBER":2348130793960,"DEAL LOCATION":"","INTERNAL NOTE":"","EXPENSE AMOUNT":"","CALCULATED PROFIT":"","EXPENSE DESCRIPTION":"","IMEI FOR SWAPPED DEAL":""}</t>
  </si>
  <si>
    <t>934cda73692c60f42ad34f8ae1ac6e55ce5ef8f5ace99dbdbcf47c45cd2fd917</t>
  </si>
  <si>
    <t>{"in":14,"DATE":"2/17/2026","IMEI":"","NAME":"KAYWISE","TIME":14,"PRICE":"\u20a61,000,000.00","STATUS":"PAID","PAID DATE":"","RECORD_ID":"81a4d573dc4a4afeab545d034c19ae52","Amount paid":"\u20a61,000,000.00","DESCRIPTION":"IPHONE 15 PRO MAX P + E 512GB","PHONE NUMBER":2349032614464,"DEAL LOCATION":"","INTERNAL NOTE":"","EXPENSE AMOUNT":"","CALCULATED PROFIT":"","EXPENSE DESCRIPTION":"","IMEI FOR SWAPPED DEAL":""}</t>
  </si>
  <si>
    <t>efa3505da40a3cd49f4708263eb770146c0e9b1b84fe4fe8a5e0a21595ffe248</t>
  </si>
  <si>
    <t>{"in":15,"DATE":"2/17/2026","IMEI":"","NAME":"IAMFODIL","TIME":15,"PRICE":"\u20a610,000.00","STATUS":"PAID","PAID DATE":"","RECORD_ID":"1957f2a4eeea493ea424761b0b10eb60","Amount paid":"\u20a610,000.00","DESCRIPTION":"CHIP FIX","PHONE NUMBER":"","DEAL LOCATION":"","INTERNAL NOTE":"","EXPENSE AMOUNT":"","CALCULATED PROFIT":"","EXPENSE DESCRIPTION":"","IMEI FOR SWAPPED DEAL":""}</t>
  </si>
  <si>
    <t>063d33fb62d6a40f798ae5ca839ab44ac17216ad57dfc46d16c210a8c8ade75a</t>
  </si>
  <si>
    <t>{"in":16,"DATE":"2/17/2026","IMEI":"","NAME":"DON","TIME":"","PRICE":"\u20a65,000.00","STATUS":"PAID","PAID DATE":"","RECORD_ID":"61b620789dbe4227a38d21fd9329b837","Amount paid":"","DESCRIPTION":"IMESSAGE FIX","PHONE NUMBER":2348137676322,"DEAL LOCATION":"","INTERNAL NOTE":"","EXPENSE AMOUNT":"","CALCULATED PROFIT":"","EXPENSE DESCRIPTION":"","IMEI FOR SWAPPED DEAL":""}</t>
  </si>
  <si>
    <t>7b1678a42efcf79a508c2f6111b3be77e6cdf5e416a94e2deaa728c32800669a</t>
  </si>
  <si>
    <t>2026-02-11T00:00:00+01:00</t>
  </si>
  <si>
    <t>{"in":17,"DATE":"2/11/2026","IMEI":"","NAME":"TECH JAR","TIME":1,"PRICE":"\u20a63,000.00","STATUS":"PAID","PAID DATE":"","RECORD_ID":"65b3dd616fef46bab83f7647525708c3","Amount paid":"\u20a63,000.00","DESCRIPTION":"GREEN IPHONE 11 FLASH","PHONE NUMBER":2347047512596,"DEAL LOCATION":"","INTERNAL NOTE":"","EXPENSE AMOUNT":"","CALCULATED PROFIT":"","EXPENSE DESCRIPTION":"","IMEI FOR SWAPPED DEAL":""}</t>
  </si>
  <si>
    <t>3c612278d4a4a2be7b0291285a72bab1c0b9531f7f164d188fb29fa2b809e48f</t>
  </si>
  <si>
    <t>2026-02-12T00:00:00+01:00</t>
  </si>
  <si>
    <t>{"in":18,"DATE":"2/12/2026","IMEI":"","NAME":"DAPPER","TIME":2,"PRICE":"\u20a63,000.00","STATUS":"paid","PAID DATE":"","RECORD_ID":"3ec23fa2218f4c98b42e52e295adcada","Amount paid":"\u20a63,000.00","DESCRIPTION":"BLACK IPHONE 15 UPDATE","PHONE NUMBER":2349166394378,"DEAL LOCATION":"","INTERNAL NOTE":"","EXPENSE AMOUNT":"","CALCULATED PROFIT":"","EXPENSE DESCRIPTION":"","IMEI FOR SWAPPED DEAL":""}</t>
  </si>
  <si>
    <t>5d47b56b514de8adf3bc14b618e90cb3559707287d25f760f2dce879bac17548</t>
  </si>
  <si>
    <t>2026-02-13T00:00:00+01:00</t>
  </si>
  <si>
    <t>{"in":19,"DATE":"2/13/2026","IMEI":"","NAME":"DEMEX","TIME":3,"PRICE":"\u20a62,000.00","STATUS":"paid","PAID DATE":"","RECORD_ID":"4676473684ca4ecd9d5345b5515d9aa0","Amount paid":"\u20a62,000.00","DESCRIPTION":"IPHONE 12 PRO UPDATE","PHONE NUMBER":2347067462101,"DEAL LOCATION":"","INTERNAL NOTE":"","EXPENSE AMOUNT":"","CALCULATED PROFIT":"","EXPENSE DESCRIPTION":"","IMEI FOR SWAPPED DEAL":""}</t>
  </si>
  <si>
    <t>9e5911825ca418c8d61add3b80c023efea139df8db6ab3c6d24e0178a2cc0261</t>
  </si>
  <si>
    <t>2026-02-10T00:00:00+01:00</t>
  </si>
  <si>
    <t>{"in":20,"DATE":"2/10/2026","IMEI":"","NAME":"NUMBER TELLOS","TIME":4,"PRICE":"\u20a690,000.00","STATUS":"PAID","PAID DATE":"","RECORD_ID":"6d92fa4e661549589e511ea2c1109f42","Amount paid":"","DESCRIPTION":"NEW JERSEY USA NUMBER AND ULTRAMOBILE NUMBER REFILL","PHONE NUMBER":2348066173750,"DEAL LOCATION":"","INTERNAL NOTE":"","EXPENSE AMOUNT":"","CALCULATED PROFIT":"","EXPENSE DESCRIPTION":"","IMEI FOR SWAPPED DEAL":"PAID 90K OUT OF 180K"}</t>
  </si>
  <si>
    <t>50561573157cd88ac6815df96dda3ad1233e1f4d9e7289b5daea5d8f62557aa4</t>
  </si>
  <si>
    <t>{"in":21,"DATE":"2/10/2026","IMEI":"","NAME":"DAMBOX","TIME":5,"PRICE":"\u20a62,500.00","STATUS":"PAID","PAID DATE":"","RECORD_ID":"08b7c305cd444e0fb756a6a1b4fed2c7","Amount paid":"","DESCRIPTION":"GOLD IPHONE 11 PRO MAX IOS UPDATE","PHONE NUMBER":9040943517,"DEAL LOCATION":"","INTERNAL NOTE":"","EXPENSE AMOUNT":"","CALCULATED PROFIT":"","EXPENSE DESCRIPTION":"","IMEI FOR SWAPPED DEAL":""}</t>
  </si>
  <si>
    <t>aa974dff0b3e4161244eff77b6cc4d532071deac528eb1909f740780f50b8894</t>
  </si>
  <si>
    <t>2026-02-18T00:00:00+01:00</t>
  </si>
  <si>
    <t>{"in":22,"DATE":"2/18/2026","IMEI":"","NAME":"CH4","TIME":6,"PRICE":"\u20a612,500.00","STATUS":"PAID","PAID DATE":"","RECORD_ID":"f396e68ad7e844268c3cd2c338cb4ec9","Amount paid":"","DESCRIPTION":"OUTSTANDING","PHONE NUMBER":2348131941406,"DEAL LOCATION":"","INTERNAL NOTE":"","EXPENSE AMOUNT":"","CALCULATED PROFIT":"","EXPENSE DESCRIPTION":"","IMEI FOR SWAPPED DEAL":""}</t>
  </si>
  <si>
    <t>7406a1cd32b6bd330690fccbe8eb52b7e7dcdbc585eabec1cff4b8f9210026b3</t>
  </si>
  <si>
    <t>2026-02-07T00:00:00+01:00</t>
  </si>
  <si>
    <t>{"in":23,"DATE":"2/7/2026","IMEI":"","NAME":"VERTEX","TIME":7,"PRICE":"\u20a62,500.00","STATUS":"PAID","PAID DATE":"","RECORD_ID":"4590d23eb8fa43579501fbc6bd071bd1","Amount paid":"","DESCRIPTION":"PINK IPHONE 15 PLUS UPDATE","PHONE NUMBER":2348103663581,"DEAL LOCATION":"","INTERNAL NOTE":"","EXPENSE AMOUNT":"","CALCULATED PROFIT":"","EXPENSE DESCRIPTION":"","IMEI FOR SWAPPED DEAL":""}</t>
  </si>
  <si>
    <t>5b6345f98ee7ddc5975f7556450e58fa26488177d5bf12fb500cace71f7c0771</t>
  </si>
  <si>
    <t>{"in":24,"DATE":"2/7/2026","IMEI":"","NAME":"MIKKY","TIME":8,"PRICE":"\u20a620,000.00","STATUS":"RETURNED","PAID DATE":"","RECORD_ID":"9bbbf52992df41bca266eeb13d53ad91","Amount paid":"","DESCRIPTION":"IPHONE 13 PRO MAX CHIP","PHONE NUMBER":"","DEAL LOCATION":"","INTERNAL NOTE":"","EXPENSE AMOUNT":"","CALCULATED PROFIT":"","EXPENSE DESCRIPTION":"","IMEI FOR SWAPPED DEAL":""}</t>
  </si>
  <si>
    <t>b44bb2a34ad93d59d783d069cbb33ac5913e4e6d2c23c5ab3467462aa4146e05</t>
  </si>
  <si>
    <t>{"in":25,"DATE":"2/7/2026","IMEI":"","NAME":"PRINZE GADGET","TIME":9,"PRICE":"\u20a62,500.00","STATUS":"PAID","PAID DATE":"","RECORD_ID":"f902b4c8ea8c49a2bdb4466ed2b99884","Amount paid":"","DESCRIPTION":"IPHONE 13 UPDATE","PHONE NUMBER":"","DEAL LOCATION":"","INTERNAL NOTE":"","EXPENSE AMOUNT":"","CALCULATED PROFIT":"","EXPENSE DESCRIPTION":"","IMEI FOR SWAPPED DEAL":""}</t>
  </si>
  <si>
    <t>aa2d1a016de77c6be26beb0db821c23e89ea727afecb9edb748679048b20bd7f</t>
  </si>
  <si>
    <t>2026-02-05T00:00:00+01:00</t>
  </si>
  <si>
    <t>{"in":26,"DATE":"2/5/2026","IMEI":"","NAME":"DENIS4WARD","TIME":10,"PRICE":"\u20a6225,000.00","STATUS":"PAID","PAID DATE":"","RECORD_ID":"c6f548765acd4277a3081301ea7558e0","Amount paid":"","DESCRIPTION":"PS4 SLIM AND ONE GAMEPAD","PHONE NUMBER":2348038551439,"DEAL LOCATION":"","INTERNAL NOTE":"","EXPENSE AMOUNT":"","CALCULATED PROFIT":"","EXPENSE DESCRIPTION":"","IMEI FOR SWAPPED DEAL":""}</t>
  </si>
  <si>
    <t>740495f672b7b4c2891484bb2dc5878d1a23c225e75c0475fda8e0cea4ea8514</t>
  </si>
  <si>
    <t>2026-02-04T00:00:00+01:00</t>
  </si>
  <si>
    <t>{"in":27,"DATE":"2/4/2026","IMEI":"","NAME":"MIDE GADGET","TIME":11,"PRICE":"\u20a62,500.00","STATUS":"PAID","PAID DATE":"","RECORD_ID":"1a175228683e4c7f83fa4ff7d78edd6c","Amount paid":"","DESCRIPTION":"BLUE IPHONE 16 UPDATE","PHONE NUMBER":"","DEAL LOCATION":"","INTERNAL NOTE":"","EXPENSE AMOUNT":"","CALCULATED PROFIT":"","EXPENSE DESCRIPTION":"","IMEI FOR SWAPPED DEAL":""}</t>
  </si>
  <si>
    <t>2a50123134633308eebf7031c4989b9feda4911c49226f101627a6108a8f921e</t>
  </si>
  <si>
    <t>{"in":28,"DATE":"2/3/2026","IMEI":"","NAME":"ZADDY ROLLAND","TIME":12,"PRICE":"\u20a6450,000.00","STATUS":"PENDING","PAID DATE":"","RECORD_ID":"cfb45f1f05604357b7eca2af401cc1b6","Amount paid":"","DESCRIPTION":"TEAL 16 P+E BALANCE","PHONE NUMBER":2348050554029,"DEAL LOCATION":"","INTERNAL NOTE":"","EXPENSE AMOUNT":"","CALCULATED PROFIT":"","EXPENSE DESCRIPTION":"","IMEI FOR SWAPPED DEAL":""}</t>
  </si>
  <si>
    <t>5b580a6a615ab9873d8276cd7c915dada1eee55df93b2927f2758553d0952aeb</t>
  </si>
  <si>
    <t>{"in":29,"DATE":"2/3/2026","IMEI":"","NAME":"ZADDY ROLLAND","TIME":13,"PRICE":"\u20a62,500.00","STATUS":"UNPAID","PAID DATE":"","RECORD_ID":"08f797e6e883406aafbd18de33d0fe07","Amount paid":"","DESCRIPTION":"TEAL 16 P+E UPDATE","PHONE NUMBER":2348050554029,"DEAL LOCATION":"","INTERNAL NOTE":"","EXPENSE AMOUNT":"","CALCULATED PROFIT":"","EXPENSE DESCRIPTION":"","IMEI FOR SWAPPED DEAL":""}</t>
  </si>
  <si>
    <t>49a74b47836baff80a3ab73ab966b0431f06e0f0d0285985a895073c58730bf7</t>
  </si>
  <si>
    <t>{"in":30,"DATE":"2/18/2026","IMEI":"","NAME":"JAMEX","TIME":14,"PRICE":"\u20a6395,000.00","STATUS":"PENDING","PAID DATE":"","RECORD_ID":"19d21d47029d41d0af0fc380928ba2cb","Amount paid":"","DESCRIPTION":"OUTSTANDING BALANCE","PHONE NUMBER":2347033260364,"DEAL LOCATION":"","INTERNAL NOTE":"","EXPENSE AMOUNT":"","CALCULATED PROFIT":"","EXPENSE DESCRIPTION":"","IMEI FOR SWAPPED DEAL":""}</t>
  </si>
  <si>
    <t>ecefa2e26506ec3543ff677bbadafac492e6e1c1d27bd2d7f1f30b4c499b311b</t>
  </si>
  <si>
    <t>2026-01-28T00:00:00+01:00</t>
  </si>
  <si>
    <t>{"in":31,"DATE":"1/28/2026","IMEI":"","NAME":"AYANFE","TIME":15,"PRICE":"\u20a610,000.00","STATUS":"PAID","PAID DATE":"","RECORD_ID":"ee70de5352b248dda16ed018caac6dab","Amount paid":"","DESCRIPTION":"APPLE ID RECOVERY","PHONE NUMBER":2348138108648,"DEAL LOCATION":"","INTERNAL NOTE":"","EXPENSE AMOUNT":"","CALCULATED PROFIT":"","EXPENSE DESCRIPTION":"","IMEI FOR SWAPPED DEAL":""}</t>
  </si>
  <si>
    <t>616bd1ccc1d6fd6c67dda5cdca62cd727478c4901be9bf360d93028d1a0cd732</t>
  </si>
  <si>
    <t>2026-01-27T00:00:00+01:00</t>
  </si>
  <si>
    <t>{"in":32,"DATE":"1/27/2026","IMEI":"","NAME":"DENIS4WARD","TIME":16,"PRICE":"\u20a65,000.00","STATUS":"PAID","PAID DATE":"","RECORD_ID":"1e7c1962321a484b82cda53c4bbc338e","Amount paid":"","DESCRIPTION":"ILESHA DRIVER","PHONE NUMBER":2348038551439,"DEAL LOCATION":"","INTERNAL NOTE":"","EXPENSE AMOUNT":"","CALCULATED PROFIT":"","EXPENSE DESCRIPTION":"","IMEI FOR SWAPPED DEAL":""}</t>
  </si>
  <si>
    <t>eb97ad278df237441a3c5555308dbe623d8176cc6ee1491f5f33a84170fa3b39</t>
  </si>
  <si>
    <t>{"in":"","DATE":"1/27/2026","IMEI":356295374969208,"NAME":"PRINZE GADGETS","TIME":17,"PRICE":"\u20a6280,000.00","STATUS":"PAID","PAID DATE":"","RECORD_ID":"523b7a62015f4f16aaa6fdcfe135e889","Amount paid":"","DESCRIPTION":"MIDNIGET LOCKED 14 PLUS. 81%","PHONE NUMBER":2348073229131,"DEAL LOCATION":"","INTERNAL NOTE":"","EXPENSE AMOUNT":"","CALCULATED PROFIT":"","EXPENSE DESCRIPTION":"","IMEI FOR SWAPPED DEAL":""}</t>
  </si>
  <si>
    <t>f6a2b0a479da4c76351c87230b72fd1b3862b5d7ae3ad20f855d2c437af8b5a6</t>
  </si>
  <si>
    <t>{"in":33,"DATE":"1/27/2026","IMEI":"","NAME":"DENIS4WARD","TIME":18,"PRICE":"\u20a616,250.00","STATUS":"PAID","PAID DATE":"","RECORD_ID":"69bdbb71ddb34659b3c51ffc3f27914b","Amount paid":"","DESCRIPTION":"GAS FILL","PHONE NUMBER":2348038551439,"DEAL LOCATION":"","INTERNAL NOTE":"","EXPENSE AMOUNT":"","CALCULATED PROFIT":"","EXPENSE DESCRIPTION":"","IMEI FOR SWAPPED DEAL":""}</t>
  </si>
  <si>
    <t>334c799d74c2440de1ec4bb963fc655a4aa3d5224833622a72a25ab03f186612</t>
  </si>
  <si>
    <t>{"in":34,"DATE":"..","IMEI":"..","NAME":"..","TIME":"..","PRICE":"..","STATUS":"","PAID DATE":"","RECORD_ID":"259c651fb2fc45bea1649447a37d344c","Amount paid":"","DESCRIPTION":"..","PHONE NUMBER":"","DEAL LOCATION":"","INTERNAL NOTE":"","EXPENSE AMOUNT":"","CALCULATED PROFIT":"","EXPENSE DESCRIPTION":"","IMEI FOR SWAPPED DEAL":""}</t>
  </si>
  <si>
    <t>6e96988d2e8f6e42c38bb194995f9da7ebebe4a4b0eb706d605d7beaac7a767b</t>
  </si>
  <si>
    <t>{"in":35,"DATE":"2/18/2026","IMEI":"","NAME":"NURUDEEN","TIME":1,"PRICE":"\u20a62,500.00","STATUS":"PAID","PAID DATE":"","RECORD_ID":"3a3ee298459f443e97ad50509eb0e3dd","Amount paid":"","DESCRIPTION":"NATURAL TITANIUM 15 PRO UPDATE","PHONE NUMBER":9122727950,"DEAL LOCATION":"","INTERNAL NOTE":"","EXPENSE AMOUNT":"","CALCULATED PROFIT":"","EXPENSE DESCRIPTION":"","IMEI FOR SWAPPED DEAL":""}</t>
  </si>
  <si>
    <t>bc4b08c1ef7d6185d7c8aaaf1b46ac32f88fe32a2e8b0ee6e29458329da13aef</t>
  </si>
  <si>
    <t>{"in":36,"DATE":"2/18/2026","IMEI":"","NAME":"DAMBOX","TIME":2,"PRICE":"\u20a62,500.00","STATUS":"PAID","PAID DATE":"","RECORD_ID":"860f6063e1f64ed69181fea34c1331b6","Amount paid":"","DESCRIPTION":"ORANGE IPHONE 17 PRO IOS UPDATE","PHONE NUMBER":9040943517,"DEAL LOCATION":"","INTERNAL NOTE":"","EXPENSE AMOUNT":"","CALCULATED PROFIT":"","EXPENSE DESCRIPTION":"","IMEI FOR SWAPPED DEAL":""}</t>
  </si>
  <si>
    <t>b0b5106a9951fc9542fff4536d761f739c44551d5ff25b3eb1f1f70556ba31de</t>
  </si>
  <si>
    <t>{"in":37,"DATE":"2/18/2026","IMEI":"","NAME":"KAYWISE","TIME":3,"PRICE":"\u20a62,000.00","STATUS":"PAID","PAID DATE":"","RECORD_ID":"b263752956ea49d493083d288125523d","Amount paid":"\u20a62,000.00","DESCRIPTION":"ULTRAMARINE IPHONE 16 PLUS UPDATE","PHONE NUMBER":2349032614464,"DEAL LOCATION":"","INTERNAL NOTE":"","EXPENSE AMOUNT":"","CALCULATED PROFIT":"","EXPENSE DESCRIPTION":"","IMEI FOR SWAPPED DEAL":""}</t>
  </si>
  <si>
    <t>aac2441f94784d902fac74d40ecd85f515a23623a7d3d872d65e137f0f5e4acb</t>
  </si>
  <si>
    <t>{"in":38,"DATE":"2/18/2026","IMEI":"","NAME":"PANKEY","TIME":4,"PRICE":"\u20a62,500.00","STATUS":"PAID","PAID DATE":"","RECORD_ID":"1cbe6952e28545e786673dbdbb797adf","Amount paid":"","DESCRIPTION":"WHITE IPHONE 15 FIX BATTERY FLASH","PHONE NUMBER":"","DEAL LOCATION":"","INTERNAL NOTE":"","EXPENSE AMOUNT":"","CALCULATED PROFIT":"","EXPENSE DESCRIPTION":"","IMEI FOR SWAPPED DEAL":""}</t>
  </si>
  <si>
    <t>9fc8fe6c46c7f3e3e44fcb16779f5e20e18f0e3e3b46d9c99fabd6d046a63c57</t>
  </si>
  <si>
    <t>{"in":39,"DATE":"2/18/2026","IMEI":"","NAME":"THANKGOD","TIME":5,"PRICE":"\u20a6380,000.00","STATUS":"PAID","PAID DATE":"","RECORD_ID":"bf9eb880a87d40c59d132b0de1fa1c21","Amount paid":"","DESCRIPTION":"IPHONE 16 ROUGH BODY SWAPPED WITH IPHONE 15 PTO MAX LOCKED NATURAL TITANIUM","PHONE NUMBER":"","DEAL LOCATION":"","INTERNAL NOTE":"","EXPENSE AMOUNT":"","CALCULATED PROFIT":"","EXPENSE DESCRIPTION":"","IMEI FOR SWAPPED DEAL":""}</t>
  </si>
  <si>
    <t>e4858f20b221f4b149a42a29917c1cbf62c73ee7b0d60e6f5ef278b4a4797bda</t>
  </si>
  <si>
    <t>{"in":40,"DATE":"2/18/2026","IMEI":"","NAME":"JAYJOSH","TIME":6,"PRICE":"\u20a610,000.00","STATUS":"PAID","PAID DATE":"","RECORD_ID":"1fb7ef6836d24151a7f090a42d18e786","Amount paid":"","DESCRIPTION":"CHIP FIX IPHONE 13","PHONE NUMBER":"","DEAL LOCATION":"","INTERNAL NOTE":"","EXPENSE AMOUNT":"","CALCULATED PROFIT":"","EXPENSE DESCRIPTION":"","IMEI FOR SWAPPED DEAL":""}</t>
  </si>
  <si>
    <t>0e9bf5289070a1804b3d3f304e0c0deb319aae94530b4c03fbf7912adbb3c30d</t>
  </si>
  <si>
    <t>{"in":41,"DATE":"2/18/2026","IMEI":"","NAME":"BIGGIE - MELTRONICS","TIME":7,"PRICE":"\u20a6290,000.00","STATUS":"PAID","PAID DATE":"","RECORD_ID":"303affb6d32d4981b8b8fedc73b99291","Amount paid":"","DESCRIPTION":"HP PAVILION 1TB HDD","PHONE NUMBER":"","DEAL LOCATION":"","INTERNAL NOTE":"","EXPENSE AMOUNT":"","CALCULATED PROFIT":"","EXPENSE DESCRIPTION":"","IMEI FOR SWAPPED DEAL":""}</t>
  </si>
  <si>
    <t>51eec0e370719d946db4b415be10d322cf25393e2a51dd24b7f3595500881135</t>
  </si>
  <si>
    <t>{"in":42,"DATE":"2/18/2026","IMEI":"","NAME":"EMPEROR CORPER","TIME":8,"PRICE":"\u20a63,000.00","STATUS":"PAID","PAID DATE":"","RECORD_ID":"659a57f80bc94538946b864ec33870e7","Amount paid":"","DESCRIPTION":"SUPERBIKE MAN DISPATCH TO ENGINEER ISAAC","PHONE NUMBER":"","DEAL LOCATION":"","INTERNAL NOTE":"","EXPENSE AMOUNT":"","CALCULATED PROFIT":"","EXPENSE DESCRIPTION":"","IMEI FOR SWAPPED DEAL":""}</t>
  </si>
  <si>
    <t>d13ee6bfa23a1a7c7929a25376a547a0aa86c35aea58b391917d4ed09be4eeb2</t>
  </si>
  <si>
    <t>{"in":43,"DATE":"2/18/2026","IMEI":"","NAME":"OLLY","TIME":9,"PRICE":"\u20a635,000.00","STATUS":"PAID","PAID DATE":"","RECORD_ID":"b1f5c60eb3504112b40d0c61a6075916","Amount paid":"","DESCRIPTION":"ESIM 1 MONTH","PHONE NUMBER":"","DEAL LOCATION":"","INTERNAL NOTE":"","EXPENSE AMOUNT":"","CALCULATED PROFIT":"","EXPENSE DESCRIPTION":"","IMEI FOR SWAPPED DEAL":""}</t>
  </si>
  <si>
    <t>6e5c6a93c7dd072b1cfeed890b5a2665134dda07d9b3ef9d502101781cfa9e39</t>
  </si>
  <si>
    <t>2025-11-14T00:00:00+01:00</t>
  </si>
  <si>
    <t>{"in":44,"DATE":"11/14/2025","IMEI":"","NAME":"DENIS4WARD","TIME":10,"PRICE":"\u20a640,000.00","STATUS":"PAID","PAID DATE":"","RECORD_ID":"11f19a7f43ff44c189d963304bd3b32c","Amount paid":"","DESCRIPTION":"CONVOCATION DRINK","PHONE NUMBER":2348038551439,"DEAL LOCATION":"","INTERNAL NOTE":"","EXPENSE AMOUNT":"","CALCULATED PROFIT":"","EXPENSE DESCRIPTION":"","IMEI FOR SWAPPED DEAL":""}</t>
  </si>
  <si>
    <t>6eead6b54d6ee72159e37bc6d628df8a2cae07028ed5996104446be801dcbb71</t>
  </si>
  <si>
    <t>2026-01-13T00:00:00+01:00</t>
  </si>
  <si>
    <t>{"in":"","DATE":"1/13/2026","IMEI":"","NAME":"DENIS4WARD","TIME":11,"PRICE":"\u20a616,250.00","STATUS":"PAID","PAID DATE":"","RECORD_ID":"b5279189300d42909bff74710f3f263a","Amount paid":"","DESCRIPTION":"GAS FILL","PHONE NUMBER":2348038551439,"DEAL LOCATION":"","INTERNAL NOTE":"","EXPENSE AMOUNT":"","CALCULATED PROFIT":"","EXPENSE DESCRIPTION":"","IMEI FOR SWAPPED DEAL":""}</t>
  </si>
  <si>
    <t>94e699455683858ebfad3f296dee43141ee5c15cb2a8ac3887fa1e27045fbcfc</t>
  </si>
  <si>
    <t>{"in":45,"DATE":"..","IMEI":"..","NAME":"..","TIME":"","PRICE":"..","STATUS":"..","PAID DATE":"","RECORD_ID":"99aa324644f94ceea7045ff30a389a90","Amount paid":"","DESCRIPTION":"..","PHONE NUMBER":"","DEAL LOCATION":"","INTERNAL NOTE":"","EXPENSE AMOUNT":"","CALCULATED PROFIT":"","EXPENSE DESCRIPTION":"","IMEI FOR SWAPPED DEAL":""}</t>
  </si>
  <si>
    <t>18e6b9953dd9f7d6e3b10e0671cb008eac9fc853368c8a634e8cde7256477223</t>
  </si>
  <si>
    <t>{"in":46,"DATE":"2/19/2026","IMEI":"","NAME":"MOBILETRENDS","TIME":1,"PRICE":"\u20a612,000.00","STATUS":"RETURNED","PAID DATE":"","RECORD_ID":"77b5d09c077f4d6bb71031d0575f0baa","Amount paid":"","DESCRIPTION":"IPHONE 11 APPLE ID INACTIVE FIX","PHONE NUMBER":"","DEAL LOCATION":"","INTERNAL NOTE":"","EXPENSE AMOUNT":"","CALCULATED PROFIT":"","EXPENSE DESCRIPTION":"","IMEI FOR SWAPPED DEAL":""}</t>
  </si>
  <si>
    <t>9c27d577bffdeac4de91495a0505ebaa9f6d79718064f79f4ee94fdf0f219c0c</t>
  </si>
  <si>
    <t>{"in":47,"DATE":"2/19/2026","IMEI":"","NAME":"BARRY","TIME":2,"PRICE":"\u20a62,500.00","STATUS":"UNPAID","PAID DATE":"","RECORD_ID":"cb1db8e857d84f30a5621e87a66cf2fd","Amount paid":"","DESCRIPTION":"PURPLE 14 PRO MAX IOS UPDATE TO 26.3","PHONE NUMBER":2347031524935,"DEAL LOCATION":"","INTERNAL NOTE":"","EXPENSE AMOUNT":"","CALCULATED PROFIT":"","EXPENSE DESCRIPTION":"","IMEI FOR SWAPPED DEAL":""}</t>
  </si>
  <si>
    <t>716218f8d9f1e45bae5061b86268681d28fbc4233146ce3a3d85c53030e8a5da</t>
  </si>
  <si>
    <t>2026-02-19T00:00:00+01:00</t>
  </si>
  <si>
    <t>{"in":48,"DATE":"2/19/2026","IMEI":"","NAME":"DEMEX","TIME":3,"PRICE":"\u20a62,500.00","STATUS":"paid","PAID DATE":"","RECORD_ID":"011c609d98814386ad639710a2987b95","Amount paid":"\u20a62,500.00","DESCRIPTION":"BLACK 15 PRO IOS UPDATE TO IOS 26.3","PHONE NUMBER":2347067462101,"DEAL LOCATION":"","INTERNAL NOTE":"","EXPENSE AMOUNT":"","CALCULATED PROFIT":"","EXPENSE DESCRIPTION":"","IMEI FOR SWAPPED DEAL":""}</t>
  </si>
  <si>
    <t>f516c06be18ebbc1f74449f00075ed4ab915e6c511382c30dd7db63bd0812a1a</t>
  </si>
  <si>
    <t>{"in":49,"DATE":"2/19/2026","IMEI":"","NAME":"DAMBOX","TIME":4,"PRICE":"\u20a62,500.00","STATUS":"PAID","PAID DATE":"","RECORD_ID":"7f9d7500f604451d8bb942ea99fdbd24","Amount paid":"","DESCRIPTION":"BLACK 16 PLUS IOS UPDATE","PHONE NUMBER":9040943517,"DEAL LOCATION":"","INTERNAL NOTE":"","EXPENSE AMOUNT":"","CALCULATED PROFIT":"","EXPENSE DESCRIPTION":"","IMEI FOR SWAPPED DEAL":""}</t>
  </si>
  <si>
    <t>72da228a4430ce8c3e0b36bdd21933323a1e58853ba4c5e97808351df29401ab</t>
  </si>
  <si>
    <t>{"in":50,"DATE":"2/19/2026","IMEI":"","NAME":"TUNDE BABZ","TIME":5,"PRICE":"\u20a65,000.00","STATUS":"PAID","PAID DATE":"","RECORD_ID":"28546211501b4ccd86b71da450e83548","Amount paid":"","DESCRIPTION":"NIGERIA APPLE ID","PHONE NUMBER":2348130793960,"DEAL LOCATION":"","INTERNAL NOTE":"","EXPENSE AMOUNT":"","CALCULATED PROFIT":"","EXPENSE DESCRIPTION":"","IMEI FOR SWAPPED DEAL":""}</t>
  </si>
  <si>
    <t>eae8427db977bab651cad50f6cb5e400ef33d070acbc46d14fb0b3d176cc8f1f</t>
  </si>
  <si>
    <t>{"in":51,"DATE":"2/19/2026","IMEI":"","NAME":"IBRAHIM GADGS","TIME":6,"PRICE":"\u20a6360,000.00","STATUS":"PAID","PAID DATE":"","RECORD_ID":"23c2b2928df544d29c8108a50e93ab07","Amount paid":"","DESCRIPTION":"HP ELITEBOOK 1030G2 16GB + 256GB SSD","PHONE NUMBER":"","DEAL LOCATION":"","INTERNAL NOTE":"","EXPENSE AMOUNT":"","CALCULATED PROFIT":"","EXPENSE DESCRIPTION":"","IMEI FOR SWAPPED DEAL":""}</t>
  </si>
  <si>
    <t>fc3eaaf84bdb7616d4ff022d37a2f0621399fe51a470f3fe11e67e26d7fb621f</t>
  </si>
  <si>
    <t>{"in":52,"DATE":"2/19/2026","IMEI":"","NAME":"PHILIPS OLUWAFEMI","TIME":7,"PRICE":"\u20a65,000.00","STATUS":"PAID","PAID DATE":"","RECORD_ID":"d7f133b8cd1e4dd1ad64d817b1d16d34","Amount paid":"","DESCRIPTION":"LOCATION ON IPHONE AIR IOS 26","PHONE NUMBER":"","DEAL LOCATION":"","INTERNAL NOTE":"","EXPENSE AMOUNT":"","CALCULATED PROFIT":"","EXPENSE DESCRIPTION":"","IMEI FOR SWAPPED DEAL":""}</t>
  </si>
  <si>
    <t>834d4665c1de61e9e2153d6a810f541dd1a84e380347612e753367ae0de34399</t>
  </si>
  <si>
    <t>{"in":53,"DATE":"2/19/2026","IMEI":"","NAME":"RAYMOND FLASH","TIME":8,"PRICE":"\u20a6830,000.00","STATUS":"PAID","PAID DATE":"","RECORD_ID":"307d09a37adb4a178a0f674eafd48d11","Amount paid":"","DESCRIPTION":"IPHONE 15 PRO BLUE TITANIUM P + E 87%","PHONE NUMBER":"","DEAL LOCATION":"","INTERNAL NOTE":"","EXPENSE AMOUNT":"","CALCULATED PROFIT":"","EXPENSE DESCRIPTION":"","IMEI FOR SWAPPED DEAL":""}</t>
  </si>
  <si>
    <t>ea67b10eb5ee0dc81543f116399989d6c0a1b40a06865a456e3fb47468aeb278</t>
  </si>
  <si>
    <t>{"in":54,"DATE":"2/19/2026","IMEI":"","NAME":"JENNIFER","TIME":9,"PRICE":"\u20a6400,000.00","STATUS":"PAID","PAID DATE":"","RECORD_ID":"d23616dfdf79461f8541f9ead5c0ce85","Amount paid":"","DESCRIPTION":"IPHOPNE 16 E BLACK 354741550229463","PHONE NUMBER":"","DEAL LOCATION":"","INTERNAL NOTE":"","EXPENSE AMOUNT":"","CALCULATED PROFIT":"","EXPENSE DESCRIPTION":"","IMEI FOR SWAPPED DEAL":""}</t>
  </si>
  <si>
    <t>b7a52a1bac939c7524c602aaeddf96a12bddcfc23814021d365715720e4d0900</t>
  </si>
  <si>
    <t>{"in":55,"DATE":"..","IMEI":"...","NAME":"..","TIME":"..","PRICE":"...","STATUS":"..","PAID DATE":"","RECORD_ID":"b6692a162ae94d16960dfcdd3c59e242","Amount paid":"","DESCRIPTION":"..","PHONE NUMBER":"","DEAL LOCATION":"","INTERNAL NOTE":"","EXPENSE AMOUNT":"","CALCULATED PROFIT":"","EXPENSE DESCRIPTION":"","IMEI FOR SWAPPED DEAL":""}</t>
  </si>
  <si>
    <t>e520cd8c90c13f3df02045ef6270826f4570a36490823d70efd03501d92c57ae</t>
  </si>
  <si>
    <t>{"in":56,"DATE":"..","IMEI":"...","NAME":"..","TIME":"..","PRICE":"...","STATUS":"..","PAID DATE":"","RECORD_ID":"82ff85b965ef4000b65f89e3d3a96c2a","Amount paid":"","DESCRIPTION":"..","PHONE NUMBER":"","DEAL LOCATION":"","INTERNAL NOTE":"","EXPENSE AMOUNT":"","CALCULATED PROFIT":"","EXPENSE DESCRIPTION":"","IMEI FOR SWAPPED DEAL":""}</t>
  </si>
  <si>
    <t>e504b97449b411157f5c9f159d19e3335fd0c224a46f404fa8e70337aae4970c</t>
  </si>
  <si>
    <t>2026-02-20T00:00:00+01:00</t>
  </si>
  <si>
    <t>{"in":57,"DATE":"2/20/2026","IMEI":"","NAME":"BAYESH","TIME":1,"PRICE":"\u20a62,500.00","STATUS":"PAID","PAID DATE":"","RECORD_ID":"97b672e02eca43ca8ee818a9261eea9e","Amount paid":"","DESCRIPTION":"GOLD IPHONE XS IOS UPDATE","PHONE NUMBER":2348136276066,"DEAL LOCATION":"","INTERNAL NOTE":"","EXPENSE AMOUNT":"","CALCULATED PROFIT":"","EXPENSE DESCRIPTION":"","IMEI FOR SWAPPED DEAL":""}</t>
  </si>
  <si>
    <t>ef42d5841abf3f35470c327718a22428366fd3f77d03a0579803801af6734463</t>
  </si>
  <si>
    <t>{"in":58,"DATE":"2/20/2026","IMEI":"","NAME":"FEMZ GADGET","TIME":2,"PRICE":"\u20a6265,000.00","STATUS":"PAID","PAID DATE":"","RECORD_ID":"20810a056f264a6d8dad7b02782070fb","Amount paid":"","DESCRIPTION":"IPHONE 12 128GB WHITE 359035292273391 91%","PHONE NUMBER":"","DEAL LOCATION":"","INTERNAL NOTE":"","EXPENSE AMOUNT":"","CALCULATED PROFIT":"","EXPENSE DESCRIPTION":"","IMEI FOR SWAPPED DEAL":""}</t>
  </si>
  <si>
    <t>4acff15af30e198ab57ba2f8ec7a94b8aacf7d628967b79940c62ae8e5031272</t>
  </si>
  <si>
    <t>{"in":59,"DATE":"2/20/2026","IMEI":"","NAME":"FM LORD","TIME":3,"PRICE":"\u20a65,000.00","STATUS":"PAID","PAID DATE":"","RECORD_ID":"8b827bfe21c94d37b87a9c19e6cd1540","Amount paid":"","DESCRIPTION":"NIGERIA APPLE ID CREATE","PHONE NUMBER":"","DEAL LOCATION":"","INTERNAL NOTE":"","EXPENSE AMOUNT":"","CALCULATED PROFIT":"","EXPENSE DESCRIPTION":"","IMEI FOR SWAPPED DEAL":""}</t>
  </si>
  <si>
    <t>28bfc0d2824a96a6f0db970824e0c1d40d5043291146d2bc5e895f76932effd1</t>
  </si>
  <si>
    <t>{"in":60,"DATE":"2/20/2026","IMEI":"","NAME":" FORMULA","TIME":4,"PRICE":"\u20a62,500.00","STATUS":"PAID","PAID DATE":"","RECORD_ID":"ccedac4140b9443684d14cf83f03a2ec","Amount paid":"","DESCRIPTION":"BLUE  IPHONE 13 IOS UPDATE","PHONE NUMBER":2347067612418,"DEAL LOCATION":"","INTERNAL NOTE":"","EXPENSE AMOUNT":"","CALCULATED PROFIT":"","EXPENSE DESCRIPTION":"","IMEI FOR SWAPPED DEAL":""}</t>
  </si>
  <si>
    <t>856dbfb12bc9720750e5c81884915d7dd4017f1ec1fa68b25b3c01cb71216d19</t>
  </si>
  <si>
    <t>{"in":61,"DATE":"2/20/2026","IMEI":"","NAME":"FOLAKEMI","TIME":5,"PRICE":"\u20a62,500.00","STATUS":"PAID","PAID DATE":"","RECORD_ID":"f47836ca49134dfd903ed1d3f420dbaa","Amount paid":"","DESCRIPTION":"PURPLE IPHONE 14 PRO MAX IOS UPDATE","PHONE NUMBER":2349075624207,"DEAL LOCATION":"","INTERNAL NOTE":"","EXPENSE AMOUNT":"","CALCULATED PROFIT":"","EXPENSE DESCRIPTION":"","IMEI FOR SWAPPED DEAL":""}</t>
  </si>
  <si>
    <t>7c7d2dfad96f076675333d54f71fcdecb21d6d935805172f200fee28bf889484</t>
  </si>
  <si>
    <t>{"in":62,"DATE":"2/20/2026","IMEI":"","NAME":"BIMKEM","TIME":6,"PRICE":"\u20a6368,000.00","STATUS":"PAID","PAID DATE":"","RECORD_ID":"95319025ec8b4cd5a83f755bde556535","Amount paid":"","DESCRIPTION":"IPHONE 13 128GB 100% ","PHONE NUMBER":"","DEAL LOCATION":"","INTERNAL NOTE":"","EXPENSE AMOUNT":"","CALCULATED PROFIT":"","EXPENSE DESCRIPTION":"","IMEI FOR SWAPPED DEAL":""}</t>
  </si>
  <si>
    <t>511f23daffe083b934fced62c92fdb6257a38470dc4ca34e7e6ac7853984d149</t>
  </si>
  <si>
    <t>{"in":63,"DATE":"2/20/2026","IMEI":"","NAME":" FORMULA","TIME":7,"PRICE":"\u20a62,500.00","STATUS":"PAID","PAID DATE":"","RECORD_ID":"c2c427764c2a4778990c3b8c76c360b8","Amount paid":"","DESCRIPTION":" IPHONE 16 TEAL","PHONE NUMBER":2347067612418,"DEAL LOCATION":"","INTERNAL NOTE":"","EXPENSE AMOUNT":"","CALCULATED PROFIT":"","EXPENSE DESCRIPTION":"","IMEI FOR SWAPPED DEAL":""}</t>
  </si>
  <si>
    <t>cee82062cc33c828e6d77509c3f19183c49187e3faea0c670aacff6269547fdf</t>
  </si>
  <si>
    <t>{"in":64,"DATE":"2/20/2026","IMEI":"","NAME":"ANOINTED WEALTH","TIME":8,"PRICE":"\u20a62,500.00","STATUS":"PAID","PAID DATE":"","RECORD_ID":"85e27ef19a9f4982952a54eaf24ca700","Amount paid":"","DESCRIPTION":"IPHONE 15 UPDATE","PHONE NUMBER":2348137226383,"DEAL LOCATION":"","INTERNAL NOTE":"","EXPENSE AMOUNT":"","CALCULATED PROFIT":"","EXPENSE DESCRIPTION":"","IMEI FOR SWAPPED DEAL":""}</t>
  </si>
  <si>
    <t>cbb01d30a2edde8ce524a949cab775bb276fcf9c6faf67badfa2498a7f0e772e</t>
  </si>
  <si>
    <t>{"in":65,"DATE":"2/5/2026","IMEI":"","NAME":"ANOINTED WEALTH","TIME":9,"PRICE":"\u20a62,500.00","STATUS":"PAID","PAID DATE":"","RECORD_ID":"9da89966b8024927962ca916a386bf9c","Amount paid":"","DESCRIPTION":"IPHONE 16 PRO MAX UPDATE","PHONE NUMBER":2348137226383,"DEAL LOCATION":"","INTERNAL NOTE":"","EXPENSE AMOUNT":"","CALCULATED PROFIT":"","EXPENSE DESCRIPTION":"","IMEI FOR SWAPPED DEAL":""}</t>
  </si>
  <si>
    <t>20594ff64dad51ccd3b7a9b4d40792ae9d70eb8d4891883f1246cbab1281b817</t>
  </si>
  <si>
    <t>{"in":66,"DATE":"2/20/2026","IMEI":"","NAME":"POPOOLA MATTHEW","TIME":10,"PRICE":"\u20a610,000.00","STATUS":"PAID","PAID DATE":"","RECORD_ID":"a38eafede69a423e9af8336b7c02c409","Amount paid":"","DESCRIPTION":"2 LOCATION CHANGE FOR IOS 18+","PHONE NUMBER":"","DEAL LOCATION":"","INTERNAL NOTE":"","EXPENSE AMOUNT":"","CALCULATED PROFIT":"","EXPENSE DESCRIPTION":"","IMEI FOR SWAPPED DEAL":""}</t>
  </si>
  <si>
    <t>225b54d24210a18d88b20f5b89d71d5b031b0d24494357a326ae08b1bb6c8d95</t>
  </si>
  <si>
    <t>{"in":67,"DATE":"2/20/2026","IMEI":"","NAME":"GOLD GADGET","TIME":11,"PRICE":"\u20a65,000.00","STATUS":"PAID","PAID DATE":"","RECORD_ID":"da4ee50a72ba4777942c220a4b94198e","Amount paid":"","DESCRIPTION":"IPHONE 12 LOCATION CHANGE","PHONE NUMBER":"","DEAL LOCATION":"","INTERNAL NOTE":"","EXPENSE AMOUNT":"","CALCULATED PROFIT":"","EXPENSE DESCRIPTION":"","IMEI FOR SWAPPED DEAL":""}</t>
  </si>
  <si>
    <t>f34ff9ee3b5d9293f218c18db131fcf8569cd0f8a88df85022bac582c1eface7</t>
  </si>
  <si>
    <t>{"in":68,"DATE":"2/20/2026","IMEI":"","NAME":"OLAFISOYE OLUWATOSIN","TIME":12,"PRICE":"\u20a615,000.00","STATUS":"PAID","PAID DATE":"","RECORD_ID":"9d987e002bde459998b1af78298c570e","Amount paid":"","DESCRIPTION":"CHIP FOR PURPLE IPHONE 11","PHONE NUMBER":"","DEAL LOCATION":"","INTERNAL NOTE":"","EXPENSE AMOUNT":"","CALCULATED PROFIT":"","EXPENSE DESCRIPTION":"","IMEI FOR SWAPPED DEAL":""}</t>
  </si>
  <si>
    <t>d7cdd749dd1aee1cc9e3ac5f0a420dbfad6ac523b2b9ef18f52922b9755f5fda</t>
  </si>
  <si>
    <t>{"in":69,"DATE":"2/20/2026","IMEI":"","NAME":"STAR BUSSY","TIME":13,"PRICE":"\u20a62,500.00","STATUS":"PAID","PAID DATE":"","RECORD_ID":"d665cc1e0b7e4679a421a4aad3e680f0","Amount paid":"","DESCRIPTION":"GOLD IPHONE 11 PRO MAX IOS UPDATE","PHONE NUMBER":2348127738411,"DEAL LOCATION":"","INTERNAL NOTE":"","EXPENSE AMOUNT":"","CALCULATED PROFIT":"","EXPENSE DESCRIPTION":"","IMEI FOR SWAPPED DEAL":""}</t>
  </si>
  <si>
    <t>aa2981f5ea51a10c211ec2190d0a319cc4d53bf5c538f1b9d1e71dca659639cd</t>
  </si>
  <si>
    <t>{"in":70,"DATE":"2/20/2026","IMEI":"","NAME":"GADGET AND EXCHANGE","TIME":14,"PRICE":"\u20a625,000.00","STATUS":"PAID","PAID DATE":"","RECORD_ID":"287e9de21e9d44c7a77fb9560c846a87","Amount paid":"","DESCRIPTION":"BLACK IPHONE 11 IOS BYPASS","PHONE NUMBER":"","DEAL LOCATION":"","INTERNAL NOTE":"","EXPENSE AMOUNT":"","CALCULATED PROFIT":"","EXPENSE DESCRIPTION":"","IMEI FOR SWAPPED DEAL":""}</t>
  </si>
  <si>
    <t>b92e4c362182630e0ba79bcdac022a96d14b665d70ef4c11110f35baf10541ad</t>
  </si>
  <si>
    <t>{"in":71,"DATE":"2/20/2026","IMEI":"","NAME":"HOLLAH","TIME":15,"PRICE":"\u20a62,500.00","STATUS":"PAID","PAID DATE":"","RECORD_ID":"dc95f285f2f948e28865082ab931b555","Amount paid":"","DESCRIPTION":"IPHONE AIR IOS UPDATE BLACK","PHONE NUMBER":"","DEAL LOCATION":"","INTERNAL NOTE":"","EXPENSE AMOUNT":"","CALCULATED PROFIT":"","EXPENSE DESCRIPTION":"","IMEI FOR SWAPPED DEAL":""}</t>
  </si>
  <si>
    <t>9ba08abafee0fded977fad7ee66a36b3ee89a2bd7501a37c039279e0073e0012</t>
  </si>
  <si>
    <t>{"in":72,"DATE":"2/20/2026","IMEI":"","NAME":"THANKGOD CUSTOMER","TIME":16,"PRICE":"\u20a65,000.00","STATUS":"PAID","PAID DATE":"","RECORD_ID":"44dab883c86b4c6e9a43d997109a6667","Amount paid":"","DESCRIPTION":"S24 ULTRA OS UPDATE","PHONE NUMBER":"","DEAL LOCATION":"","INTERNAL NOTE":"","EXPENSE AMOUNT":"","CALCULATED PROFIT":"","EXPENSE DESCRIPTION":"","IMEI FOR SWAPPED DEAL":""}</t>
  </si>
  <si>
    <t>03dbaced574e882716d191e481b5a41fc9d7a8bffa469651cf5df9d07196268d</t>
  </si>
  <si>
    <t>{"in":73,"DATE":"2/20/2026","IMEI":"","NAME":"CUSTOMER","TIME":17,"PRICE":"\u20a625,000.00","STATUS":"PAID","PAID DATE":"","RECORD_ID":"c1036001dc9c4dd9b5cc2af6253b4012","Amount paid":"","DESCRIPTION":"PERMANENT CHIP FOR IPHONE 13","PHONE NUMBER":2341234567890,"DEAL LOCATION":"","INTERNAL NOTE":"","EXPENSE AMOUNT":"","CALCULATED PROFIT":"","EXPENSE DESCRIPTION":"","IMEI FOR SWAPPED DEAL":""}</t>
  </si>
  <si>
    <t>b57db922d330bd03ba3e82fd95cbbcd0ddadfde61726b22ec7c03c0a8db6b675</t>
  </si>
  <si>
    <t>{"in":74,"DATE":"2/20/2026","IMEI":"","NAME":"DEMEX","TIME":18,"PRICE":"\u20a62,500.00","STATUS":"paid","PAID DATE":"","RECORD_ID":"af82da8a2df94a09a187baf4c5d98699","Amount paid":"\u20a62,500.00","DESCRIPTION":"SKY BLUE IPHONE 15 IOS UPDATE","PHONE NUMBER":2347067462101,"DEAL LOCATION":"","INTERNAL NOTE":"","EXPENSE AMOUNT":"","CALCULATED PROFIT":"","EXPENSE DESCRIPTION":"","IMEI FOR SWAPPED DEAL":""}</t>
  </si>
  <si>
    <t>4f4c2d722b8bbfba18cc3d8e351966d9a7d6996ea5f1dcf621b7f2abf60e59a0</t>
  </si>
  <si>
    <t>{"in":76,"DATE":"2/20/2026","IMEI":"","NAME":"OZ GADGET","TIME":19,"PRICE":"\u20a65,000.00","STATUS":"PAID","PAID DATE":"","RECORD_ID":"d6c383b4b3b044749c7d5c541d20ed91","Amount paid":"","DESCRIPTION":"SCREEN TIME PASSWORD REMOVAL","PHONE NUMBER":2348106293924,"DEAL LOCATION":"","INTERNAL NOTE":"","EXPENSE AMOUNT":"","CALCULATED PROFIT":"","EXPENSE DESCRIPTION":"","IMEI FOR SWAPPED DEAL":""}</t>
  </si>
  <si>
    <t>521bdda9568fb942e7180a2a058470ddfea1586893cc6804b9bd16a41be89783</t>
  </si>
  <si>
    <t>{"in":77,"DATE":"2/20/2026","IMEI":"","NAME":"TOBI DAVID","TIME":20,"PRICE":"\u20a615,000.00","STATUS":"PAID","PAID DATE":"","RECORD_ID":"b493d019bdab44d99219bbfe48f534aa","Amount paid":"","DESCRIPTION":"11 PRO MAX CHIP","PHONE NUMBER":"","DEAL LOCATION":"","INTERNAL NOTE":"","EXPENSE AMOUNT":"","CALCULATED PROFIT":"","EXPENSE DESCRIPTION":"","IMEI FOR SWAPPED DEAL":""}</t>
  </si>
  <si>
    <t>08dbc17a78e8d9970f41608bb04696978b057150be727f4a546b5d56b7bbc41d</t>
  </si>
  <si>
    <t>{"in":78,"DATE":"..","IMEI":"..","NAME":"..","TIME":"..","PRICE":"..","STATUS":"..","PAID DATE":"","RECORD_ID":"2bae46277e624bb497f4ea485378b54e","Amount paid":"","DESCRIPTION":"..","PHONE NUMBER":"","DEAL LOCATION":"","INTERNAL NOTE":"","EXPENSE AMOUNT":"","CALCULATED PROFIT":"","EXPENSE DESCRIPTION":"","IMEI FOR SWAPPED DEAL":""}</t>
  </si>
  <si>
    <t>0cbcd1fe58e20c9d02acf66c8a77c38272b1ed0a7f78af3a924938b3d2674063</t>
  </si>
  <si>
    <t>{"in":79,"DATE":"..","IMEI":"..","NAME":"..","TIME":"","PRICE":"..","STATUS":"..","PAID DATE":"","RECORD_ID":"8034b9cfc29146a7b02f995313a82b96","Amount paid":"","DESCRIPTION":"..","PHONE NUMBER":"","DEAL LOCATION":"","INTERNAL NOTE":"","EXPENSE AMOUNT":"","CALCULATED PROFIT":"","EXPENSE DESCRIPTION":"","IMEI FOR SWAPPED DEAL":""}</t>
  </si>
  <si>
    <t>1534a1aadee6db6bd4e68ee0e089d958e0e88e08aa6e745f8cef54591f057148</t>
  </si>
  <si>
    <t>2026-02-21T00:00:00+01:00</t>
  </si>
  <si>
    <t>{"in":80,"DATE":"2/21/2026","IMEI":"","NAME":"DAMBOX","TIME":1,"PRICE":"\u20a62,500.00","STATUS":"PAID","PAID DATE":"","RECORD_ID":"c694551436c641b2905b330e7ffde5d9","Amount paid":"","DESCRIPTION":"IPHONE AIR IOS UPDATE","PHONE NUMBER":9040943517,"DEAL LOCATION":"","INTERNAL NOTE":"","EXPENSE AMOUNT":"","CALCULATED PROFIT":"","EXPENSE DESCRIPTION":"","IMEI FOR SWAPPED DEAL":""}</t>
  </si>
  <si>
    <t>5869075777414dde5880f77af04c5c9dcd47667ffaffb5497c2d65cd81920e68</t>
  </si>
  <si>
    <t>{"in":81,"DATE":"2/21/2026","IMEI":"","NAME":"DAH UNIQUE","TIME":2,"PRICE":"\u20a62,500.00","STATUS":"PAID","PAID DATE":"","RECORD_ID":"4d85b5525de34cb0b3cd164ba76d018f","Amount paid":"","DESCRIPTION":"BLACK 14 PRO MAX IOS UPDATE","PHONE NUMBER":2349070536253,"DEAL LOCATION":"","INTERNAL NOTE":"","EXPENSE AMOUNT":"","CALCULATED PROFIT":"","EXPENSE DESCRIPTION":"","IMEI FOR SWAPPED DEAL":""}</t>
  </si>
  <si>
    <t>a883cbe38c890ded005d7e3c5ba8f6f87e28f488ad62db276c81b32517d015f3</t>
  </si>
  <si>
    <t>{"in":82,"DATE":"2/21/2026","IMEI":"","NAME":"LIZZIE TECHBOX","TIME":3,"PRICE":"\u20a615,000.00","STATUS":"PAID","PAID DATE":"","RECORD_ID":"52e1028a443d421a8f616965d43f7198","Amount paid":"","DESCRIPTION":"APPLE ID PASSWORD RECOVERY","PHONE NUMBER":"","DEAL LOCATION":"","INTERNAL NOTE":"","EXPENSE AMOUNT":"","CALCULATED PROFIT":"","EXPENSE DESCRIPTION":"","IMEI FOR SWAPPED DEAL":""}</t>
  </si>
  <si>
    <t>95fdfe2d143c3921acf92f143d8ceffc0c49fe6c25cefe52d58dd26f160cdb6f</t>
  </si>
  <si>
    <t>{"in":83,"DATE":"2/21/2026","IMEI":"","NAME":"RAYMOND FLASH","TIME":4,"PRICE":"\u20a69,300,000.00","STATUS":"PAID","PAID DATE":"","RECORD_ID":"c4718bc3cc4d40d7b902fb22cc4140c1","Amount paid":"","DESCRIPTION":"IPHONE 16 PRO BLACK 352657194592433 95%","PHONE NUMBER":"","DEAL LOCATION":"","INTERNAL NOTE":"","EXPENSE AMOUNT":"","CALCULATED PROFIT":"","EXPENSE DESCRIPTION":"","IMEI FOR SWAPPED DEAL":""}</t>
  </si>
  <si>
    <t>42f49ad02c89fef1d42547aeeb4fe773d9ec779a2dd4ac2ac2ef7e88d36c4cc4</t>
  </si>
  <si>
    <t>{"in":84,"DATE":"2/21/2026","IMEI":"","NAME":"PABLO","TIME":5,"PRICE":"\u20a62,500.00","STATUS":"PAID","PAID DATE":"","RECORD_ID":"3708bbba431146d7a8ce439730664e4d","Amount paid":"","DESCRIPTION":"GOLD IPHONE 16 PRO MAX IOS UPDATE","PHONE NUMBER":"","DEAL LOCATION":"","INTERNAL NOTE":"","EXPENSE AMOUNT":"","CALCULATED PROFIT":"","EXPENSE DESCRIPTION":"","IMEI FOR SWAPPED DEAL":""}</t>
  </si>
  <si>
    <t>4aff0ba2c1016e0fbce621f181bdcf1f0f1860d27426f485ed93e8bca791792e</t>
  </si>
  <si>
    <t>2026-02-22T00:00:00+01:00</t>
  </si>
  <si>
    <t>{"in":85,"DATE":"2/22/2026","IMEI":"","NAME":"PABLO","TIME":6,"PRICE":"\u20a615,000.00","STATUS":"PAID","PAID DATE":"","RECORD_ID":"ebf56a10fdf24b9f86c1b7f2d24127e4","Amount paid":"","DESCRIPTION":"CHIP ONLY FOR IPHONE 16 PRO MAX WITHOUT ESIM","PHONE NUMBER":"","DEAL LOCATION":"","INTERNAL NOTE":"","EXPENSE AMOUNT":"","CALCULATED PROFIT":"","EXPENSE DESCRIPTION":"","IMEI FOR SWAPPED DEAL":""}</t>
  </si>
  <si>
    <t>9f84a0b30cc0b6c5c605f4926ea170966a84e3ba4de4f6aae90539593a104936</t>
  </si>
  <si>
    <t>{"in":86,"DATE":"2/21/2026","IMEI":"","NAME":"PANKEY","TIME":7,"PRICE":"\u20a62,500.00","STATUS":"PAID","PAID DATE":"","RECORD_ID":"84b08607f0144d3d9159c52f38331244","Amount paid":"","DESCRIPTION":"SILVER IPHONE 17 PRO MAX IOS UPDATE","PHONE NUMBER":"","DEAL LOCATION":"","INTERNAL NOTE":"","EXPENSE AMOUNT":"","CALCULATED PROFIT":"","EXPENSE DESCRIPTION":"","IMEI FOR SWAPPED DEAL":""}</t>
  </si>
  <si>
    <t>78c9a96ae23cd429a09261999b219ead15cb11f5ffb8b167744c2a31d33f68e6</t>
  </si>
  <si>
    <t>{"in":87,"DATE":"2/21/2026","IMEI":"","NAME":"MR AYODELE","TIME":8,"PRICE":"\u20a615,000.00","STATUS":"PAID","PAID DATE":"","RECORD_ID":"cbf8150f13c64c69bf9f24433737d50f","Amount paid":"","DESCRIPTION":"SAMSUNG A17 FRP FIX","PHONE NUMBER":"","DEAL LOCATION":"","INTERNAL NOTE":"","EXPENSE AMOUNT":"","CALCULATED PROFIT":"","EXPENSE DESCRIPTION":"","IMEI FOR SWAPPED DEAL":""}</t>
  </si>
  <si>
    <t>ab100cd018f1df1342c23abea82cf3dcdfdb793f2b4d2a1052446c9bbc235a31</t>
  </si>
  <si>
    <t>{"in":88,"DATE":"2/21/2026","IMEI":"","NAME":"TOP MAN","TIME":9,"PRICE":"\u20a62,500.00","STATUS":"PAID","PAID DATE":"","RECORD_ID":"01e26a8d2b654b60a6a3d0bfd4232177","Amount paid":"","DESCRIPTION":"IPHONE 13 WHITE IOS UPDATE","PHONE NUMBER":"","DEAL LOCATION":"","INTERNAL NOTE":"","EXPENSE AMOUNT":"","CALCULATED PROFIT":"","EXPENSE DESCRIPTION":"","IMEI FOR SWAPPED DEAL":""}</t>
  </si>
  <si>
    <t>e287b9df815fe80d7385bf086e97746ce1beaec2f9153f6a30a2710c68723427</t>
  </si>
  <si>
    <t>{"in":89,"DATE":"..","IMEI":"...","NAME":"..","TIME":".","PRICE":"..","STATUS":"..","PAID DATE":"","RECORD_ID":"c6bfd29e311547ecbda0a4d8f5e08821","Amount paid":"","DESCRIPTION":"..","PHONE NUMBER":"","DEAL LOCATION":"","INTERNAL NOTE":"","EXPENSE AMOUNT":"","CALCULATED PROFIT":"","EXPENSE DESCRIPTION":"","IMEI FOR SWAPPED DEAL":""}</t>
  </si>
  <si>
    <t>8dec639ded570fe7950175a99c5579462b69889766bbca164548f207c51c569d</t>
  </si>
  <si>
    <t>{"in":90,"DATE":"..","IMEI":"..","NAME":"..","TIME":"","PRICE":"..","STATUS":"..","PAID DATE":"","RECORD_ID":"6bb782d201984c2999cf627a821b01fe","Amount paid":"","DESCRIPTION":"..","PHONE NUMBER":"","DEAL LOCATION":"","INTERNAL NOTE":"","EXPENSE AMOUNT":"","CALCULATED PROFIT":"","EXPENSE DESCRIPTION":"","IMEI FOR SWAPPED DEAL":""}</t>
  </si>
  <si>
    <t>3a8bfb0bd397665f54f3a720ea253a651aadee52e795faac0834c510164b227d</t>
  </si>
  <si>
    <t>2026-02-23T00:00:00+01:00</t>
  </si>
  <si>
    <t>{"in":91,"DATE":"2/23/2026","IMEI":"","NAME":"CHUSTER","TIME":1,"PRICE":"\u20a64,000.00","STATUS":"PAID","PAID DATE":"","RECORD_ID":"761d456d208b4da796a02b920dbd55c5","Amount paid":"","DESCRIPTION":"NIGERIA APPLE ID","PHONE NUMBER":"","DEAL LOCATION":"","INTERNAL NOTE":"","EXPENSE AMOUNT":"","CALCULATED PROFIT":"","EXPENSE DESCRIPTION":"","IMEI FOR SWAPPED DEAL":""}</t>
  </si>
  <si>
    <t>4a5bfc67d1c9c538b6e5125dd70db28f69ced13c349edb2f64ecc19139a7c0e9</t>
  </si>
  <si>
    <t>{"in":92,"DATE":"2/23/2026","IMEI":"","NAME":"AWILO","TIME":2,"PRICE":"\u20a6250,000.00","STATUS":"PAID","PAID DATE":"","RECORD_ID":"0d28acc2d09f4982a4e8313c2fb14917","Amount paid":"","DESCRIPTION":"APPLE WATCH SERIES 9","PHONE NUMBER":"","DEAL LOCATION":"","INTERNAL NOTE":"","EXPENSE AMOUNT":"","CALCULATED PROFIT":"","EXPENSE DESCRIPTION":"","IMEI FOR SWAPPED DEAL":""}</t>
  </si>
  <si>
    <t>b6965cca68a66230dc0d99c6cd8ac8ccf6a79304775ae485b9bd67f0d3f06739</t>
  </si>
  <si>
    <t>{"in":93,"DATE":"2/23/2026","IMEI":"","NAME":"DAMBOX","TIME":3,"PRICE":"\u20a62,500.00","STATUS":"PAID","PAID DATE":"","RECORD_ID":"d983d9aa162748069b6402ab482f72ff","Amount paid":"","DESCRIPTION":"IPHONE 17 AIR IOS UPDATE","PHONE NUMBER":9040943517,"DEAL LOCATION":"","INTERNAL NOTE":"","EXPENSE AMOUNT":"","CALCULATED PROFIT":"","EXPENSE DESCRIPTION":"","IMEI FOR SWAPPED DEAL":""}</t>
  </si>
  <si>
    <t>6ac45447f5f53f49ce4e9c9a2c728569fede56f72294a12ae4d3842cea0076c9</t>
  </si>
  <si>
    <t>{"in":94,"DATE":"2/23/2026","IMEI":"","NAME":"ZEE TECH","TIME":4,"PRICE":"\u20a62,500.00","STATUS":"PAID","PAID DATE":"","RECORD_ID":"5abfcab43e33484e8348fbebb46dd850","Amount paid":"","DESCRIPTION":"IPHONE 11 PRO PASSWORD FLASH","PHONE NUMBER":2349033724061,"DEAL LOCATION":"","INTERNAL NOTE":"","EXPENSE AMOUNT":"","CALCULATED PROFIT":"","EXPENSE DESCRIPTION":"","IMEI FOR SWAPPED DEAL":""}</t>
  </si>
  <si>
    <t>26c5db2695f755c259e677578b8bbe4c0683e5a9ed00bf372b7a7d9bdcf3b652</t>
  </si>
  <si>
    <t>{"in":95,"DATE":"2/23/2026","IMEI":"","NAME":"OSAMA CUSTOMER","TIME":5,"PRICE":"\u20a65,000.00","STATUS":"PAID","PAID DATE":"","RECORD_ID":"d08f3e69b6f74269a268ddd490ebf54b","Amount paid":"","DESCRIPTION":"NIGERIA APPLE ID CREATE ","PHONE NUMBER":"","DEAL LOCATION":"","INTERNAL NOTE":"","EXPENSE AMOUNT":"","CALCULATED PROFIT":"","EXPENSE DESCRIPTION":"","IMEI FOR SWAPPED DEAL":""}</t>
  </si>
  <si>
    <t>a6ada57a35c47e0c084c6c4f0a87e3e12d40bac9333594bc22f86e2639138215</t>
  </si>
  <si>
    <t>{"in":96,"DATE":"2/23/2026","IMEI":"","NAME":"OSAMA","TIME":6,"PRICE":"\u20a63,000.00","STATUS":"PAID","PAID DATE":"","RECORD_ID":"c134793da67c4565aa3aeb4f41d85c6b","Amount paid":"","DESCRIPTION":"IPHONE 12 PRO SDP FLASH","PHONE NUMBER":2348140672915,"DEAL LOCATION":"","INTERNAL NOTE":"","EXPENSE AMOUNT":"","CALCULATED PROFIT":"","EXPENSE DESCRIPTION":"","IMEI FOR SWAPPED DEAL":""}</t>
  </si>
  <si>
    <t>8d72e19c75f8d75758f3f63c6ce4fe4ff15d45ddf3928742e84a9585b1a07b7d</t>
  </si>
  <si>
    <t>{"in":97,"DATE":"2/23/2026","IMEI":"","NAME":"DENIS4WARD","TIME":7,"PRICE":"\u20a63,000.00","STATUS":"PAID","PAID DATE":"","RECORD_ID":"94357384bea040b9861cca9151d11585","Amount paid":"","DESCRIPTION":"3K CASH FOR DISPATCH","PHONE NUMBER":2348038551439,"DEAL LOCATION":"","INTERNAL NOTE":"","EXPENSE AMOUNT":"","CALCULATED PROFIT":"","EXPENSE DESCRIPTION":"","IMEI FOR SWAPPED DEAL":""}</t>
  </si>
  <si>
    <t>69e66a531ea1acb3954eee64a0ab00b84ce4207dec1312b7cf8cfd634676227e</t>
  </si>
  <si>
    <t>{"in":98,"DATE":"2/23/2026","IMEI":"","NAME":"STARBOX","TIME":8,"PRICE":"\u20a62,500.00","STATUS":"PAID","PAID DATE":"","RECORD_ID":"40edcb7b32b04aa8b425278bbdb1eae4","Amount paid":"","DESCRIPTION":"IPHONE 17 AIR IOS UPDATE","PHONE NUMBER":2349063620334,"DEAL LOCATION":"","INTERNAL NOTE":"","EXPENSE AMOUNT":"","CALCULATED PROFIT":"","EXPENSE DESCRIPTION":"","IMEI FOR SWAPPED DEAL":""}</t>
  </si>
  <si>
    <t>379d5ce8fa2431652375097f50c09583e2032d91e6c1393ed715140c17cb71b6</t>
  </si>
  <si>
    <t>{"in":99,"DATE":"2/23/2026","IMEI":"","NAME":"IA GADGET","TIME":9,"PRICE":"\u20a62,500.00","STATUS":"PAID","PAID DATE":"","RECORD_ID":"593e7329fb6241aabcac32cf957f82e1","Amount paid":"\u20a62,500.00","DESCRIPTION":"GREEN IPHONE 15 IOS UPDATE","PHONE NUMBER":2347046539922,"DEAL LOCATION":"","INTERNAL NOTE":"","EXPENSE AMOUNT":"","CALCULATED PROFIT":"","EXPENSE DESCRIPTION":"","IMEI FOR SWAPPED DEAL":""}</t>
  </si>
  <si>
    <t>a8584c81a393ce60e33df610b695fb13522accc5941d8da267974b1e8e26c01f</t>
  </si>
  <si>
    <t>{"in":100,"DATE":"2/23/2026","IMEI":"","NAME":"ZEE TECH","TIME":10,"PRICE":"\u20a62,500.00","STATUS":"PAID","PAID DATE":"","RECORD_ID":"d10271fc729a488c8157a6e8437325c6","Amount paid":"","DESCRIPTION":"BLACK IPHONE 15 IOS UPDATE","PHONE NUMBER":2349033724061,"DEAL LOCATION":"","INTERNAL NOTE":"","EXPENSE AMOUNT":"","CALCULATED PROFIT":"","EXPENSE DESCRIPTION":"","IMEI FOR SWAPPED DEAL":""}</t>
  </si>
  <si>
    <t>e9ba3f2c17e7397c7efe611513ee38d9ea3f0260910214ec02c327d1cf97a9fd</t>
  </si>
  <si>
    <t>{"in":101,"DATE":"2/23/2026","IMEI":"","NAME":"YUSLORD GADGET","TIME":11,"PRICE":"\u20a62,500.00","STATUS":"PAID","PAID DATE":"","RECORD_ID":"b943380596eb48249bff8cd7c88d75b9","Amount paid":"","DESCRIPTION":"BLACK 16 PRO MAX IOS UPDATE","PHONE NUMBER":"","DEAL LOCATION":"","INTERNAL NOTE":"","EXPENSE AMOUNT":"","CALCULATED PROFIT":"","EXPENSE DESCRIPTION":"","IMEI FOR SWAPPED DEAL":""}</t>
  </si>
  <si>
    <t>4ee6064105cf082b7d151cdd85a9bfdb25c91c65c33418265426d68a31b05b20</t>
  </si>
  <si>
    <t>{"in":102,"DATE":"2/23/2026","IMEI":"","NAME":"CH4","TIME":12,"PRICE":"\u20a62,500.00","STATUS":"PAID","PAID DATE":"","RECORD_ID":"531ec737d3b84d2a9c00cb9d925a22cd","Amount paid":"\u20a62,500.00","DESCRIPTION":"PURPLE IPHONE 14 PRO MAX IOS UPDATE","PHONE NUMBER":2348131941406,"DEAL LOCATION":"","INTERNAL NOTE":"","EXPENSE AMOUNT":"","CALCULATED PROFIT":"","EXPENSE DESCRIPTION":"","IMEI FOR SWAPPED DEAL":""}</t>
  </si>
  <si>
    <t>24103eabb7dd77fa507787395c12c56cfde4f4e3a8f495055d4d7dd0670357db</t>
  </si>
  <si>
    <t>{"in":103,"DATE":"2/23/2026","IMEI":"","NAME":"OMONLA BUGATTI","TIME":13,"PRICE":"\u20a62,500.00","STATUS":"PAID","PAID DATE":"","RECORD_ID":"37c0d73041fd4917bf494b67b43667f0","Amount paid":"","DESCRIPTION":"MIDNIGHT IPHONE 13 BATTERY FLASH","PHONE NUMBER":2349036489677,"DEAL LOCATION":"","INTERNAL NOTE":"","EXPENSE AMOUNT":"","CALCULATED PROFIT":"","EXPENSE DESCRIPTION":"","IMEI FOR SWAPPED DEAL":""}</t>
  </si>
  <si>
    <t>b9f460c48d8b30ccb0131dc2fb74d01c28b6fe4e016e9993b6a06041e6e9e261</t>
  </si>
  <si>
    <t>{"in":104,"DATE":"2/23/2026","IMEI":"","NAME":"ZEE GUY","TIME":14,"PRICE":"\u20a63,000.00","STATUS":"PAID","PAID DATE":"","RECORD_ID":"2cec4531b46b489e8f070d705769805a","Amount paid":"","DESCRIPTION":"BLACK TITANIUM 15 PRO MAX FLASH","PHONE NUMBER":"","DEAL LOCATION":"","INTERNAL NOTE":"","EXPENSE AMOUNT":"","CALCULATED PROFIT":"","EXPENSE DESCRIPTION":"","IMEI FOR SWAPPED DEAL":""}</t>
  </si>
  <si>
    <t>980a8df745c2b620fd1cd6605aaaf6b2e2045fe9fb93ffec9ad12bc6ddb51090</t>
  </si>
  <si>
    <t>{"in":105,"DATE":"2/23/2026","IMEI":"","NAME":"ZEE GUY","TIME":"","PRICE":"\u20a63,000.00","STATUS":"PAID","PAID DATE":"","RECORD_ID":"1b827b030c8d408bb8a0d1129af602a5","Amount paid":"","DESCRIPTION":"FILE TRANSFER","PHONE NUMBER":"","DEAL LOCATION":"","INTERNAL NOTE":"","EXPENSE AMOUNT":"","CALCULATED PROFIT":"","EXPENSE DESCRIPTION":"","IMEI FOR SWAPPED DEAL":""}</t>
  </si>
  <si>
    <t>c886e7b53455d98bb1e0c2dae216e73ed12900524ccb65a390e4c367af5bd59e</t>
  </si>
  <si>
    <t>{"in":106,"DATE":"2/23/2026","IMEI":"","NAME":"MOSIMI","TIME":"","PRICE":"\u20a615,000.00","STATUS":"PAID","PAID DATE":"","RECORD_ID":"77323c5bb41c4b50ba0bd8d4fabb9d0b","Amount paid":"","DESCRIPTION":"RED  IPHONE 12 MDM BYPAS","PHONE NUMBER":"","DEAL LOCATION":"","INTERNAL NOTE":"","EXPENSE AMOUNT":"","CALCULATED PROFIT":"","EXPENSE DESCRIPTION":"","IMEI FOR SWAPPED DEAL":""}</t>
  </si>
  <si>
    <t>e627dbae4023f731f6a65bf4f4c106b323f820dfb88a273917e0ecb9cf81c5e1</t>
  </si>
  <si>
    <t>{"in":107,"DATE":"..","IMEI":"..","NAME":"..","TIME":"","PRICE":"..","STATUS":"./","PAID DATE":"","RECORD_ID":"a3e8d7b93aea445f8ff4deca7f1322f3","Amount paid":"","DESCRIPTION":"..","PHONE NUMBER":"","DEAL LOCATION":"","INTERNAL NOTE":"","EXPENSE AMOUNT":"","CALCULATED PROFIT":"","EXPENSE DESCRIPTION":"","IMEI FOR SWAPPED DEAL":""}</t>
  </si>
  <si>
    <t>25ff895d0d1b5de0c12c8b2ca12f7cdd4b305b3416def820e050d21590aaf6f5</t>
  </si>
  <si>
    <t>{"in":108,"DATE":"..","IMEI":"..","NAME":"..","TIME":".","PRICE":"..","STATUS":"..","PAID DATE":"","RECORD_ID":"d1cc9188c03c416487da81cf76e782ea","Amount paid":"","DESCRIPTION":"..","PHONE NUMBER":"","DEAL LOCATION":"","INTERNAL NOTE":"","EXPENSE AMOUNT":"","CALCULATED PROFIT":"","EXPENSE DESCRIPTION":"","IMEI FOR SWAPPED DEAL":""}</t>
  </si>
  <si>
    <t>53518bc9cc5b827b9aa901e160efce421cdff9e09e5c766316e2b6640090fa79</t>
  </si>
  <si>
    <t>2026-02-24T00:00:00+01:00</t>
  </si>
  <si>
    <t>{"in":109,"DATE":"2/24/2026","IMEI":"","NAME":" OMONLA BUGATTI","TIME":1,"PRICE":"\u20a62,500.00","STATUS":"PAID","PAID DATE":"","RECORD_ID":"7770a4380b2d4519820e2113702bcc1d","Amount paid":"","DESCRIPTION":"GRAPHITE 12 PRO BATTERY FIX","PHONE NUMBER":2349036489677,"DEAL LOCATION":"","INTERNAL NOTE":"","EXPENSE AMOUNT":"","CALCULATED PROFIT":"","EXPENSE DESCRIPTION":"","IMEI FOR SWAPPED DEAL":""}</t>
  </si>
  <si>
    <t>164ed4b9597aab1c7a1b11c359dc0d84ae659eacea865d4fc3db28fc1d6a9ba6</t>
  </si>
  <si>
    <t>{"in":110,"DATE":"2/24/2026","IMEI":"","NAME":"OMONLA BUGATTI","TIME":"","PRICE":"\u20a62,500.00","STATUS":"PAID","PAID DATE":"","RECORD_ID":"e29441e6ca074e05a971a67d4e4ae254","Amount paid":"","DESCRIPTION":"SKY BLUE 15 FIX BATTERY FLASH","PHONE NUMBER":2349036489677,"DEAL LOCATION":"","INTERNAL NOTE":"","EXPENSE AMOUNT":"","CALCULATED PROFIT":"","EXPENSE DESCRIPTION":"","IMEI FOR SWAPPED DEAL":""}</t>
  </si>
  <si>
    <t>6e252614de44bc57b836d4f24be420b291f92a7eacdeafac4feadddee4700c8b</t>
  </si>
  <si>
    <t>{"in":111,"DATE":"2/24/2026","IMEI":"","NAME":"TECH BOX","TIME":"","PRICE":"\u20a63,000.00","STATUS":"PAID","PAID DATE":"","RECORD_ID":"ddba4472d40a447c95c7a8068e9fd905","Amount paid":"","DESCRIPTION":"IWATCH UPDATE","PHONE NUMBER":2348169747697,"DEAL LOCATION":"","INTERNAL NOTE":"","EXPENSE AMOUNT":"","CALCULATED PROFIT":"","EXPENSE DESCRIPTION":"","IMEI FOR SWAPPED DEAL":""}</t>
  </si>
  <si>
    <t>9efde67e29f6e9f5411c3f592109e158c59a6dd8a7aacfe544e386d9d775dc94</t>
  </si>
  <si>
    <t>{"in":112,"DATE":"2/24/2026","IMEI":"","NAME":"ZEE GUY","TIME":"","PRICE":"\u20a63,000.00","STATUS":"PAID","PAID DATE":"","RECORD_ID":"19cbc5535e3f4399ae440e34dd82675f","Amount paid":"","DESCRIPTION":"FILE TRANSFER","PHONE NUMBER":"","DEAL LOCATION":"","INTERNAL NOTE":"","EXPENSE AMOUNT":"","CALCULATED PROFIT":"","EXPENSE DESCRIPTION":"","IMEI FOR SWAPPED DEAL":""}</t>
  </si>
  <si>
    <t>10232b0196dc6282aba2c15dd39f3c51fd6bf5c5ec62def998ffd89ed143c3fa</t>
  </si>
  <si>
    <t>{"in":113,"DATE":"2/24/2026","IMEI":"","NAME":"TOSIN FRO BUGATTI","TIME":"","PRICE":"\u20a62,500.00","STATUS":"PAID","PAID DATE":"","RECORD_ID":"4c466f6f742b4166af6af1c145d78ef3","Amount paid":"","DESCRIPTION":"BLUE IPHONE 15 PRO MAX UPDATE ","PHONE NUMBER":"","DEAL LOCATION":"","INTERNAL NOTE":"","EXPENSE AMOUNT":"","CALCULATED PROFIT":"","EXPENSE DESCRIPTION":"","IMEI FOR SWAPPED DEAL":""}</t>
  </si>
  <si>
    <t>cb82d1a36748807fad24a660ea434a45c5361fc3708878924abfaf01e75d266c</t>
  </si>
  <si>
    <t>{"in":114,"DATE":"2/24/2026","IMEI":"","NAME":"STAR BUSSY","TIME":"","PRICE":"\u20a65,000.00","STATUS":"PAID","PAID DATE":"","RECORD_ID":"609453ec545a4c0ab400937297f6c229","Amount paid":"","DESCRIPTION":"NIGERIA APPLE ID","PHONE NUMBER":2348127738411,"DEAL LOCATION":"","INTERNAL NOTE":"","EXPENSE AMOUNT":"","CALCULATED PROFIT":"","EXPENSE DESCRIPTION":"","IMEI FOR SWAPPED DEAL":""}</t>
  </si>
  <si>
    <t>69a7470e71cd1a5faf744b98db24ad2376352596f85141b32beb7ecc4d6ceeb6</t>
  </si>
  <si>
    <t>{"in":115,"DATE":"2/24/2026","IMEI":"","NAME":"NURUDEEN","TIME":"","PRICE":"\u20a62,500.00","STATUS":"PAID","PAID DATE":"","RECORD_ID":"9708ae6ef84b4eed804dfc4203ae4ea4","Amount paid":"","DESCRIPTION":"DESERT TITANIUM IPHONE 16 PRO MAX UPDATE","PHONE NUMBER":9122727950,"DEAL LOCATION":"","INTERNAL NOTE":"","EXPENSE AMOUNT":"","CALCULATED PROFIT":"","EXPENSE DESCRIPTION":"","IMEI FOR SWAPPED DEAL":""}</t>
  </si>
  <si>
    <t>4f32b8ae7f1d48696c5cb698ac97903caaa71a87ee42d1cfb611fcf801c925a8</t>
  </si>
  <si>
    <t>2026-02-25T00:00:00+01:00</t>
  </si>
  <si>
    <t>{"in":116,"DATE":"2/25/2026","IMEI":"","NAME":"NURUDEEN","TIME":"","PRICE":"\u20a62,500.00","STATUS":"PAID","PAID DATE":"","RECORD_ID":"8239bdaf880f455b944be61abd0bb6ed","Amount paid":"","DESCRIPTION":" IPHONE 12 FIX BATTERY FIX ","PHONE NUMBER":9122727950,"DEAL LOCATION":"","INTERNAL NOTE":"","EXPENSE AMOUNT":"","CALCULATED PROFIT":"","EXPENSE DESCRIPTION":"","IMEI FOR SWAPPED DEAL":""}</t>
  </si>
  <si>
    <t>c308b093b38c6d9d3f7156f58054d3c9e288f4aeda3d22474a793b62090cf51b</t>
  </si>
  <si>
    <t>{"in":117,"DATE":"..","IMEI":"..","NAME":"..","TIME":"","PRICE":"..","STATUS":"..","PAID DATE":"","RECORD_ID":"cdea63fd3b37419e8f81a2b824d0ba43","Amount paid":"","DESCRIPTION":"..","PHONE NUMBER":"","DEAL LOCATION":"","INTERNAL NOTE":"","EXPENSE AMOUNT":"","CALCULATED PROFIT":"","EXPENSE DESCRIPTION":"","IMEI FOR SWAPPED DEAL":""}</t>
  </si>
  <si>
    <t>a9210d637075d3d944b32047e1cdeba73af17d67ff094894d86f648a70ef9b71</t>
  </si>
  <si>
    <t>{"in":118,"DATE":"..","IMEI":"..","NAME":"..","TIME":".","PRICE":"..","STATUS":"..","PAID DATE":"","RECORD_ID":"48a9302452254f41abe0a50a714f9e19","Amount paid":"","DESCRIPTION":"..","PHONE NUMBER":"","DEAL LOCATION":"","INTERNAL NOTE":"","EXPENSE AMOUNT":"","CALCULATED PROFIT":"","EXPENSE DESCRIPTION":"","IMEI FOR SWAPPED DEAL":""}</t>
  </si>
  <si>
    <t>0dafa8e78c821014ab3bd0819c6525a2626517ffc385345dfa3d35410bf78cd9</t>
  </si>
  <si>
    <t>{"in":119,"DATE":"2/25/2026","IMEI":"","NAME":"ZEE TECH","TIME":1,"PRICE":"\u20a65,000.00","STATUS":"PAID","PAID DATE":"","RECORD_ID":"74d0e8569baa444f97e24380d84ca8ce","Amount paid":"\u20a65,000.00","DESCRIPTION":"IPHONE 16 PRO MAX GOLD SDP FLASH","PHONE NUMBER":2349033724061,"DEAL LOCATION":"","INTERNAL NOTE":"","EXPENSE AMOUNT":"","CALCULATED PROFIT":"","EXPENSE DESCRIPTION":"","IMEI FOR SWAPPED DEAL":""}</t>
  </si>
  <si>
    <t>b265351434419ee1b12810ec7e1fa4fc06cd783870d8b31c7a3c03492d3eac04</t>
  </si>
  <si>
    <t>{"in":120,"DATE":"2/25/2026","IMEI":"","NAME":"CUSTOMER","TIME":2,"PRICE":"\u20a63,000.00","STATUS":"PAID","PAID DATE":"","RECORD_ID":"b196e8742cf642548af68a6d9cadf621","Amount paid":"","DESCRIPTION":"IPHONE 16 IOS UPDATE","PHONE NUMBER":2341234567890,"DEAL LOCATION":"","INTERNAL NOTE":"","EXPENSE AMOUNT":"","CALCULATED PROFIT":"","EXPENSE DESCRIPTION":"","IMEI FOR SWAPPED DEAL":""}</t>
  </si>
  <si>
    <t>a81231922ad0e53919814ff3b7cfb03000225be6534aa94dae6b95cf3cc4f162</t>
  </si>
  <si>
    <t>{"in":121,"DATE":"2/25/2026","IMEI":"","NAME":"SEYIFUNMI","TIME":3,"PRICE":"\u20a62,500.00","STATUS":"PAID","PAID DATE":"","RECORD_ID":"83993ccf51754c869f2e0a90493ca356","Amount paid":"","DESCRIPTION":"BLUE IPHONE 13 IOS UPDATE","PHONE NUMBER":2347065500068,"DEAL LOCATION":"","INTERNAL NOTE":"","EXPENSE AMOUNT":"","CALCULATED PROFIT":"","EXPENSE DESCRIPTION":"","IMEI FOR SWAPPED DEAL":""}</t>
  </si>
  <si>
    <t>7d6a7bfa5720a7543169f66ccc82171f5d77c10b72b40619ce6df130014254d3</t>
  </si>
  <si>
    <t>{"in":122,"DATE":"2/25/2026","IMEI":"","NAME":"CUSTOMER","TIME":4,"PRICE":"\u20a63,000.00","STATUS":"PAID","PAID DATE":"","RECORD_ID":"8ee3a7379e4141a595e636eee6ff1389","Amount paid":"","DESCRIPTION":"ORANGE I7 PRO MAX UPDATE","PHONE NUMBER":2341234567890,"DEAL LOCATION":"","INTERNAL NOTE":"","EXPENSE AMOUNT":"","CALCULATED PROFIT":"","EXPENSE DESCRIPTION":"","IMEI FOR SWAPPED DEAL":""}</t>
  </si>
  <si>
    <t>37ea539885662bc9ce40e4eec8d148f0a949d9845bf086daf48a1db0fd268036</t>
  </si>
  <si>
    <t>{"in":123,"DATE":"2/25/2026","IMEI":"","NAME":"HORJOR","TIME":5,"PRICE":"\u20a62,500.00","STATUS":"PAID","PAID DATE":"","RECORD_ID":"dff4c4d6c4074c67bd6c9231001938a0","Amount paid":"","DESCRIPTION":"IPHONE 13 PRO MAX UPDATE","PHONE NUMBER":2347075152460,"DEAL LOCATION":"","INTERNAL NOTE":"","EXPENSE AMOUNT":"","CALCULATED PROFIT":"","EXPENSE DESCRIPTION":"","IMEI FOR SWAPPED DEAL":""}</t>
  </si>
  <si>
    <t>69274e62f4b1ea5529be2e17b478edafaf7d9e7f3869f23ebf18635859bf8c6a</t>
  </si>
  <si>
    <t>{"in":124,"DATE":"2/25/2026","IMEI":"","NAME":"YUSLORD","TIME":6,"PRICE":"\u20a62,500.00","STATUS":"PAID","PAID DATE":"","RECORD_ID":"d96b77db07904ae68bbfce5a741a50e5","Amount paid":"","DESCRIPTION":" BLUE IPHONE 13 UPDATE","PHONE NUMBER":2348022551794,"DEAL LOCATION":"","INTERNAL NOTE":"","EXPENSE AMOUNT":"","CALCULATED PROFIT":"","EXPENSE DESCRIPTION":"","IMEI FOR SWAPPED DEAL":""}</t>
  </si>
  <si>
    <t>1e0ce715e77a489f6ad8c1d5f867fe9292051d7c7726ac93491c75821fff90b8</t>
  </si>
  <si>
    <t>{"in":125,"DATE":"2/25/2026","IMEI":359702375154869,"NAME":"ACTIVE GADGET","TIME":7,"PRICE":"\u20a6599,000.00","STATUS":"RETURNED","PAID DATE":"","RECORD_ID":"25a4f503e9204c36bbc3e9c064a75cd1","Amount paid":"","DESCRIPTION":"IPHONE 14 PRO MAX 128GB ESIM UNLOCKED","PHONE NUMBER":"","DEAL LOCATION":"","INTERNAL NOTE":"","EXPENSE AMOUNT":"","CALCULATED PROFIT":"","EXPENSE DESCRIPTION":"","IMEI FOR SWAPPED DEAL":""}</t>
  </si>
  <si>
    <t>d1635fa881f0b48deede3552a82a7f7cdce03d3553dc1b706c03bd7aa6433e38</t>
  </si>
  <si>
    <t>{"in":126,"DATE":"2/25/2026","IMEI":354321296051388,"NAME":"MR UK","TIME":8,"PRICE":"\u20a6780,000.00","STATUS":"PAID","PAID DATE":"","RECORD_ID":"6ef4baf62ed3483c85d1b59f5f675a6c","Amount paid":"","DESCRIPTION":"IPHONE 15 PRO NATURAL TITANIUM 128GB","PHONE NUMBER":"","DEAL LOCATION":"","INTERNAL NOTE":"","EXPENSE AMOUNT":"","CALCULATED PROFIT":"","EXPENSE DESCRIPTION":"","IMEI FOR SWAPPED DEAL":""}</t>
  </si>
  <si>
    <t>29836425a2fd23f2872dabffd771887c0c91c3f7c3b18d6e725aaba9243b1d20</t>
  </si>
  <si>
    <t>{"in":127,"DATE":"2/25/2026","IMEI":"","NAME":"DEMEX","TIME":9,"PRICE":"\u20a63,000.00","STATUS":"paid","PAID DATE":"","RECORD_ID":"5ffb6fdb89314f7a9d3412a2cd85c56d","Amount paid":"\u20a63,000.00","DESCRIPTION":"BALANCE ON FILE TRANSFER","PHONE NUMBER":2347067462101,"DEAL LOCATION":"","INTERNAL NOTE":"","EXPENSE AMOUNT":"","CALCULATED PROFIT":"","EXPENSE DESCRIPTION":"","IMEI FOR SWAPPED DEAL":""}</t>
  </si>
  <si>
    <t>59b1ff5253cf9d71843e2733b38f4beb284282f0a021c80f6e409cf52f54014d</t>
  </si>
  <si>
    <t>{"in":128,"DATE":"...","IMEI":"..","NAME":"..","TIME":"&gt;","PRICE":".","STATUS":".","PAID DATE":"","RECORD_ID":"adca13c41a854293a7ce584b39d45935","Amount paid":"","DESCRIPTION":"..","PHONE NUMBER":"","DEAL LOCATION":"","INTERNAL NOTE":"","EXPENSE AMOUNT":"","CALCULATED PROFIT":"","EXPENSE DESCRIPTION":"","IMEI FOR SWAPPED DEAL":""}</t>
  </si>
  <si>
    <t>c1ef10a4228cc0b0b7958edb5336415ba46e5437ad2dc04f2285b6011c416057</t>
  </si>
  <si>
    <t>{"in":129,"DATE":"...","IMEI":"..","NAME":"..","TIME":"..","PRICE":".","STATUS":".","PAID DATE":"","RECORD_ID":"0d6bc582c9d54e2ab8092df2760bb5ad","Amount paid":"","DESCRIPTION":"..","PHONE NUMBER":"","DEAL LOCATION":"","INTERNAL NOTE":"","EXPENSE AMOUNT":"","CALCULATED PROFIT":"","EXPENSE DESCRIPTION":"","IMEI FOR SWAPPED DEAL":""}</t>
  </si>
  <si>
    <t>739b2fcd76733aa14b3f1a6e45836b9b2b3a2559568aba206e70223c06c2a15c</t>
  </si>
  <si>
    <t>2026-02-26T00:00:00+01:00</t>
  </si>
  <si>
    <t>{"in":130,"DATE":"2/26/2026","IMEI":"","NAME":"STAR BUSSY","TIME":1,"PRICE":"\u20a65,000.00","STATUS":"PAID","PAID DATE":"","RECORD_ID":"0f18c4eda0764586869910ece3d5e532","Amount paid":"","DESCRIPTION":"NIGERIA APPLE ID","PHONE NUMBER":2348127738411,"DEAL LOCATION":"","INTERNAL NOTE":"","EXPENSE AMOUNT":"","CALCULATED PROFIT":"","EXPENSE DESCRIPTION":"","IMEI FOR SWAPPED DEAL":""}</t>
  </si>
  <si>
    <t>c99f17cf22ee228ab0d504f36ec384a7c4ea48d57cf25f40985558f5274a04b9</t>
  </si>
  <si>
    <t>{"in":131,"DATE":"2/26/2026","IMEI":"","NAME":"FILMS JESSE","TIME":"","PRICE":"\u20a62,500.00","STATUS":"PAID","PAID DATE":"","RECORD_ID":"b5e0de1aabec40d78db099cfd7679028","Amount paid":"\u20a62,500.00","DESCRIPTION":"IPHONE 12 PRO MAX IOS UPDATE","PHONE NUMBER":2348145094483,"DEAL LOCATION":"","INTERNAL NOTE":"","EXPENSE AMOUNT":"","CALCULATED PROFIT":"","EXPENSE DESCRIPTION":"","IMEI FOR SWAPPED DEAL":""}</t>
  </si>
  <si>
    <t>7a7885112d552c7fa9708609d5027677e7538634d5be22a4b4ea96d35f54c8a8</t>
  </si>
  <si>
    <t>{"in":132,"DATE":"2/26/2026","IMEI":"","NAME":" DON","TIME":"","PRICE":"\u20a62,500.00","STATUS":"PAID","PAID DATE":"","RECORD_ID":"177a93ba9208476ca63e1229f2182423","Amount paid":"","DESCRIPTION":" DEEP BLUE IPHONE 17 PRO MAX","PHONE NUMBER":2348137676322,"DEAL LOCATION":"","INTERNAL NOTE":"","EXPENSE AMOUNT":"","CALCULATED PROFIT":"","EXPENSE DESCRIPTION":"","IMEI FOR SWAPPED DEAL":""}</t>
  </si>
  <si>
    <t>24d1cfabbeab35232ac3dca3b05f4e252faae876a94da64b5f8acb310e8f8922</t>
  </si>
  <si>
    <t>{"in":133,"DATE":"2/26/2026","IMEI":353431651842023,"NAME":"IA GADGET","TIME":"","PRICE":"\u20a6770,000.00","STATUS":"RETURNED","PAID DATE":"","RECORD_ID":"4cba43897c4e44b1b84ea5744886084b","Amount paid":"","DESCRIPTION":"IPHONE 15 PRO 512GB 90%","PHONE NUMBER":2347046539922,"DEAL LOCATION":"","INTERNAL NOTE":"","EXPENSE AMOUNT":"","CALCULATED PROFIT":"","EXPENSE DESCRIPTION":"","IMEI FOR SWAPPED DEAL":""}</t>
  </si>
  <si>
    <t>cf34ef284a6fd0ac280368f5b1b287a4b2635f23d7379e0b19c26eecd2c70b38</t>
  </si>
  <si>
    <t>{"in":134,"DATE":"2/26/2026","IMEI":"","NAME":"FILMS JESSE","TIME":"","PRICE":"\u20a62,500.00","STATUS":"PAID","PAID DATE":"","RECORD_ID":"070f25c8995445b493b8d2be3d673416","Amount paid":"\u20a62,500.00","DESCRIPTION":"PURPLE IPHONE 14 PRO MAX IOS UPDATE","PHONE NUMBER":2348145094483,"DEAL LOCATION":"","INTERNAL NOTE":"","EXPENSE AMOUNT":"","CALCULATED PROFIT":"","EXPENSE DESCRIPTION":"","IMEI FOR SWAPPED DEAL":""}</t>
  </si>
  <si>
    <t>b392b5aac5ff656bdf0592ce2c19570b5254375f769ccb93bca833e560431dd3</t>
  </si>
  <si>
    <t>{"in":135,"DATE":"2/26/2026","IMEI":"","NAME":"5X5","TIME":"","PRICE":"\u20a62,500.00","STATUS":"PAID","PAID DATE":"","RECORD_ID":"557b3170f33340cbac184c9126dafcfd","Amount paid":"","DESCRIPTION":"IPNONE 7 FLASH","PHONE NUMBER":"","DEAL LOCATION":"","INTERNAL NOTE":"","EXPENSE AMOUNT":"","CALCULATED PROFIT":"","EXPENSE DESCRIPTION":"","IMEI FOR SWAPPED DEAL":""}</t>
  </si>
  <si>
    <t>40b7a9029f28d7a58f88b5bc1090a48c1b099777fb9aa9d24f95609b114bb95b</t>
  </si>
  <si>
    <t>{"in":136,"DATE":"2/26/2026","IMEI":"","NAME":"IPRO GADGET","TIME":"","PRICE":"\u20a62,500.00","STATUS":"PAID","PAID DATE":"","RECORD_ID":"3ac16e6f706d4a428f52336d6f7dfe1d","Amount paid":"","DESCRIPTION":"BLUE IPHONE 13 IOS ","PHONE NUMBER":2348109344663,"DEAL LOCATION":"","INTERNAL NOTE":"","EXPENSE AMOUNT":"","CALCULATED PROFIT":"","EXPENSE DESCRIPTION":"","IMEI FOR SWAPPED DEAL":""}</t>
  </si>
  <si>
    <t>a86afe49074524ed71bdf58f8ea5e0b8fc6f6e76195325af8addc34b64f8995d</t>
  </si>
  <si>
    <t>{"in":137,"DATE":"2/26/2026","IMEI":"","NAME":"PHLEMZY","TIME":"","PRICE":"\u20a62,500.00","STATUS":"PAID","PAID DATE":"","RECORD_ID":"3ef0bc339a344812afbc58049852c3c5","Amount paid":"","DESCRIPTION":"IPHONE 14 IOS UPDATE ","PHONE NUMBER":2349065642565,"DEAL LOCATION":"","INTERNAL NOTE":"","EXPENSE AMOUNT":"","CALCULATED PROFIT":"","EXPENSE DESCRIPTION":"","IMEI FOR SWAPPED DEAL":""}</t>
  </si>
  <si>
    <t>feed51df110bdaa3042b4ce90ed9b2a92decaafe2c45cd40d9dd14bf9749dcf4</t>
  </si>
  <si>
    <t>{"in":138,"DATE":"2/26/2026","IMEI":350183987500121,"NAME":"TEE BEST GADGET","TIME":"","PRICE":"\u20a6359,000.00","STATUS":"PAID","PAID DATE":"","RECORD_ID":"f8a58840bb05426d901751ce04d3f4c4","Amount paid":"","DESCRIPTION":"IPHONE 13 BLUE 88% 128GB","PHONE NUMBER":2348037624066,"DEAL LOCATION":"","INTERNAL NOTE":"","EXPENSE AMOUNT":"","CALCULATED PROFIT":"","EXPENSE DESCRIPTION":"","IMEI FOR SWAPPED DEAL":""}</t>
  </si>
  <si>
    <t>c3bdab5ffb3c7bf0722c7da18d8446f5b022dbe7d37f80abef00be86c7d7fa87</t>
  </si>
  <si>
    <t>{"in":139,"DATE":"2/26/2026","IMEI":353247108602988,"NAME":"EMMEX","TIME":"","PRICE":"\u20a6280,000.00","STATUS":"RETURNED","PAID DATE":"","RECORD_ID":"f7e8a44bc0c7498889e8d507770a717a","Amount paid":"","DESCRIPTION":"IPHONE 11 PRO","PHONE NUMBER":2349065944787,"DEAL LOCATION":"","INTERNAL NOTE":"","EXPENSE AMOUNT":"","CALCULATED PROFIT":"","EXPENSE DESCRIPTION":"","IMEI FOR SWAPPED DEAL":""}</t>
  </si>
  <si>
    <t>f3e2ac962064df23781663520c877094b1929147908573add5801ac6780ef585</t>
  </si>
  <si>
    <t>2026-02-27T00:00:00+01:00</t>
  </si>
  <si>
    <t>{"in":140,"DATE":"2/27/2026","IMEI":350923383300943,"NAME":"GNF","TIME":"","PRICE":"\u20a6540,000.00","STATUS":"PAID","PAID DATE":"","RECORD_ID":"8f3d675197624d9981328efec892084b","Amount paid":"","DESCRIPTION":"IPHONE 14 PRO PURPLE 128GB 90%","PHONE NUMBER":2348160373526,"DEAL LOCATION":"","INTERNAL NOTE":"","EXPENSE AMOUNT":"","CALCULATED PROFIT":"","EXPENSE DESCRIPTION":"","IMEI FOR SWAPPED DEAL":""}</t>
  </si>
  <si>
    <t>c0e3438c201b475a3ad9eead45d545608c9028f5a51929c2f8a80ea604425f4d</t>
  </si>
  <si>
    <t>{"in":141,"DATE":"...","IMEI":"..","NAME":"..","TIME":"","PRICE":"..","STATUS":"..","PAID DATE":"","RECORD_ID":"c15377f3bf8e4c1ebef9920e02912d5e","Amount paid":"","DESCRIPTION":"..","PHONE NUMBER":"","DEAL LOCATION":"","INTERNAL NOTE":"","EXPENSE AMOUNT":"","CALCULATED PROFIT":"","EXPENSE DESCRIPTION":"","IMEI FOR SWAPPED DEAL":""}</t>
  </si>
  <si>
    <t>76f2d566b0b1fe07e6816b66f3eea9650a8906db16fb73c986217c434d6164fb</t>
  </si>
  <si>
    <t>{"in":142,"DATE":"2/27/2026","IMEI":"","NAME":"HOLLAH GADGET","TIME":"","PRICE":"\u20a62,500.00","STATUS":"PAID","PAID DATE":"","RECORD_ID":"4cc654e9554846fdbde53a56023abfff","Amount paid":"","DESCRIPTION":"BLUE IPHONE 14 UPDATE","PHONE NUMBER":7041440724,"DEAL LOCATION":"","INTERNAL NOTE":"","EXPENSE AMOUNT":"","CALCULATED PROFIT":"","EXPENSE DESCRIPTION":"","IMEI FOR SWAPPED DEAL":""}</t>
  </si>
  <si>
    <t>4516730dcf8cfb9e4565c514ccbff5706a204c83e384cd7eb3050c453fe03ff2</t>
  </si>
  <si>
    <t>{"in":143,"DATE":"2/27/2026","IMEI":352373266174783,"NAME":"OZ GADGET","TIME":"","PRICE":"\u20a6920,000.00","STATUS":"RETURNED","PAID DATE":"","RECORD_ID":"a0d8772db6594e7ead368531e80763a4","Amount paid":"","DESCRIPTION":"ULTRAMARINE IPHONE 16 PLUS P + E 100%","PHONE NUMBER":2348106293924,"DEAL LOCATION":"","INTERNAL NOTE":"","EXPENSE AMOUNT":"","CALCULATED PROFIT":"","EXPENSE DESCRIPTION":"","IMEI FOR SWAPPED DEAL":""}</t>
  </si>
  <si>
    <t>a5067704d91df441faaaa1b70558c1af7d8df542ac3e0833ba4307499486620d</t>
  </si>
  <si>
    <t>{"in":144,"DATE":"2/27/2026","IMEI":"","NAME":"STARBOX","TIME":"","PRICE":"\u20a63,000.00","STATUS":"PAID","PAID DATE":"","RECORD_ID":"173a19ca399a4e2c98841c623f480251","Amount paid":"","DESCRIPTION":"IPHONE 17 PRO IOS UPDATE. BLUE","PHONE NUMBER":2349063620334,"DEAL LOCATION":"","INTERNAL NOTE":"","EXPENSE AMOUNT":"","CALCULATED PROFIT":"","EXPENSE DESCRIPTION":"","IMEI FOR SWAPPED DEAL":""}</t>
  </si>
  <si>
    <t>ab2d93ea7c78e632f1b99d91723d58bed8a79d85c9b9065a8fd419a93ef0d218</t>
  </si>
  <si>
    <t>{"in":145,"DATE":"2/27/2026","IMEI":"","NAME":"I'M KENNY LEESKY","TIME":"","PRICE":"\u20a6225,000.00","STATUS":"PAID","PAID DATE":"","RECORD_ID":"4a9d82f714bc46268753218e65c1dbf7","Amount paid":"","DESCRIPTION":"PS4 SLIM","PHONE NUMBER":"","DEAL LOCATION":"","INTERNAL NOTE":"","EXPENSE AMOUNT":"","CALCULATED PROFIT":"","EXPENSE DESCRIPTION":"","IMEI FOR SWAPPED DEAL":""}</t>
  </si>
  <si>
    <t>01e297ef3b98946c3e997a01e21389d4e42b50a8655afa47dd794cb60210128c</t>
  </si>
  <si>
    <t>{"in":146,"DATE":"2/27/2026","IMEI":"","NAME":"OG LEKUTE","TIME":"","PRICE":"\u20a64,000.00","STATUS":"PAID","PAID DATE":"","RECORD_ID":"92103b8a66c441e387e16ac37c1477eb","Amount paid":"","DESCRIPTION":"APPLE ID CREATION. NIGERIA APPLE ID","PHONE NUMBER":"","DEAL LOCATION":"","INTERNAL NOTE":"","EXPENSE AMOUNT":"","CALCULATED PROFIT":"","EXPENSE DESCRIPTION":"","IMEI FOR SWAPPED DEAL":""}</t>
  </si>
  <si>
    <t>4edada0a4d2ade4ff763c5adaae9baef17a3127af0f52182aeffa692afe82e76</t>
  </si>
  <si>
    <t>{"in":147,"DATE":"2/27/2026","IMEI":351071524715196,"NAME":"CH4","TIME":"","PRICE":"\u20a6590,000.00","STATUS":"PAID","PAID DATE":"","RECORD_ID":"5d93292a9245443380348297405a86a3","Amount paid":"","DESCRIPTION":"IPHONE 15 PRO MAX LOCKED. WHITE TITANIUM 86%","PHONE NUMBER":2348131941406,"DEAL LOCATION":"","INTERNAL NOTE":"","EXPENSE AMOUNT":"","CALCULATED PROFIT":"","EXPENSE DESCRIPTION":"","IMEI FOR SWAPPED DEAL":""}</t>
  </si>
  <si>
    <t>384346ce50f7d6a630cd41c343f9391b42aa2037d23d5d604c3524ded811240e</t>
  </si>
  <si>
    <t>{"in":148,"DATE":"2/27/2026","IMEI":"","NAME":"FORMULA","TIME":"","PRICE":"\u20a62,500.00","STATUS":"PAID","PAID DATE":"","RECORD_ID":"8657f1d1c6ac49fe89f480498173e9b9","Amount paid":"\u20a62,500.00","DESCRIPTION":"BLACK IPHONE 15","PHONE NUMBER":2347067612418,"DEAL LOCATION":"","INTERNAL NOTE":"","EXPENSE AMOUNT":"","CALCULATED PROFIT":"","EXPENSE DESCRIPTION":"","IMEI FOR SWAPPED DEAL":""}</t>
  </si>
  <si>
    <t>ea75557e4adceccf33f02f7d9e7ca75af2555696b427856f73fd5064e8060025</t>
  </si>
  <si>
    <t>{"in":149,"DATE":"2/27/2026","IMEI":"","NAME":"CH4 REP","TIME":"","PRICE":"\u20a62,500.00","STATUS":"PAID","PAID DATE":"","RECORD_ID":"6c097e24a9c1460d86e43c06bb191e4b","Amount paid":"","DESCRIPTION":"WHITE IPHONE 15 PRO MAX","PHONE NUMBER":2348109659193,"DEAL LOCATION":"","INTERNAL NOTE":"","EXPENSE AMOUNT":"","CALCULATED PROFIT":"","EXPENSE DESCRIPTION":"","IMEI FOR SWAPPED DEAL":""}</t>
  </si>
  <si>
    <t>144ab2798b900210ab2b7b888b3e8211ae60f12c5b74613cb0bbe2b94c1b300b</t>
  </si>
  <si>
    <t>{"in":150,"DATE":"2/27/2026","IMEI":352373266174783,"NAME":"DAH UNIQUE","TIME":"","PRICE":"\u20a6920,000.00","STATUS":"RETURNED","PAID DATE":"","RECORD_ID":"a42c32f4cfab4f12907532f241f37f26","Amount paid":"","DESCRIPTION":"ULTRAMARINE IPHONE 16 PLUS P + E 100%","PHONE NUMBER":2349070536253,"DEAL LOCATION":"","INTERNAL NOTE":"","EXPENSE AMOUNT":"","CALCULATED PROFIT":"","EXPENSE DESCRIPTION":"","IMEI FOR SWAPPED DEAL":""}</t>
  </si>
  <si>
    <t>937a8f41f4a505a712c2b241c974ea5b56d4e212ecb518e3c580bc4c5825b2f4</t>
  </si>
  <si>
    <t>{"in":151,"DATE":"2/27/2026","IMEI":"","NAME":"DAH UNIQUE","TIME":"","PRICE":"\u20a62,500.00","STATUS":"PAID","PAID DATE":"","RECORD_ID":"1d432e2a9af340739159146ae39c4f91","Amount paid":"","DESCRIPTION":"ULTRAMARINE IPHONE 16 PLUS UPDATE","PHONE NUMBER":2349070536253,"DEAL LOCATION":"","INTERNAL NOTE":"","EXPENSE AMOUNT":"","CALCULATED PROFIT":"","EXPENSE DESCRIPTION":"","IMEI FOR SWAPPED DEAL":""}</t>
  </si>
  <si>
    <t>403e2b145eccc4462a460127b0692b97cc5c8b0c939482ae9b08e38a9dd4f53e</t>
  </si>
  <si>
    <t>{"in":152,"DATE":"2/27/2026","IMEI":"","NAME":"DON","TIME":"","PRICE":"\u20a62,500.00","STATUS":"PAID","PAID DATE":"","RECORD_ID":"eb0d915d4b774f7686f3ee4b95f84d70","Amount paid":"","DESCRIPTION":"IPHONE 14 PRO IOS UPDATE. BLACK","PHONE NUMBER":2348137676322,"DEAL LOCATION":"","INTERNAL NOTE":"","EXPENSE AMOUNT":"","CALCULATED PROFIT":"","EXPENSE DESCRIPTION":"","IMEI FOR SWAPPED DEAL":""}</t>
  </si>
  <si>
    <t>9f8632cdf81dd2dfcbefa8d199168ce589612820d69bf60a86803289168c6a89</t>
  </si>
  <si>
    <t>{"in":153,"DATE":"2/27/2026","IMEI":353247108602988,"NAME":"HOLLAH GADGET","TIME":"","PRICE":"\u20a6280,000.00","STATUS":"RETURNED","PAID DATE":"","RECORD_ID":"d6f4542f5ebb4fb6ae3f0bd14803ab3c","Amount paid":"","DESCRIPTION":"IPHONE 11 PRO","PHONE NUMBER":7041440724,"DEAL LOCATION":"","INTERNAL NOTE":"","EXPENSE AMOUNT":"","CALCULATED PROFIT":"","EXPENSE DESCRIPTION":"","IMEI FOR SWAPPED DEAL":""}</t>
  </si>
  <si>
    <t>a5e1be159d9a67ee44441fa3dd7afe573c79e5e4dec60ea31a8e1b9ff47beb22</t>
  </si>
  <si>
    <t>{"in":154,"DATE":"2/27/2026","IMEI":"","NAME":"APPLE ID INACTIVE 15PM","TIME":"","PRICE":"\u20a640,000.00","STATUS":"PAID","PAID DATE":"","RECORD_ID":"0e1596281bd54418aebe0e227dd987cb","Amount paid":"","DESCRIPTION":"ONE MONTH ESIM ACTIVATE","PHONE NUMBER":"","DEAL LOCATION":"","INTERNAL NOTE":"","EXPENSE AMOUNT":"","CALCULATED PROFIT":"","EXPENSE DESCRIPTION":"","IMEI FOR SWAPPED DEAL":""}</t>
  </si>
  <si>
    <t>8b2295a6dd46338b0a5f1e50331bf98a421c0b9f7b9a98ab6a8de5562089c6a8</t>
  </si>
  <si>
    <t>{"in":155,"DATE":"2/27/2026","IMEI":"","NAME":"CH4 REP","TIME":"","PRICE":"\u20a62,500.00","STATUS":"PAID","PAID DATE":"","RECORD_ID":"277ce593f749486f9dd966a140674b3e","Amount paid":"","DESCRIPTION":"IPHONE 16 PRO UPDATE. BLACK","PHONE NUMBER":2348109659193,"DEAL LOCATION":"","INTERNAL NOTE":"","EXPENSE AMOUNT":"","CALCULATED PROFIT":"","EXPENSE DESCRIPTION":"","IMEI FOR SWAPPED DEAL":""}</t>
  </si>
  <si>
    <t>7e46a399420e774925d6b92d9976003dd81e6ea03337ac4afcc5f8d22119179c</t>
  </si>
  <si>
    <t>{"in":156,"DATE":"2/27/2026","IMEI":"","NAME":"LYDIA ADEDOJA","TIME":"","PRICE":"\u20a65,000.00","STATUS":"PAID","PAID DATE":"","RECORD_ID":"4f8b43384a5d4145ac87b7a6d31afac2","Amount paid":"","DESCRIPTION":"APPLE ID CREATION. NIGERIA APPLE ID","PHONE NUMBER":"","DEAL LOCATION":"","INTERNAL NOTE":"","EXPENSE AMOUNT":"","CALCULATED PROFIT":"","EXPENSE DESCRIPTION":"","IMEI FOR SWAPPED DEAL":""}</t>
  </si>
  <si>
    <t>8f88f04d2d0caebbc77568085479c0d6b69cda15aefe1b3340669367846d95f2</t>
  </si>
  <si>
    <t>{"in":157,"DATE":"2/27/2026","IMEI":"","NAME":"AB 16 PRO MAX BYPASS","TIME":"","PRICE":"\u20a690,000.00","STATUS":"PAID","PAID DATE":"","RECORD_ID":"d0cf24794f0441d082ef218cb56747ab","Amount paid":"","DESCRIPTION":"IPHONE 16 PRO MAX BYPASS","PHONE NUMBER":"","DEAL LOCATION":"","INTERNAL NOTE":"","EXPENSE AMOUNT":"","CALCULATED PROFIT":"","EXPENSE DESCRIPTION":"","IMEI FOR SWAPPED DEAL":""}</t>
  </si>
  <si>
    <t>d491fa1c9d8a4a35576e8570afa9da2052d6337847476c07cff45b9e218da5ad</t>
  </si>
  <si>
    <t>{"in":158,"DATE":"2/27/2026","IMEI":"","NAME":"DREY","TIME":"","PRICE":"\u20a62,500.00","STATUS":"PAID","PAID DATE":"","RECORD_ID":"aa5131b1b5534b91a16fe2cdd3b536e2","Amount paid":"","DESCRIPTION":"IPHONE 13 PRO MAX. SIERRA BLUE IOS UPDATE","PHONE NUMBER":2349135770042,"DEAL LOCATION":"","INTERNAL NOTE":"","EXPENSE AMOUNT":"","CALCULATED PROFIT":"","EXPENSE DESCRIPTION":"","IMEI FOR SWAPPED DEAL":""}</t>
  </si>
  <si>
    <t>42593c94b19d0ae8b97681fc24d076cb2b7ac516e3ce46eacd14211ec594aeda</t>
  </si>
  <si>
    <t>{"in":159,"DATE":"..","IMEI":".","NAME":".","TIME":"","PRICE":".","STATUS":".","PAID DATE":"","RECORD_ID":"b420560d080e49b6b7712b83e5e285f1","Amount paid":"","DESCRIPTION":".","PHONE NUMBER":"","DEAL LOCATION":"","INTERNAL NOTE":"","EXPENSE AMOUNT":"","CALCULATED PROFIT":"","EXPENSE DESCRIPTION":"","IMEI FOR SWAPPED DEAL":""}</t>
  </si>
  <si>
    <t>411173b3f06da2efcb5e2c4b6a24df7b69fed56c465821d79e4d90f6b11d714b</t>
  </si>
  <si>
    <t>{"in":160,"DATE":".","IMEI":".","NAME":".","TIME":"","PRICE":".","STATUS":".","PAID DATE":"","RECORD_ID":"e55fe52c817a477f9783c58275522c01","Amount paid":"","DESCRIPTION":".","PHONE NUMBER":"","DEAL LOCATION":"","INTERNAL NOTE":"","EXPENSE AMOUNT":"","CALCULATED PROFIT":"","EXPENSE DESCRIPTION":"","IMEI FOR SWAPPED DEAL":""}</t>
  </si>
  <si>
    <t>129569e8697d31a2664e98d8304069b8cab266d650787928963e6b269d9386b2</t>
  </si>
  <si>
    <t>{"in":161,"DATE":"2/28/2026","IMEI":353247108602988,"NAME":" PHLEMZY","TIME":"","PRICE":"\u20a6280,000.00","STATUS":"RETURNED","PAID DATE":"","RECORD_ID":"d18cbcec30f14cd98386de4dbb7c0152","Amount paid":"","DESCRIPTION":"SPACE GRAY IPHONE 11 PRO ","PHONE NUMBER":2349065642565,"DEAL LOCATION":"","INTERNAL NOTE":"","EXPENSE AMOUNT":"","CALCULATED PROFIT":"","EXPENSE DESCRIPTION":"","IMEI FOR SWAPPED DEAL":""}</t>
  </si>
  <si>
    <t>12a1f8f878820299c26a52b4c78bad30be092298492d5563c2a19e0e35fadda9</t>
  </si>
  <si>
    <t>2026-02-28T00:00:00+01:00</t>
  </si>
  <si>
    <t>{"in":162,"DATE":"2/28/2026","IMEI":"","NAME":"MZEE","TIME":"","PRICE":"\u20a62,500.00","STATUS":"PAID","PAID DATE":"","RECORD_ID":"93407247ffdb4034b57f6fcb5ddc35b0","Amount paid":"","DESCRIPTION":"MIDNIGHT IPHONE 13 UPDATE","PHONE NUMBER":2349038935833,"DEAL LOCATION":"","INTERNAL NOTE":"","EXPENSE AMOUNT":"","CALCULATED PROFIT":"","EXPENSE DESCRIPTION":"","IMEI FOR SWAPPED DEAL":""}</t>
  </si>
  <si>
    <t>9529522fde39c117f501f9005d0eefaea4e2991b0609481fbda66b4d34d8829d</t>
  </si>
  <si>
    <t>{"in":163,"DATE":"2/28/2026","IMEI":352373266174783,"NAME":"DAH UNIQUE","TIME":"","PRICE":"\u20a6920,000.00","STATUS":"PAID","PAID DATE":"","RECORD_ID":"0e2cc48e5410462890f49c10a311a22e","Amount paid":"","DESCRIPTION":"ULTRAMARINE IPHONE 16 PLUS ","PHONE NUMBER":2349070536253,"DEAL LOCATION":"","INTERNAL NOTE":"","EXPENSE AMOUNT":"","CALCULATED PROFIT":"","EXPENSE DESCRIPTION":"","IMEI FOR SWAPPED DEAL":""}</t>
  </si>
  <si>
    <t>d048252f8acaa970728127f31c96faf4deca99d4878c49cd01fe69551cdbea35</t>
  </si>
  <si>
    <t>{"in":164,"DATE":"2/28/2026","IMEI":358915828246758,"NAME":"PHLEMZY","TIME":"","PRICE":"\u20a6650,000.00","STATUS":"PART PAYMENT","PAID DATE":"","RECORD_ID":"b34fb2a84cd64cbaba12622d7e871e79","Amount paid":"\u20a6445,000.00","DESCRIPTION":"IPHONE 16 PLUS. LOCKED. BLACK. 100%","PHONE NUMBER":2349065642565,"DEAL LOCATION":"","INTERNAL NOTE":"","EXPENSE AMOUNT":"","CALCULATED PROFIT":"","EXPENSE DESCRIPTION":"","IMEI FOR SWAPPED DEAL":""}</t>
  </si>
  <si>
    <t>bc2efbea873b84bd85b22881ef283859ddcbba6251179c6e9f3ff4f801fd44c6</t>
  </si>
  <si>
    <t>{"in":165,"DATE":"2/28/2026","IMEI":"","NAME":"GOLD GADGET","TIME":"","PRICE":"\u20a63,000.00","STATUS":"PAID","PAID DATE":"","RECORD_ID":"b6c6ea08de7b4f90b1c90aba6484ca8c","Amount paid":"","DESCRIPTION":"APPLE ID SIGN IN FIX","PHONE NUMBER":"","DEAL LOCATION":"","INTERNAL NOTE":"","EXPENSE AMOUNT":"","CALCULATED PROFIT":"","EXPENSE DESCRIPTION":"","IMEI FOR SWAPPED DEAL":""}</t>
  </si>
  <si>
    <t>1dc817a4d959a4ccb78fb0c5450e6810cc0bad4f19396a968316e9d6125f9ac9</t>
  </si>
  <si>
    <t>{"in":166,"DATE":"2/28/2026","IMEI":"","NAME":"PANKYGEE","TIME":"","PRICE":"\u20a62,500.00","STATUS":"PAID","PAID DATE":"","RECORD_ID":"2728cf38c1804c04b8c668ba1da1f104","Amount paid":"","DESCRIPTION":"SILVER IPHONE 17 PRO MAX IOS UPDATE","PHONE NUMBER":2347052247397,"DEAL LOCATION":"","INTERNAL NOTE":"","EXPENSE AMOUNT":"","CALCULATED PROFIT":"","EXPENSE DESCRIPTION":"","IMEI FOR SWAPPED DEAL":""}</t>
  </si>
  <si>
    <t>867b14d1ca6988fbea0040cd1058f58a932fbd9e21de2404488617cd27efbdad</t>
  </si>
  <si>
    <t>{"in":167,"DATE":"2/28/2026","IMEI":"","NAME":"EASY AUTOS","TIME":"","PRICE":"\u20a62,500.00","STATUS":"PAID","PAID DATE":"","RECORD_ID":"868718145082416ba8bd3198b1ca23b7","Amount paid":"","DESCRIPTION":"ORANGE IPHONE 17 PRO MAX IOS UPDATE","PHONE NUMBER":"","DEAL LOCATION":"","INTERNAL NOTE":"","EXPENSE AMOUNT":"","CALCULATED PROFIT":"","EXPENSE DESCRIPTION":"","IMEI FOR SWAPPED DEAL":""}</t>
  </si>
  <si>
    <t>cd30522e379013e219971e68ae95826c35469e96003bebe563e95d1b44d7cef9</t>
  </si>
  <si>
    <t>{"in":168,"DATE":"2/28/2026","IMEI":353247108602988,"NAME":" PHLEMZY","TIME":"","PRICE":"\u20a6280,000.00","STATUS":"PAID","PAID DATE":"","RECORD_ID":"67dc4cec2937408191cb15775b8acdab","Amount paid":"","DESCRIPTION":"BALANCE ON SPACE GRAY IPHONE 11 PRO ","PHONE NUMBER":2349065642565,"DEAL LOCATION":"","INTERNAL NOTE":"","EXPENSE AMOUNT":"","CALCULATED PROFIT":"","EXPENSE DESCRIPTION":"","IMEI FOR SWAPPED DEAL":""}</t>
  </si>
  <si>
    <t>375f5ae8695d590434f873fd2d7e7719a74b1622d44b5d7f3023bf932562d62d</t>
  </si>
  <si>
    <t>{"in":169,"DATE":"2/28/2026","IMEI":"","NAME":"WIZZY","TIME":"","PRICE":"\u20a62,500.00","STATUS":"PAID","PAID DATE":"","RECORD_ID":"186403fd776e4ebd9ddf274e0f0955b9","Amount paid":"","DESCRIPTION":"RED IPHONE 13 FIX BATTERY FLASH","PHONE NUMBER":2348108686713,"DEAL LOCATION":"","INTERNAL NOTE":"","EXPENSE AMOUNT":"","CALCULATED PROFIT":"","EXPENSE DESCRIPTION":"","IMEI FOR SWAPPED DEAL":""}</t>
  </si>
  <si>
    <t>86d2fc287a8954c39d29c5324b27357aca79d250b44cf9f0029f7517605fbbd0</t>
  </si>
  <si>
    <t>{"in":170,"DATE":"2/28/2026","IMEI":"","NAME":"PELUMI","TIME":"","PRICE":"\u20a62,500.00","STATUS":"PAID","PAID DATE":"","RECORD_ID":"993f3ed8397c46368cc971df23166fcd","Amount paid":"","DESCRIPTION":"6S PLUS FLASH","PHONE NUMBER":"","DEAL LOCATION":"","INTERNAL NOTE":"","EXPENSE AMOUNT":"","CALCULATED PROFIT":"","EXPENSE DESCRIPTION":"","IMEI FOR SWAPPED DEAL":""}</t>
  </si>
  <si>
    <t>419b23aa3855a1edf3f81e9527ac20ac1fd16f72bf06b9f19f62ca0793addb11</t>
  </si>
  <si>
    <t>{"in":171,"DATE":"2/28/2026","IMEI":"","NAME":"CH4","TIME":"","PRICE":"\u20a62,500.00","STATUS":"PAID","PAID DATE":"","RECORD_ID":"8e335227229a4a21881e8866758ae602","Amount paid":"","DESCRIPTION":"BLACK IPHONE 15 PLUS IOS UPDATE PHYSICAL + ESIM","PHONE NUMBER":2348131941406,"DEAL LOCATION":"","INTERNAL NOTE":"","EXPENSE AMOUNT":"","CALCULATED PROFIT":"","EXPENSE DESCRIPTION":"","IMEI FOR SWAPPED DEAL":""}</t>
  </si>
  <si>
    <t>4a2a679c85ece75543706b136577849d1e039fc35b64afe2907b53abeda3e833</t>
  </si>
  <si>
    <t>{"in":172,"DATE":"2/28/2026","IMEI":358302111565956,"NAME":"PHINIXEGADGET","TIME":"","PRICE":"\u20a61,230,000.00","STATUS":"PAID","PAID DATE":"","RECORD_ID":"37fd8fbf87c74805b55081060fa79cb2","Amount paid":"","DESCRIPTION":"IPHONE AIR","PHONE NUMBER":"","DEAL LOCATION":"","INTERNAL NOTE":"","EXPENSE AMOUNT":"","CALCULATED PROFIT":"","EXPENSE DESCRIPTION":"","IMEI FOR SWAPPED DEAL":""}</t>
  </si>
  <si>
    <t>b106cf2903cc7145f39af853fc07d948ca36f3396598296523e270e129149d43</t>
  </si>
  <si>
    <t>{"in":173,"DATE":"2/28/2026","IMEI":"","NAME":"EASY AUTOS","TIME":"","PRICE":"\u20a64,000.00","STATUS":"PAID","PAID DATE":"","RECORD_ID":"ac2915e0e8384f0d88fd49bf5d9768e3","Amount paid":"","DESCRIPTION":"MTN ESIM QR CODE","PHONE NUMBER":"","DEAL LOCATION":"","INTERNAL NOTE":"","EXPENSE AMOUNT":"","CALCULATED PROFIT":"","EXPENSE DESCRIPTION":"","IMEI FOR SWAPPED DEAL":""}</t>
  </si>
  <si>
    <t>d4f3ea6581856be1e2d48983d6a6954c58c4abf2df92155fe07e5472465921e7</t>
  </si>
  <si>
    <t>{"in":174,"DATE":"2/28/2026","IMEI":"","NAME":"STARBUSSY","TIME":"","PRICE":"\u20a65,000.00","STATUS":"PAID","PAID DATE":"","RECORD_ID":"13d8bfe58f9440b7b3ca56d8dd551a27","Amount paid":"","DESCRIPTION":"NIGERIA APPLE ID","PHONE NUMBER":"","DEAL LOCATION":"","INTERNAL NOTE":"","EXPENSE AMOUNT":"","CALCULATED PROFIT":"","EXPENSE DESCRIPTION":"","IMEI FOR SWAPPED DEAL":""}</t>
  </si>
  <si>
    <t>9b9c77795a3f632a5d857d754b0809b592d5df8732849edc0b9dda690e8bb511</t>
  </si>
  <si>
    <t>{"in":175,"DATE":"....","IMEI":"...","NAME":"....","TIME":"","PRICE":"....","STATUS":"..","PAID DATE":"","RECORD_ID":"7b586b8f14e549f29b42abccbfac0857","Amount paid":"","DESCRIPTION":"...","PHONE NUMBER":"","DEAL LOCATION":"","INTERNAL NOTE":"","EXPENSE AMOUNT":"","CALCULATED PROFIT":"","EXPENSE DESCRIPTION":"","IMEI FOR SWAPPED DEAL":""}</t>
  </si>
  <si>
    <t>f36e3d736e1436bb8ee4e56329437c2b1efe1644c58bb4ac741d3853bee875a7</t>
  </si>
  <si>
    <t>{"in":176,"DATE":"....","IMEI":"...","NAME":"....","TIME":"","PRICE":"....","STATUS":"..","PAID DATE":"","RECORD_ID":"39392cd47e6b487780d4e673b2a3d679","Amount paid":"","DESCRIPTION":"...","PHONE NUMBER":"","DEAL LOCATION":"","INTERNAL NOTE":"","EXPENSE AMOUNT":"","CALCULATED PROFIT":"","EXPENSE DESCRIPTION":"","IMEI FOR SWAPPED DEAL":""}</t>
  </si>
  <si>
    <t>25676b323e4b7be6b3d8d922afa101495c85b33a10e67ee2a7f1b5796b4dbd09</t>
  </si>
  <si>
    <t>{"in":177,"DATE":"....","IMEI":"...","NAME":"....","TIME":"","PRICE":"....","STATUS":"..","PAID DATE":"","RECORD_ID":"08b7185bba024011bc524240857b982f","Amount paid":"","DESCRIPTION":"...","PHONE NUMBER":"","DEAL LOCATION":"","INTERNAL NOTE":"","EXPENSE AMOUNT":"","CALCULATED PROFIT":"","EXPENSE DESCRIPTION":"","IMEI FOR SWAPPED DEAL":""}</t>
  </si>
  <si>
    <t>36d7abfc4a338133b6523a2f42c39107fa99dbfff88c34505d1007fd2446ce72</t>
  </si>
  <si>
    <t>{"in":178,"DATE":"....","IMEI":"...","NAME":"....","TIME":"","PRICE":"....","STATUS":"..","PAID DATE":"","RECORD_ID":"36691988f6fa4fefb1a615d580e13cfe","Amount paid":"","DESCRIPTION":"...","PHONE NUMBER":"","DEAL LOCATION":"","INTERNAL NOTE":"","EXPENSE AMOUNT":"","CALCULATED PROFIT":"","EXPENSE DESCRIPTION":"","IMEI FOR SWAPPED DEAL":""}</t>
  </si>
  <si>
    <t>ad369699f3be5975ffd87e46786a4a2a7327ea42e091a0b38b92b0233fac4a86</t>
  </si>
  <si>
    <t>2026-03-02T00:00:00+01:00</t>
  </si>
  <si>
    <t>{"in":179,"DATE":"3/2/2026","IMEI":"K4VQT576LH","NAME":"ARMY MIGHTY","TIME":"","PRICE":"\u20a6540,000.00","STATUS":"PAID","PAID DATE":"","RECORD_ID":"af66603dfe2f492d9fcfaa115e38ab94","Amount paid":"","DESCRIPTION":"SILVER WIFI ONLY IPAD 11TH GEN 128GB ","PHONE NUMBER":"","DEAL LOCATION":"","INTERNAL NOTE":"","EXPENSE AMOUNT":"","CALCULATED PROFIT":"","EXPENSE DESCRIPTION":"","IMEI FOR SWAPPED DEAL":""}</t>
  </si>
  <si>
    <t>07b5120f2428b7716b4615ae85ab5d734293dea3e7270e99f8f70431c00652e1</t>
  </si>
  <si>
    <t>{"in":180,"DATE":"3/2/2026","IMEI":"","NAME":"ARMY MIGHTY","TIME":"","PRICE":"\u20a61,340,000.00","STATUS":"PAID","PAID DATE":"","RECORD_ID":"44760954d7514697b3a50a6f23aa081a","Amount paid":"","DESCRIPTION":"NEW. IPHONE 17 PRO MAX LOCKED SILVER ","PHONE NUMBER":"","DEAL LOCATION":"","INTERNAL NOTE":"","EXPENSE AMOUNT":"","CALCULATED PROFIT":"","EXPENSE DESCRIPTION":"","IMEI FOR SWAPPED DEAL":""}</t>
  </si>
  <si>
    <t>26961c6ee7ccac44ee9e2634154151617ea4fb4824c6936ed7ffb27f4ee64373</t>
  </si>
  <si>
    <t>{"in":181,"DATE":"3/2/2026","IMEI":"","NAME":"HOLLAH GADGET","TIME":"","PRICE":"\u20a62,500.00","STATUS":"PAID","PAID DATE":"","RECORD_ID":"93d664a09be444f186cef0c219d22d7c","Amount paid":"","DESCRIPTION":"BLACK IPHONE XR IOS UPDATE","PHONE NUMBER":7041440724,"DEAL LOCATION":"","INTERNAL NOTE":"","EXPENSE AMOUNT":"","CALCULATED PROFIT":"","EXPENSE DESCRIPTION":"","IMEI FOR SWAPPED DEAL":""}</t>
  </si>
  <si>
    <t>a3c21fd54a64b3137edfaace1984a1bf63bc0334305993ee64f92346c7e71864</t>
  </si>
  <si>
    <t>{"in":"","DATE":"3/2/2026","IMEI":356295374969208,"NAME":"ARMY MIGHTY","TIME":"","PRICE":"\u20a6310,000.00","STATUS":"RETURNED","PAID DATE":"","RECORD_ID":"a20bedd3625042beae3263a14c07166c","Amount paid":"","DESCRIPTION":"IPHONE 14 PLUS. MIDNIGHT. 81%","PHONE NUMBER":"","DEAL LOCATION":"","INTERNAL NOTE":"","EXPENSE AMOUNT":"","CALCULATED PROFIT":"","EXPENSE DESCRIPTION":"","IMEI FOR SWAPPED DEAL":""}</t>
  </si>
  <si>
    <t>34802b21a48ba89f8ffb89ebfb19ca7f20ec8724f6fe07c3475ed3a602b640c5</t>
  </si>
  <si>
    <t>{"in":"","DATE":"3/2/2026","IMEI":359702372508430,"NAME":"WIZZY","TIME":"","PRICE":"\u20a6680,000.00","STATUS":"RETURNED","PAID DATE":"","RECORD_ID":"b4836b72488b45a1a1e9455d13a77f26","Amount paid":"","DESCRIPTION":"BLACK 14 PRO MAX 1TB","PHONE NUMBER":2348108686713,"DEAL LOCATION":"","INTERNAL NOTE":"","EXPENSE AMOUNT":"","CALCULATED PROFIT":"","EXPENSE DESCRIPTION":"","IMEI FOR SWAPPED DEAL":""}</t>
  </si>
  <si>
    <t>0be6eb73f44771b0232742e148e29dd7305c2b6c285737c88b29391d051ea18c</t>
  </si>
  <si>
    <t>{"in":"","DATE":"3/2/2026","IMEI":"","NAME":"CUSTOMER","TIME":"","PRICE":"\u20a62,500.00","STATUS":"PAID","PAID DATE":"","RECORD_ID":"6fd0b3786ff040348d7794748351b9a9","Amount paid":"","DESCRIPTION":" GRAPHITE IPHONE 14 PRO UPDATE","PHONE NUMBER":2341234567890,"DEAL LOCATION":"","INTERNAL NOTE":"","EXPENSE AMOUNT":"","CALCULATED PROFIT":"","EXPENSE DESCRIPTION":"","IMEI FOR SWAPPED DEAL":""}</t>
  </si>
  <si>
    <t>50949fcae0e33692997d6df2402f5790dac7b720e0097e7ccbe3734d0fa91b25</t>
  </si>
  <si>
    <t>{"in":"","DATE":"3/2/2026","IMEI":"","NAME":"MZEE","TIME":"","PRICE":"\u20a62,500.00","STATUS":"PAID","PAID DATE":"","RECORD_ID":"6c772f6eb8d04ec0ab7ad2ef19446a10","Amount paid":"","DESCRIPTION":"STARLIGHT IPHONE 13 IOS UPDATE","PHONE NUMBER":2349038935833,"DEAL LOCATION":"","INTERNAL NOTE":"","EXPENSE AMOUNT":"","CALCULATED PROFIT":"","EXPENSE DESCRIPTION":"","IMEI FOR SWAPPED DEAL":""}</t>
  </si>
  <si>
    <t>a7e8eba23d4490c50cf43bc8046b84239c692b8260dbb1eca8d48032ee8e6c15</t>
  </si>
  <si>
    <t>{"in":"","DATE":"3/2/2026","IMEI":"","NAME":"CSGV GADGET","TIME":"","PRICE":"\u20a62,500.00","STATUS":"PAID","PAID DATE":"","RECORD_ID":"d0a81db3ccff4490bfb9b7d602194a3c","Amount paid":"","DESCRIPTION":"IPHONE 16 IOS UPDATE","PHONE NUMBER":"","DEAL LOCATION":"","INTERNAL NOTE":"","EXPENSE AMOUNT":"","CALCULATED PROFIT":"","EXPENSE DESCRIPTION":"","IMEI FOR SWAPPED DEAL":""}</t>
  </si>
  <si>
    <t>deb0fb40efb5695208d60986a8f7082f8ff5434ba66e5174889da03a570a0848</t>
  </si>
  <si>
    <t>{"in":"","DATE":"...","IMEI":"....","NAME":"....","TIME":"","PRICE":"...","STATUS":"..","PAID DATE":"","RECORD_ID":"7f750bd13f6e4a7fb99b31ff5d20de39","Amount paid":"","DESCRIPTION":"...","PHONE NUMBER":"","DEAL LOCATION":"","INTERNAL NOTE":"","EXPENSE AMOUNT":"","CALCULATED PROFIT":"","EXPENSE DESCRIPTION":"","IMEI FOR SWAPPED DEAL":""}</t>
  </si>
  <si>
    <t>f40f14cd81444ce5ef51f9a0814446afc531a40b8ecef1ef513acbeaffa938a1</t>
  </si>
  <si>
    <t>{"in":"","DATE":"...","IMEI":"....","NAME":"....","TIME":"","PRICE":"....","STATUS":"..","PAID DATE":"","RECORD_ID":"abe49c34edf9418aa6ff27b00b9d2883","Amount paid":"","DESCRIPTION":"....","PHONE NUMBER":"","DEAL LOCATION":"","INTERNAL NOTE":"","EXPENSE AMOUNT":"","CALCULATED PROFIT":"","EXPENSE DESCRIPTION":"","IMEI FOR SWAPPED DEAL":""}</t>
  </si>
  <si>
    <t>295691d6c5f7ec591c3b2791911b22e0d8ae9879f5bddc9a37c593f057cd4b13</t>
  </si>
  <si>
    <t>{"in":"","DATE":"3/3/2026","IMEI":"","NAME":"BARRY","TIME":"","PRICE":"\u20a62,500.00","STATUS":"UNPAID","PAID DATE":"","RECORD_ID":"f410923e886e48eda8481b4597e1986b","Amount paid":"","DESCRIPTION":"IPHONE 17 AIR IOS UPDATE","PHONE NUMBER":2347031524935,"DEAL LOCATION":"","INTERNAL NOTE":"","EXPENSE AMOUNT":"","CALCULATED PROFIT":"","EXPENSE DESCRIPTION":"","IMEI FOR SWAPPED DEAL":""}</t>
  </si>
  <si>
    <t>ee68f06e3bddf40df53f9acc68408105bd9fd64ae1d44387b6f79190be6fc4b4</t>
  </si>
  <si>
    <t>2026-03-03T00:00:00+01:00</t>
  </si>
  <si>
    <t>{"in":"","DATE":"3/3/2026","IMEI":"","NAME":"TONYTREND","TIME":"","PRICE":"\u20a62,500.00","STATUS":"PAID","PAID DATE":"","RECORD_ID":"b35539e3deb249a98fee41468473d72c","Amount paid":"","DESCRIPTION":"DEEP PURPLE IPHONE 14 PRO UPDATE","PHONE NUMBER":"","DEAL LOCATION":"","INTERNAL NOTE":"","EXPENSE AMOUNT":"","CALCULATED PROFIT":"","EXPENSE DESCRIPTION":"","IMEI FOR SWAPPED DEAL":""}</t>
  </si>
  <si>
    <t>ca229f9291fd076bb6d25b93be2b933a0a6e66ce932137d8d31fc9a40bd48154</t>
  </si>
  <si>
    <t>{"in":"","DATE":"3/3/2026","IMEI":"","NAME":"PRINZE GADGET","TIME":"","PRICE":"\u20a625,000.00","STATUS":"PAID","PAID DATE":"","RECORD_ID":"98212683134e46daac2a980870fd5649","Amount paid":"","DESCRIPTION":"CHIP UNLOCK FOR IPHONE 13","PHONE NUMBER":"","DEAL LOCATION":"","INTERNAL NOTE":"","EXPENSE AMOUNT":"","CALCULATED PROFIT":"","EXPENSE DESCRIPTION":"","IMEI FOR SWAPPED DEAL":""}</t>
  </si>
  <si>
    <t>34ff60fa86e3b00893f7f5671cb33c5325f0dd3a8c34f1f22324140105b3728a</t>
  </si>
  <si>
    <t>{"in":"","DATE":"3/3/2026","IMEI":"","NAME":"ZEE TECH","TIME":"","PRICE":"\u20a65,000.00","STATUS":"PAID","PAID DATE":"","RECORD_ID":"42d9a2fa64cb4fb8b22d6d860af2689d","Amount paid":"\u20a65,000.00","DESCRIPTION":"IPHONE 11 SDP FLASH","PHONE NUMBER":2349033724061,"DEAL LOCATION":"","INTERNAL NOTE":"","EXPENSE AMOUNT":"","CALCULATED PROFIT":"","EXPENSE DESCRIPTION":"","IMEI FOR SWAPPED DEAL":""}</t>
  </si>
  <si>
    <t>45b33ac30e96f12c5d629666907e8ac985c150dbf04c6f51f6b032553a8472a2</t>
  </si>
  <si>
    <t>{"in":"","DATE":"3/3/2026","IMEI":"","NAME":"CUSTOMER","TIME":"","PRICE":"\u20a62,500.00","STATUS":"PAID","PAID DATE":"","RECORD_ID":"d4665f0cc0c04ba59c52c6fdde67b0df","Amount paid":"","DESCRIPTION":"WHITE IPHONE 11 UPDATE","PHONE NUMBER":2341234567890,"DEAL LOCATION":"","INTERNAL NOTE":"","EXPENSE AMOUNT":"","CALCULATED PROFIT":"","EXPENSE DESCRIPTION":"","IMEI FOR SWAPPED DEAL":""}</t>
  </si>
  <si>
    <t>8b4e83e0f86e80d3b9642b27ddbc7ad7a4f72b0384ceb5a6e2b1e2fc8ec1250c</t>
  </si>
  <si>
    <t>{"in":"","DATE":"3/3/2026","IMEI":"","NAME":"TEE BEST GADGET","TIME":"","PRICE":"\u20a62,500.00","STATUS":"PAID","PAID DATE":"","RECORD_ID":"23d4a6984e9647a0bc9528e74cb94dba","Amount paid":"\u20a62,500.00","DESCRIPTION":"PURPLE 12 IOS UPDATE","PHONE NUMBER":2348037624066,"DEAL LOCATION":"","INTERNAL NOTE":"","EXPENSE AMOUNT":"","CALCULATED PROFIT":"","EXPENSE DESCRIPTION":"","IMEI FOR SWAPPED DEAL":""}</t>
  </si>
  <si>
    <t>236ff1017539e6b680d165eed83c797ef12aa7d4c3a8086b0a2b1fc3b8877bc1</t>
  </si>
  <si>
    <t>{"in":"","DATE":"3/3/2026","IMEI":"","NAME":"DENIS4WARD","TIME":"","PRICE":"\u20a622,000.00","STATUS":"PAID","PAID DATE":"","RECORD_ID":"97d0776d04704839b2b6b00e3ead938c","Amount paid":"","DESCRIPTION":"GAS AND CONTROLLER","PHONE NUMBER":2348038551439,"DEAL LOCATION":"","INTERNAL NOTE":"","EXPENSE AMOUNT":"","CALCULATED PROFIT":"","EXPENSE DESCRIPTION":"","IMEI FOR SWAPPED DEAL":""}</t>
  </si>
  <si>
    <t>496b61dadb4407e1eaf8559d5627dc3aa9de199e14fa194c0baf3566f6180325</t>
  </si>
  <si>
    <t>{"in":"","DATE":"3/3/2026","IMEI":"","NAME":"MZEE","TIME":"","PRICE":"\u20a65,000.00","STATUS":"PAID","PAID DATE":"","RECORD_ID":"fc8b0201bb784cb585e916eb0d09d5a3","Amount paid":"","DESCRIPTION":"NIGERIA APPLE ID","PHONE NUMBER":2349038935833,"DEAL LOCATION":"","INTERNAL NOTE":"","EXPENSE AMOUNT":"","CALCULATED PROFIT":"","EXPENSE DESCRIPTION":"","IMEI FOR SWAPPED DEAL":""}</t>
  </si>
  <si>
    <t>58a268b5de98b529c00cb22a940db038be02d4292a5ace690a528b35a02f0b70</t>
  </si>
  <si>
    <t>{"in":"","DATE":"3/3/2026","IMEI":"","NAME":"CUSTOMER","TIME":"","PRICE":"\u20a62,500.00","STATUS":"PAID","PAID DATE":"","RECORD_ID":"3516d5f2a1ac41af8f1a69ed081db0ff","Amount paid":"","DESCRIPTION":"IPHONE 13 UPDATE","PHONE NUMBER":2341234567890,"DEAL LOCATION":"","INTERNAL NOTE":"","EXPENSE AMOUNT":"","CALCULATED PROFIT":"","EXPENSE DESCRIPTION":"","IMEI FOR SWAPPED DEAL":""}</t>
  </si>
  <si>
    <t>a7cbe45f6677ee45fc4f881f92ee0830f7fa889946fc97a9944267253c078d76</t>
  </si>
  <si>
    <t>{"in":"","DATE":"3/3/2026","IMEI":"","NAME":"DAH UNIQUE","TIME":"","PRICE":"\u20a65,000.00","STATUS":"PAID","PAID DATE":"","RECORD_ID":"9f457150d459401aab97f66d65c027e6","Amount paid":"","DESCRIPTION":"SAMSUNG A71 FLASHING ","PHONE NUMBER":2349070536253,"DEAL LOCATION":"","INTERNAL NOTE":"","EXPENSE AMOUNT":"","CALCULATED PROFIT":"","EXPENSE DESCRIPTION":"","IMEI FOR SWAPPED DEAL":""}</t>
  </si>
  <si>
    <t>478c341efb26fa5243e60d0644d8df92b0deea9ee23a319759cfe86f32d413d4</t>
  </si>
  <si>
    <t>{"in":"","DATE":"3/3/2026","IMEI":"","NAME":"GNF","TIME":"","PRICE":"\u20a62,500.00","STATUS":"paid","PAID DATE":"","RECORD_ID":"fd7fda7ada594e93a71baa9029f3c6f0","Amount paid":"\u20a62,500.00","DESCRIPTION":"IPHONE 13 BATTERY FIX","PHONE NUMBER":2348160373526,"DEAL LOCATION":"","INTERNAL NOTE":"","EXPENSE AMOUNT":"","CALCULATED PROFIT":"","EXPENSE DESCRIPTION":"","IMEI FOR SWAPPED DEAL":""}</t>
  </si>
  <si>
    <t>f16a3ba71628edb37658fd3673605556ecfe9d0f380394d9db25f7fe20024303</t>
  </si>
  <si>
    <t>{"in":"","DATE":"3/3/2026","IMEI":"","NAME":"ARMY MIGHTY","TIME":"","PRICE":"\u20a6150,000.00","STATUS":"PAID","PAID DATE":"","RECORD_ID":"96fd49474a704a3cbd7cdaab64ea9c32","Amount paid":"","DESCRIPTION":"IPHONE XS MAX 64GB IBM","PHONE NUMBER":"","DEAL LOCATION":"","INTERNAL NOTE":"","EXPENSE AMOUNT":"","CALCULATED PROFIT":"","EXPENSE DESCRIPTION":"","IMEI FOR SWAPPED DEAL":""}</t>
  </si>
  <si>
    <t>e929f3401176fb4e3667a8f5060043af4e5ede1b2e0d848e01c6bc8f7fb67a99</t>
  </si>
  <si>
    <t>{"in":"","DATE":"3/3/2026","IMEI":"A1456306091","NAME":"DENIS4WARD","TIME":"","PRICE":"\u20a6225,000.00","STATUS":"PAID","PAID DATE":"","RECORD_ID":"bebfb43ada024bc5af30510c27e7bffd","Amount paid":"","DESCRIPTION":"PS4 SLIM AND ONE GAMEPAD","PHONE NUMBER":2348038551439,"DEAL LOCATION":"","INTERNAL NOTE":"","EXPENSE AMOUNT":"","CALCULATED PROFIT":"","EXPENSE DESCRIPTION":"","IMEI FOR SWAPPED DEAL":""}</t>
  </si>
  <si>
    <t>9376748638e4030e34829fb6f712f74635dfbc14dc0e634eef693f70b274e656</t>
  </si>
  <si>
    <t>{"in":"","DATE":"3/3/2026","IMEI":"","NAME":"DON","TIME":"","PRICE":"\u20a62,500.00","STATUS":"PAID","PAID DATE":"","RECORD_ID":"20af5e29d26b46198dff402e89aaed69","Amount paid":"","DESCRIPTION":"DEEP PURPLE IPHONE 14 PRO MAX FIX","PHONE NUMBER":2348137676322,"DEAL LOCATION":"","INTERNAL NOTE":"","EXPENSE AMOUNT":"","CALCULATED PROFIT":"","EXPENSE DESCRIPTION":"","IMEI FOR SWAPPED DEAL":""}</t>
  </si>
  <si>
    <t>a55a8493b3f2cafe6a645ffa573593cb813f0b9ec85ddfc59b522afe3b4bb357</t>
  </si>
  <si>
    <t>{"in":"","DATE":"3/3/2026","IMEI":"","NAME":"WIZZY","TIME":"","PRICE":"\u20a62,500.00","STATUS":"PAID","PAID DATE":"","RECORD_ID":"4f7bc14449494e09b64fff7ffd08003b","Amount paid":"\u20a62,500.00","DESCRIPTION":"GRAPHITE 12 PRO MAX IOS UPDATE","PHONE NUMBER":2348108686713,"DEAL LOCATION":"","INTERNAL NOTE":"","EXPENSE AMOUNT":"","CALCULATED PROFIT":"","EXPENSE DESCRIPTION":"","IMEI FOR SWAPPED DEAL":""}</t>
  </si>
  <si>
    <t>bca00b8f724e0d5e65f94eced34aec4b9566138ccb310635eb48e589780ad225</t>
  </si>
  <si>
    <t>{"in":"","DATE":"..","IMEI":"..","NAME":"....","TIME":"","PRICE":"..","STATUS":".","PAID DATE":"","RECORD_ID":"c9efeb14a2c44addb6e95e80d84416ca","Amount paid":"","DESCRIPTION":"..","PHONE NUMBER":"","DEAL LOCATION":"","INTERNAL NOTE":"","EXPENSE AMOUNT":"","CALCULATED PROFIT":"","EXPENSE DESCRIPTION":"","IMEI FOR SWAPPED DEAL":""}</t>
  </si>
  <si>
    <t>b2b8680afbe6d03641798edf6e992a64e2916467c29ff89e95fcd9a701d6247d</t>
  </si>
  <si>
    <t>{"in":"","DATE":"..","IMEI":"..","NAME":"....","TIME":"","PRICE":"..","STATUS":".","PAID DATE":"","RECORD_ID":"d013c280e73f404bbd27f2efc691f44f","Amount paid":"","DESCRIPTION":"..","PHONE NUMBER":"","DEAL LOCATION":"","INTERNAL NOTE":"","EXPENSE AMOUNT":"","CALCULATED PROFIT":"","EXPENSE DESCRIPTION":"","IMEI FOR SWAPPED DEAL":""}</t>
  </si>
  <si>
    <t>4f43a6ab66695c3a2bff971ce294d06515f8a46b6a16f29507e8b8d1b1b0b789</t>
  </si>
  <si>
    <t>{"in":"","DATE":"..","IMEI":"..","NAME":"....","TIME":"","PRICE":"..","STATUS":".","PAID DATE":"","RECORD_ID":"b0d7dada1c8d4bd3a3ca1756609374ab","Amount paid":"","DESCRIPTION":"..","PHONE NUMBER":"","DEAL LOCATION":"","INTERNAL NOTE":"","EXPENSE AMOUNT":"","CALCULATED PROFIT":"","EXPENSE DESCRIPTION":"","IMEI FOR SWAPPED DEAL":""}</t>
  </si>
  <si>
    <t>02b2f836936b49e9ae7c4bb7be80d16a544d9b9edfa33cd29b35747ae87abaa0</t>
  </si>
  <si>
    <t>2026-03-04T00:00:00+01:00</t>
  </si>
  <si>
    <t>{"in":"","DATE":"3/4/2026","IMEI":"","NAME":"MZEE","TIME":"","PRICE":"\u20a62,500.00","STATUS":"PAID","PAID DATE":"","RECORD_ID":"469c6b0577ca4b289369c2f3b4085dbc","Amount paid":"","DESCRIPTION":"ALPINE GREEN IPHONE 13 IOS IPDATE","PHONE NUMBER":2349038935833,"DEAL LOCATION":"","INTERNAL NOTE":"","EXPENSE AMOUNT":"","CALCULATED PROFIT":"","EXPENSE DESCRIPTION":"","IMEI FOR SWAPPED DEAL":""}</t>
  </si>
  <si>
    <t>1777ae591dbeca3f3f8a09ea8559543596b196149f0555e31191274a66adbc74</t>
  </si>
  <si>
    <t>{"in":"","DATE":"3/4/2026","IMEI":"","NAME":"VERTEX","TIME":"","PRICE":"\u20a61,750,000.00","STATUS":"RETURNED","PAID DATE":"","RECORD_ID":"0aa9194ffffb4608bdb0885b36d0cc2f","Amount paid":"","DESCRIPTION":"SAMSUNG GALAXY FOLD 7 512GB. PHYSICAL AND ESIM","PHONE NUMBER":2348103663581,"DEAL LOCATION":"","INTERNAL NOTE":"","EXPENSE AMOUNT":"","CALCULATED PROFIT":"","EXPENSE DESCRIPTION":"","IMEI FOR SWAPPED DEAL":""}</t>
  </si>
  <si>
    <t>16237b8918db834c97161c351897bd742ba297d6f1abd0ce6d0a50e000c61b58</t>
  </si>
  <si>
    <t>{"in":"","DATE":"3/4/2026","IMEI":"","NAME":"DAMBOX","TIME":"","PRICE":"\u20a62,500.00","STATUS":"PAID","PAID DATE":"","RECORD_ID":"625cd1dc50a8483f8303928ad3f3537d","Amount paid":"\u20a62,500.00","DESCRIPTION":"BLACK IPHONE 15 PRO MAX IOS UPDATE","PHONE NUMBER":9040943517,"DEAL LOCATION":"","INTERNAL NOTE":"","EXPENSE AMOUNT":"","CALCULATED PROFIT":"","EXPENSE DESCRIPTION":"","IMEI FOR SWAPPED DEAL":""}</t>
  </si>
  <si>
    <t>d27656de75eabf7cbdfdb18b3e037493630af2ced52f9cf493c12dc66780d9de</t>
  </si>
  <si>
    <t>{"in":"","DATE":"3/4/2026","IMEI":"","NAME":"DON","TIME":"","PRICE":"\u20a62,500.00","STATUS":"PAID","PAID DATE":"","RECORD_ID":"279a3dd4fdf243b4b24d7adbccfbe38f","Amount paid":"","DESCRIPTION":"IPHONE 15 PRO IOS UPDATE. BLUE TITANIUM","PHONE NUMBER":2348137676322,"DEAL LOCATION":"","INTERNAL NOTE":"","EXPENSE AMOUNT":"","CALCULATED PROFIT":"","EXPENSE DESCRIPTION":"","IMEI FOR SWAPPED DEAL":""}</t>
  </si>
  <si>
    <t>da869950348ddf9f598e362e7b2cd2dfd3ba9bebdbdc83d9a8ae1860b2666487</t>
  </si>
  <si>
    <t>{"in":"","DATE":"3/4/2026","IMEI":"","NAME":"OZ GADGET","TIME":"","PRICE":"\u20a62,500.00","STATUS":"PAID","PAID DATE":"","RECORD_ID":"17246c7b944948109cfe54c5920da07e","Amount paid":"","DESCRIPTION":"IPHONE 17 AIR IOS UPDATE. SKY BLUE","PHONE NUMBER":2348106293924,"DEAL LOCATION":"","INTERNAL NOTE":"","EXPENSE AMOUNT":"","CALCULATED PROFIT":"","EXPENSE DESCRIPTION":"","IMEI FOR SWAPPED DEAL":""}</t>
  </si>
  <si>
    <t>f034236de35fe0df97594a748671140a8021d72a87117366f8ed37669ff95c31</t>
  </si>
  <si>
    <t>{"in":"","DATE":"3/4/2026","IMEI":"","NAME":"OZ GADGET","TIME":"","PRICE":"\u20a62,500.00","STATUS":"PAID","PAID DATE":"","RECORD_ID":"34f64e77250a4a5fbe139fd171899e49","Amount paid":"","DESCRIPTION":"IPHONE 17 AIR IOS UPDATE. SKY BLUE","PHONE NUMBER":2348106293924,"DEAL LOCATION":"","INTERNAL NOTE":"","EXPENSE AMOUNT":"","CALCULATED PROFIT":"","EXPENSE DESCRIPTION":"","IMEI FOR SWAPPED DEAL":""}</t>
  </si>
  <si>
    <t>94f1b0ad94e1470c6cb0877e56f8f064d67b65d5377aca09eaaa28587fdefd50</t>
  </si>
  <si>
    <t>{"in":"","DATE":"3/4/2026","IMEI":"","NAME":"CUSTOMER","TIME":"","PRICE":"\u20a610,000.00","STATUS":"PAID","PAID DATE":"","RECORD_ID":"0a5738c3ebed4fb98c6d723053975723","Amount paid":"","DESCRIPTION":"2 LOCATION ","PHONE NUMBER":2341234567890,"DEAL LOCATION":"","INTERNAL NOTE":"","EXPENSE AMOUNT":"","CALCULATED PROFIT":"","EXPENSE DESCRIPTION":"","IMEI FOR SWAPPED DEAL":""}</t>
  </si>
  <si>
    <t>09baa52b2f7283a3a4e6cc600b7dc6b776eabe67370e62cb7deb0c210299bd2a</t>
  </si>
  <si>
    <t>{"in":"","DATE":"3/4/2026","IMEI":"","NAME":"OLABTC","TIME":"","PRICE":"\u20a65,000.00","STATUS":"UNPAID","PAID DATE":"","RECORD_ID":"4abfba0414ae402d99e0fd768573011c","Amount paid":"","DESCRIPTION":"CHIP CONFIGURATION","PHONE NUMBER":2347061613141,"DEAL LOCATION":"","INTERNAL NOTE":"","EXPENSE AMOUNT":"","CALCULATED PROFIT":"","EXPENSE DESCRIPTION":"","IMEI FOR SWAPPED DEAL":""}</t>
  </si>
  <si>
    <t>22d1e5353aff0a6ee5f496a0af5faffc6ec34682ac449b3175e7a1d3798d17cd</t>
  </si>
  <si>
    <t>{"in":"","DATE":"3/4/2026","IMEI":2347067852062,"NAME":"ADEX GADGET","TIME":"","PRICE":"\u20a6790,000.00","STATUS":"PAID","PAID DATE":"","RECORD_ID":"24150c8ecff14b6d964bee5782298534","Amount paid":"","DESCRIPTION":"IPHONE 15 PRO P + E. BLUE TITANIUM 87%","PHONE NUMBER":"","DEAL LOCATION":"","INTERNAL NOTE":"","EXPENSE AMOUNT":"","CALCULATED PROFIT":"","EXPENSE DESCRIPTION":"","IMEI FOR SWAPPED DEAL":""}</t>
  </si>
  <si>
    <t>be2085616d0ffbcf86f206d2b829ec8ee16e44c9d3240bf16ffd2356cdfa657d</t>
  </si>
  <si>
    <t>{"in":"","DATE":"3/4/2026","IMEI":"","NAME":"ZADDY ROLLAND","TIME":"","PRICE":"\u20a63,000.00","STATUS":"PAID","PAID DATE":"","RECORD_ID":"3e3c9eec71864dee8421c43a09625319","Amount paid":"","DESCRIPTION":"IPHONE 15 PRO IOS UPDATE. BLUE TITANIUM","PHONE NUMBER":2348050554029,"DEAL LOCATION":"","INTERNAL NOTE":"","EXPENSE AMOUNT":"","CALCULATED PROFIT":"","EXPENSE DESCRIPTION":"","IMEI FOR SWAPPED DEAL":""}</t>
  </si>
  <si>
    <t>756ed92efe04df3bf2749504cba2800b5ebe00ff3ceb87b666662477255a2ccc</t>
  </si>
  <si>
    <t>{"in":"","DATE":"3/4/2026","IMEI":"","NAME":"JACKSON","TIME":"","PRICE":"\u20a6120,000.00","STATUS":"PAID","PAID DATE":"","RECORD_ID":"7bc774c7ba1b4446bb61e036834c0144","Amount paid":"","DESCRIPTION":"IPHONE 12 PRO MAX SCREEN FIX","PHONE NUMBER":"","DEAL LOCATION":"","INTERNAL NOTE":"","EXPENSE AMOUNT":"","CALCULATED PROFIT":"","EXPENSE DESCRIPTION":"","IMEI FOR SWAPPED DEAL":""}</t>
  </si>
  <si>
    <t>98896edc77bf442d35f87f22db508b071729a51f191809af709602f863cf2628</t>
  </si>
  <si>
    <t>{"in":"","DATE":"..","IMEI":"..","NAME":"...","TIME":"","PRICE":"..","STATUS":"..","PAID DATE":"","RECORD_ID":"bcd30adae4f546e39b67227bb822825b","Amount paid":"","DESCRIPTION":"..","PHONE NUMBER":"","DEAL LOCATION":"","INTERNAL NOTE":"","EXPENSE AMOUNT":"","CALCULATED PROFIT":"","EXPENSE DESCRIPTION":"","IMEI FOR SWAPPED DEAL":""}</t>
  </si>
  <si>
    <t>40a8203596b4e0c47b5e12ad9c47d7f0452eb038c3d8bb44d80562f9038dd811</t>
  </si>
  <si>
    <t>{"in":"","DATE":"..","IMEI":"..","NAME":"..","TIME":"","PRICE":"...","STATUS":"..","PAID DATE":"","RECORD_ID":"012a259f57a444568e78ffc45fe5d39f","Amount paid":"","DESCRIPTION":"..","PHONE NUMBER":"","DEAL LOCATION":"","INTERNAL NOTE":"","EXPENSE AMOUNT":"","CALCULATED PROFIT":"","EXPENSE DESCRIPTION":"","IMEI FOR SWAPPED DEAL":""}</t>
  </si>
  <si>
    <t>b1589c0e63a591b013e4a49de2e2348b0dc724a1568227df991ba1c538081091</t>
  </si>
  <si>
    <t>{"in":"","DATE":"..","IMEI":"..","NAME":"..","TIME":"","PRICE":"..","STATUS":"..","PAID DATE":"","RECORD_ID":"820c413e3b974ae7a566e4114daf233e","Amount paid":"","DESCRIPTION":"..","PHONE NUMBER":"","DEAL LOCATION":"","INTERNAL NOTE":"","EXPENSE AMOUNT":"","CALCULATED PROFIT":"","EXPENSE DESCRIPTION":"","IMEI FOR SWAPPED DEAL":""}</t>
  </si>
  <si>
    <t>ed7848cfc92f7dec2e01f9520540ee8520234ae36213bad87e0469a50b2160ff</t>
  </si>
  <si>
    <t>2026-03-05T00:00:00+01:00</t>
  </si>
  <si>
    <t>{"in":"","DATE":"3/5/2026","IMEI":"","NAME":"DAMBOX","TIME":"","PRICE":"\u20a6280,000.00","STATUS":"PAID","PAID DATE":"","RECORD_ID":"a1020ef844fe4fb88d17e3a9cb9693d2","Amount paid":"","DESCRIPTION":"2 X IPHONE 17 PRO MAX UNLOCKING","PHONE NUMBER":9040943517,"DEAL LOCATION":"","INTERNAL NOTE":"","EXPENSE AMOUNT":"","CALCULATED PROFIT":"","EXPENSE DESCRIPTION":"","IMEI FOR SWAPPED DEAL":""}</t>
  </si>
  <si>
    <t>9c17c79d0f49c08dfc94d9a9825af200fe84b4149e7aedee1aacf0e0d17b8e4a</t>
  </si>
  <si>
    <t>{"in":"","DATE":"3/5/2026","IMEI":"","NAME":"DAH UNIQUE","TIME":"","PRICE":"\u20a625,000.00","STATUS":"PAID","PAID DATE":"","RECORD_ID":"35c91a793dd0444aa9c8c5411990617b","Amount paid":"","DESCRIPTION":"IPHONE 12 PRO MAX CHIP UNLOCK","PHONE NUMBER":2349070536253,"DEAL LOCATION":"","INTERNAL NOTE":"","EXPENSE AMOUNT":"","CALCULATED PROFIT":"","EXPENSE DESCRIPTION":"","IMEI FOR SWAPPED DEAL":""}</t>
  </si>
  <si>
    <t>c8c0b5a2c3709e9a488b8bb7fb40925a2bbf2c28c468b78b019544c6aab64b39</t>
  </si>
  <si>
    <t>{"in":"","DATE":"3/5/2026","IMEI":"","NAME":"KAYWISE","TIME":"","PRICE":"\u20a62,000.00","STATUS":"PAID","PAID DATE":"","RECORD_ID":"f5442ac10218484db55bfe8363ab0e82","Amount paid":"\u20a62,000.00","DESCRIPTION":"17 PRO MAX UPDATE","PHONE NUMBER":2349032614464,"DEAL LOCATION":"","INTERNAL NOTE":"","EXPENSE AMOUNT":"","CALCULATED PROFIT":"","EXPENSE DESCRIPTION":"","IMEI FOR SWAPPED DEAL":""}</t>
  </si>
  <si>
    <t>363d05180c35ef7705378d10d2674c9341b638227aef3f2ee259ec3c3ab2b9c7</t>
  </si>
  <si>
    <t>{"in":"","DATE":"3/5/2026","IMEI":"","NAME":"DAMBOX","TIME":"","PRICE":"\u20a6140,000.00","STATUS":"PAID","PAID DATE":"","RECORD_ID":"09e485ad0e16433cb5436b3c4168d94c","Amount paid":"","DESCRIPTION":"IPHONE 16 PRO TMOBILE UNLOCKING","PHONE NUMBER":9040943517,"DEAL LOCATION":"","INTERNAL NOTE":"","EXPENSE AMOUNT":"","CALCULATED PROFIT":"","EXPENSE DESCRIPTION":"","IMEI FOR SWAPPED DEAL":""}</t>
  </si>
  <si>
    <t>ffcd8e58d28ec5c26039c913ed2075dca9a6435d7e2e1f08fbe6a004e777766f</t>
  </si>
  <si>
    <t>{"in":"","DATE":"3/5/2026","IMEI":"","NAME":"SAD BOI","TIME":"","PRICE":"\u20a61,300,000.00","STATUS":"PAID","PAID DATE":"","RECORD_ID":"b17740a6cef94f71b6126839bf22cd7f","Amount paid":"","DESCRIPTION":"NEW IPHONE AIR SKYBLUE 256GB. ","PHONE NUMBER":"","DEAL LOCATION":"","INTERNAL NOTE":"","EXPENSE AMOUNT":"","CALCULATED PROFIT":"","EXPENSE DESCRIPTION":"","IMEI FOR SWAPPED DEAL":""}</t>
  </si>
  <si>
    <t>2e5a31c4896756117c1d162b0ff10c6a26c3d006ca8c937bc12c85bef6d3afb0</t>
  </si>
  <si>
    <t>{"in":"","DATE":"3/5/2026","IMEI":"","NAME":"STAR BUSSY","TIME":"","PRICE":"\u20a62,500.00","STATUS":"PAID","PAID DATE":"","RECORD_ID":"8beb00ae61954a6fbf7be2a38bb424ba","Amount paid":"","DESCRIPTION":"DEEP PURPLE IPHONE 14 PRO MAX UPDATE","PHONE NUMBER":2348127738411,"DEAL LOCATION":"","INTERNAL NOTE":"","EXPENSE AMOUNT":"","CALCULATED PROFIT":"","EXPENSE DESCRIPTION":"","IMEI FOR SWAPPED DEAL":""}</t>
  </si>
  <si>
    <t>b0f4da58cf4aa4e23c97cf2afe82bb314336ccf0dcb8fd503a81186306705cbc</t>
  </si>
  <si>
    <t>{"in":"","DATE":"3/5/2026","IMEI":354136651263562,"NAME":"MD GADGS","TIME":"","PRICE":"\u20a6910,000.00","STATUS":"PAID","PAID DATE":"","RECORD_ID":"b5e4d6c1a7d44e399fdb9de3e52fb86a","Amount paid":"","DESCRIPTION":"WHITE TITANUIM IPHONE 16 PRO 256GB 89%","PHONE NUMBER":2348166860603,"DEAL LOCATION":"","INTERNAL NOTE":"","EXPENSE AMOUNT":"","CALCULATED PROFIT":"","EXPENSE DESCRIPTION":"","IMEI FOR SWAPPED DEAL":""}</t>
  </si>
  <si>
    <t>58f34083b499574e420001e3adc6cdc44c7388465a64aebbd643d2838d931d4c</t>
  </si>
  <si>
    <t>{"in":"","DATE":"3/5/2026","IMEI":"","NAME":"OLUFAD COMMUNICATION","TIME":"","PRICE":"\u20a65,000.00","STATUS":"PAID","PAID DATE":"","RECORD_ID":"8eebfef9364746948f4eca24e5d11f85","Amount paid":"","DESCRIPTION":"NIGERIA AO\\PPLE ID","PHONE NUMBER":"","DEAL LOCATION":"","INTERNAL NOTE":"","EXPENSE AMOUNT":"","CALCULATED PROFIT":"","EXPENSE DESCRIPTION":"","IMEI FOR SWAPPED DEAL":""}</t>
  </si>
  <si>
    <t>e2ae2eda78368e17a8e93b43617aed1ab2ed18e84abddb95dbbba0bf6c787453</t>
  </si>
  <si>
    <t>{"in":"","DATE":"3/5/2026","IMEI":"","NAME":"MOBILE TRENDS","TIME":"","PRICE":"\u20a62,500.00","STATUS":"PAID","PAID DATE":"","RECORD_ID":"512e57071a1e4c8ab4d3bc7640bde559","Amount paid":"\u20a62,500.00","DESCRIPTION":"PINK 16 IOS UPDATE","PHONE NUMBER":2348034378180,"DEAL LOCATION":"","INTERNAL NOTE":"","EXPENSE AMOUNT":"","CALCULATED PROFIT":"","EXPENSE DESCRIPTION":"","IMEI FOR SWAPPED DEAL":""}</t>
  </si>
  <si>
    <t>70b7eb4a91df4eb3302accebea558c8c49ccc28724e8b7932199069670de400c</t>
  </si>
  <si>
    <t>{"in":"","DATE":"3/5/2026","IMEI":"","NAME":"SOBOX","TIME":"","PRICE":"\u20a63,000.00","STATUS":"PAID","PAID DATE":"","RECORD_ID":"df7a102371c54a4e89992c30b88a6bfe","Amount paid":"","DESCRIPTION":"IPHONE 12 PRO MAX IOS UPDATE. GRAPHITE","PHONE NUMBER":"","DEAL LOCATION":"","INTERNAL NOTE":"","EXPENSE AMOUNT":"","CALCULATED PROFIT":"","EXPENSE DESCRIPTION":"","IMEI FOR SWAPPED DEAL":""}</t>
  </si>
  <si>
    <t>b3f52c9924a790de0e4bd74fd89537776efcd17eeb2d56b48b2a5f73cfddc1d1</t>
  </si>
  <si>
    <t>{"in":"","DATE":"3/5/2026","IMEI":"","NAME":"IGEE","TIME":"","PRICE":"\u20a62,500.00","STATUS":"PAID","PAID DATE":"","RECORD_ID":"01bf8993d0ba4eb58f3761be8b32bdfe","Amount paid":"","DESCRIPTION":"GREEN IPHONE 15 FLASH","PHONE NUMBER":2347071736488,"DEAL LOCATION":"","INTERNAL NOTE":"","EXPENSE AMOUNT":"","CALCULATED PROFIT":"","EXPENSE DESCRIPTION":"","IMEI FOR SWAPPED DEAL":""}</t>
  </si>
  <si>
    <t>d3b8af22e6670b99d349ed435fdb7c53a6c9910c002bb4c976cb93c656b5ecce</t>
  </si>
  <si>
    <t>{"in":"","DATE":"3/5/2026","IMEI":"","NAME":"DENIS4WARD","TIME":"","PRICE":"\u20a6162,500.00","STATUS":"PAID","PAID DATE":"","RECORD_ID":"6d50aee21e394e39830e0e6bbc610845","Amount paid":"","DESCRIPTION":"MINT CASH + CHARGES","PHONE NUMBER":2348038551439,"DEAL LOCATION":"","INTERNAL NOTE":"","EXPENSE AMOUNT":"","CALCULATED PROFIT":"","EXPENSE DESCRIPTION":"","IMEI FOR SWAPPED DEAL":""}</t>
  </si>
  <si>
    <t>2fc9337a75c863755a3d585cc8ebca4545bc4d75d4e350cb6d10461ab6ceaa81</t>
  </si>
  <si>
    <t>{"in":"","DATE":"3/5/2026","IMEI":"","NAME":"OWONIKOKO","TIME":"","PRICE":"\u20a64,000.00","STATUS":"PAID","PAID DATE":"","RECORD_ID":"e7379f2109c149ffaa9605363dc760c5","Amount paid":"","DESCRIPTION":"IPHONE 13 PRO LOCATION SPOOF","PHONE NUMBER":"","DEAL LOCATION":"","INTERNAL NOTE":"","EXPENSE AMOUNT":"","CALCULATED PROFIT":"","EXPENSE DESCRIPTION":"","IMEI FOR SWAPPED DEAL":""}</t>
  </si>
  <si>
    <t>9c151babbd89d5950cf73259f02833e897d58d1ce63d381491cc6a9c3c355d3d</t>
  </si>
  <si>
    <t>{"in":"","DATE":"3/5/2026","IMEI":"","NAME":"KAYWISE","TIME":"","PRICE":"\u20a62,000.00","STATUS":"PAID","PAID DATE":"","RECORD_ID":"b356d8a10cf246038e87f0845f126c49","Amount paid":"\u20a62,000.00","DESCRIPTION":"IPHONE 17 AIR ELIGIBILITY CHECK","PHONE NUMBER":2349032614464,"DEAL LOCATION":"","INTERNAL NOTE":"","EXPENSE AMOUNT":"","CALCULATED PROFIT":"","EXPENSE DESCRIPTION":"","IMEI FOR SWAPPED DEAL":""}</t>
  </si>
  <si>
    <t>e0a08b42fdd3d7a33ba13b52d079702a5667f6cd7e251d7758df72cc5001721a</t>
  </si>
  <si>
    <t>{"in":"","DATE":"3/5/2026","IMEI":351055803413102,"NAME":"STARBOX","TIME":"","PRICE":"\u20a6350,000.00","STATUS":"PAID","PAID DATE":"","RECORD_ID":"35bc0db7e37c45cd9f5f569a65c42cc1","Amount paid":"","DESCRIPTION":"IPHONE 13 PINK. 91%. 128GB","PHONE NUMBER":2349063620334,"DEAL LOCATION":"","INTERNAL NOTE":"","EXPENSE AMOUNT":"","CALCULATED PROFIT":"","EXPENSE DESCRIPTION":"","IMEI FOR SWAPPED DEAL":""}</t>
  </si>
  <si>
    <t>81c41dabdc9a930ba36aaefb5c080a075ca9a891e1e6f64ad38ec0ba4bcf2c3c</t>
  </si>
  <si>
    <t>{"in":"","DATE":"..","IMEI":"..","NAME":"...","TIME":"","PRICE":"..","STATUS":"..","PAID DATE":"","RECORD_ID":"6a9dcc813ee44381b4c7cebf86b62c74","Amount paid":"","DESCRIPTION":"..","PHONE NUMBER":"","DEAL LOCATION":"","INTERNAL NOTE":"","EXPENSE AMOUNT":"","CALCULATED PROFIT":"","EXPENSE DESCRIPTION":"","IMEI FOR SWAPPED DEAL":""}</t>
  </si>
  <si>
    <t>64e6bb7f0cdf3c743e419012c7eeaa22c50ecedce350bd511c4ea695f5fb32ef</t>
  </si>
  <si>
    <t>{"in":"","DATE":"..","IMEI":"..","NAME":"..","TIME":"","PRICE":"...","STATUS":"..","PAID DATE":"","RECORD_ID":"55ad104d93b140baa4eba605a6392b36","Amount paid":"","DESCRIPTION":"..","PHONE NUMBER":"","DEAL LOCATION":"","INTERNAL NOTE":"","EXPENSE AMOUNT":"","CALCULATED PROFIT":"","EXPENSE DESCRIPTION":"","IMEI FOR SWAPPED DEAL":""}</t>
  </si>
  <si>
    <t>ec14dc239d728889ffdb8225e8bd711880422dbb06a052c285720d5da741e186</t>
  </si>
  <si>
    <t>{"in":"","DATE":"..","IMEI":"..","NAME":"..","TIME":"","PRICE":"..","STATUS":"..","PAID DATE":"","RECORD_ID":"7ee73298cdc04c4d84fd3edc61b64059","Amount paid":"","DESCRIPTION":"..","PHONE NUMBER":"","DEAL LOCATION":"","INTERNAL NOTE":"","EXPENSE AMOUNT":"","CALCULATED PROFIT":"","EXPENSE DESCRIPTION":"","IMEI FOR SWAPPED DEAL":""}</t>
  </si>
  <si>
    <t>b4e94df489c8d651b660c058f5c995fa028a1fb0eb8b7ad3146075c8534a9b10</t>
  </si>
  <si>
    <t>2026-03-06T00:00:00+01:00</t>
  </si>
  <si>
    <t>{"in":"","DATE":"3/6/2026","IMEI":"","NAME":"DAMZIEKING","TIME":1,"PRICE":"\u20a62,500.00","STATUS":"PAID","PAID DATE":"","RECORD_ID":"f25b48e76d2b46998855b7d1bd26b679","Amount paid":"","DESCRIPTION":"IPHONE 13 IOS UPDATE","PHONE NUMBER":"","DEAL LOCATION":"","INTERNAL NOTE":"","EXPENSE AMOUNT":"","CALCULATED PROFIT":"","EXPENSE DESCRIPTION":"","IMEI FOR SWAPPED DEAL":""}</t>
  </si>
  <si>
    <t>20044fc11a26dcd6ce3bddac98b1314d921ac03af2f2a423ee1085bda694ac84</t>
  </si>
  <si>
    <t>{"in":"","DATE":"3/6/2026","IMEI":359702372508430,"NAME":"SEYIFUNMI","TIME":2,"PRICE":"\u20a6668,000.00","STATUS":"RETURNED","PAID DATE":"","RECORD_ID":"7cb8e22d12f249fdb2c5ea9cf7d6ea00","Amount paid":"","DESCRIPTION":"IPHONE 14 PRO MAX. 1 TERABYTES. 90%. BLACK","PHONE NUMBER":2347065500068,"DEAL LOCATION":"","INTERNAL NOTE":"","EXPENSE AMOUNT":"","CALCULATED PROFIT":"","EXPENSE DESCRIPTION":"","IMEI FOR SWAPPED DEAL":""}</t>
  </si>
  <si>
    <t>f48188786e380de1a9be0f4e2241a1ceaf3fc5edfc593f294fffda16c99feb8a</t>
  </si>
  <si>
    <t>{"in":"","DATE":"3/6/2026","IMEI":"","NAME":"ZEE TECH","TIME":3,"PRICE":"\u20a62,500.00","STATUS":"PAID","PAID DATE":"","RECORD_ID":"8da82739d2fd4c218ded46c8c1f019b3","Amount paid":"\u20a62,500.00","DESCRIPTION":"BLACK IPHONE 16 IOS UPDATE","PHONE NUMBER":2349033724061,"DEAL LOCATION":"","INTERNAL NOTE":"","EXPENSE AMOUNT":"","CALCULATED PROFIT":"","EXPENSE DESCRIPTION":"","IMEI FOR SWAPPED DEAL":""}</t>
  </si>
  <si>
    <t>feca869a982ac90ce73fe5d4db97829847109511b5c393e46284cb96089515e3</t>
  </si>
  <si>
    <t>{"in":"","DATE":"3/6/2026","IMEI":352433809356311,"NAME":"TOM CRUISE","TIME":4,"PRICE":"\u20a6810,000.00","STATUS":"PAID","PAID DATE":"","RECORD_ID":"9a97c67c07d641d494c5c5c6a9fe73f0","Amount paid":"\u20a6510,000.00","DESCRIPTION":"IPHONE 15 PRO P + E. BLACK TITANIUM 90%","PHONE NUMBER":"","DEAL LOCATION":"","INTERNAL NOTE":"","EXPENSE AMOUNT":"","CALCULATED PROFIT":"","EXPENSE DESCRIPTION":"","IMEI FOR SWAPPED DEAL":""}</t>
  </si>
  <si>
    <t>671752ca964c13c3d2c33baf155f598265af3e9d116df6ab1a85c149929a8ca6</t>
  </si>
  <si>
    <t>{"in":"","DATE":"3/6/2026","IMEI":353235102246621,"NAME":"VICTOR FCG","TIME":5,"PRICE":"\u20a6315,000.00","STATUS":"PAID","PAID DATE":"","RECORD_ID":"95982d0307e94d8ab0c76e6db6c50399","Amount paid":"","DESCRIPTION":"IPHONE 11 PRO","PHONE NUMBER":"","DEAL LOCATION":"","INTERNAL NOTE":"","EXPENSE AMOUNT":"","CALCULATED PROFIT":"","EXPENSE DESCRIPTION":"","IMEI FOR SWAPPED DEAL":""}</t>
  </si>
  <si>
    <t>7db3e69ff999b361bf43f64a08b841324291a0399646dcbfaaa1d198e54c20ba</t>
  </si>
  <si>
    <t>{"in":"","DATE":"3/6/2026","IMEI":"","NAME":"CH4","TIME":6,"PRICE":"\u20a62,500.00","STATUS":"PAID","PAID DATE":"","RECORD_ID":"8e1dec5e39d44e82bbafec9ca5337a88","Amount paid":"\u20a62,500.00","DESCRIPTION":"ULTRAMARINE IPHONE 16 IOS UPDATE","PHONE NUMBER":2348131941406,"DEAL LOCATION":"","INTERNAL NOTE":"","EXPENSE AMOUNT":"","CALCULATED PROFIT":"","EXPENSE DESCRIPTION":"","IMEI FOR SWAPPED DEAL":""}</t>
  </si>
  <si>
    <t>e86cf7732cbf6c5cbeae2c5b0be0bcec00a10eaffbaef6011a2bbe91efc559da</t>
  </si>
  <si>
    <t>{"in":"","DATE":"3/6/2026","IMEI":"","NAME":"MELTRONICS","TIME":7,"PRICE":"\u20a62,500.00","STATUS":"PAID","PAID DATE":"","RECORD_ID":"bd0fb8e803bc4c51a8eab484d997e43d","Amount paid":"\u20a62,500.00","DESCRIPTION":"IPHONE 12 PRO MAX IOS UPDATE","PHONE NUMBER":"","DEAL LOCATION":"","INTERNAL NOTE":"","EXPENSE AMOUNT":"","CALCULATED PROFIT":"","EXPENSE DESCRIPTION":"","IMEI FOR SWAPPED DEAL":""}</t>
  </si>
  <si>
    <t>1618f58c8cc72c761cacf3d03c95d7ab3a639cf3004e054d1a85087abf387fe8</t>
  </si>
  <si>
    <t>{"in":"","DATE":"3/6/2026","IMEI":"","NAME":"KAYWISE","TIME":8,"PRICE":"\u20a62,500.00","STATUS":"PAID","PAID DATE":"","RECORD_ID":"ae3a8fcbd96f44d798afdc6b1883dca7","Amount paid":"\u20a62,500.00","DESCRIPTION":"BLACK IPHONE 15 PRO MAX IOS UPDATE","PHONE NUMBER":2349032614464,"DEAL LOCATION":"","INTERNAL NOTE":"","EXPENSE AMOUNT":"","CALCULATED PROFIT":"","EXPENSE DESCRIPTION":"","IMEI FOR SWAPPED DEAL":""}</t>
  </si>
  <si>
    <t>9a12d5ebe6538808d745ac4f82c19b91ef954e5d5f505a23a95859c6bebedc5f</t>
  </si>
  <si>
    <t>{"in":"","DATE":"3/6/2026","IMEI":"","NAME":"CH4","TIME":9,"PRICE":"\u20a65,000.00","STATUS":"PAID","PAID DATE":"","RECORD_ID":"8a11a44d1b0a42a3b072f7835d3aaede","Amount paid":"\u20a65,000.00","DESCRIPTION":"IPHONE 16 CHIP CONFIGURATION","PHONE NUMBER":2348131941406,"DEAL LOCATION":"","INTERNAL NOTE":"","EXPENSE AMOUNT":"","CALCULATED PROFIT":"","EXPENSE DESCRIPTION":"","IMEI FOR SWAPPED DEAL":""}</t>
  </si>
  <si>
    <t>b952a3db63d7a44b3d91370e59a3799348b876b6a51ed237997c3795a24ff58f</t>
  </si>
  <si>
    <t>{"in":"","DATE":"3/6/2026","IMEI":"","NAME":"CORLDS TECH","TIME":10,"PRICE":"\u20a6110,000.00","STATUS":"PAID","PAID DATE":"","RECORD_ID":"6bfbb8d2dc1245f0af49610811a6c938","Amount paid":"","DESCRIPTION":"LIFELINE USE NAUMBER","PHONE NUMBER":"","DEAL LOCATION":"","INTERNAL NOTE":"","EXPENSE AMOUNT":"","CALCULATED PROFIT":"","EXPENSE DESCRIPTION":"","IMEI FOR SWAPPED DEAL":""}</t>
  </si>
  <si>
    <t>ab82faa4160bbc786d3c064bc6d1274693fa4cc03dbd74e5724b0544e5d317bc</t>
  </si>
  <si>
    <t>{"in":"","DATE":"..","IMEI":"..","NAME":"...","TIME":"","PRICE":"..","STATUS":"..","PAID DATE":"","RECORD_ID":"0d6528b467534b8ea201c91b58ed388f","Amount paid":"","DESCRIPTION":"..","PHONE NUMBER":"","DEAL LOCATION":"","INTERNAL NOTE":"","EXPENSE AMOUNT":"","CALCULATED PROFIT":"","EXPENSE DESCRIPTION":"","IMEI FOR SWAPPED DEAL":""}</t>
  </si>
  <si>
    <t>6c198986d2968a1666f9ed5e921bd29907e745cceea815704f636b3f2941b7b3</t>
  </si>
  <si>
    <t>{"in":"","DATE":"..","IMEI":"..","NAME":"..","TIME":"","PRICE":"...","STATUS":"..","PAID DATE":"","RECORD_ID":"6a6f0c9fc793437f93280ecda2c49757","Amount paid":"","DESCRIPTION":"..","PHONE NUMBER":"","DEAL LOCATION":"","INTERNAL NOTE":"","EXPENSE AMOUNT":"","CALCULATED PROFIT":"","EXPENSE DESCRIPTION":"","IMEI FOR SWAPPED DEAL":""}</t>
  </si>
  <si>
    <t>e72dffb2d651fa049d147c74d85f9a0b055804d719fdf07191442be1e186e0a2</t>
  </si>
  <si>
    <t>{"in":"","DATE":"..","IMEI":"..","NAME":"..","TIME":"","PRICE":"..","STATUS":"..","PAID DATE":"","RECORD_ID":"8ed2553b72154cc2872c771bbc12bdfb","Amount paid":"","DESCRIPTION":"..","PHONE NUMBER":"","DEAL LOCATION":"","INTERNAL NOTE":"","EXPENSE AMOUNT":"","CALCULATED PROFIT":"","EXPENSE DESCRIPTION":"","IMEI FOR SWAPPED DEAL":""}</t>
  </si>
  <si>
    <t>deee8817832f3317f566adc84b5a6a160f05ab7eb361532df7988f7d15bed5e7</t>
  </si>
  <si>
    <t>2026-03-07T00:00:00+01:00</t>
  </si>
  <si>
    <t>{"in":"","DATE":"3/7/2026","IMEI":2348027964718,"NAME":"MASTERY MOBILE","TIME":1,"PRICE":"\u20a62,500.00","STATUS":"paid","PAID DATE":"","RECORD_ID":"5b310bd75b4e4581a3cd4b24983dd9bc","Amount paid":"\u20a62,500.00","DESCRIPTION":"IPHONE 11 PRO MAX IOS UPDATE","PHONE NUMBER":2348027964718,"DEAL LOCATION":"","INTERNAL NOTE":"","EXPENSE AMOUNT":"","CALCULATED PROFIT":"","EXPENSE DESCRIPTION":"","IMEI FOR SWAPPED DEAL":""}</t>
  </si>
  <si>
    <t>e8b7db601c632f4f78dcaf9338485f4068a12925414cb89a47a6c855e91ccf26</t>
  </si>
  <si>
    <t>{"in":"","DATE":"3/7/2026","IMEI":"","NAME":"KEHINDE HOLLAH","TIME":2,"PRICE":"\u20a62,500.00","STATUS":"PAID","PAID DATE":"","RECORD_ID":"6ce2f59135d146ad87db046393e794ab","Amount paid":"","DESCRIPTION":"DESERT TITANIUM IPHONE 16 PRO P + E UPDATE","PHONE NUMBER":"","DEAL LOCATION":"","INTERNAL NOTE":"","EXPENSE AMOUNT":"","CALCULATED PROFIT":"","EXPENSE DESCRIPTION":"","IMEI FOR SWAPPED DEAL":""}</t>
  </si>
  <si>
    <t>9283f40da6cd634892ed3c4f099f7d80fad08c534fb8f69e26f86abae0fc3f28</t>
  </si>
  <si>
    <t>{"in":"","DATE":"3/7/2026","IMEI":"350517923261142/34","NAME":"TECH JAR","TIME":3,"PRICE":"\u20a6195,000.00","STATUS":"RETURNED","PAID DATE":"","RECORD_ID":"134ee9ad35aa4fe8aeaa1b95fe7f75f9","Amount paid":"","DESCRIPTION":"SAMSUNG GALAXY S21 8GB || 128GB","PHONE NUMBER":2347047512596,"DEAL LOCATION":"","INTERNAL NOTE":"","EXPENSE AMOUNT":"","CALCULATED PROFIT":"","EXPENSE DESCRIPTION":"","IMEI FOR SWAPPED DEAL":""}</t>
  </si>
  <si>
    <t>318d7a35195f302ca18dcd4938d8759cba3e24e89fb949f53ca5647b39db1a90</t>
  </si>
  <si>
    <t>{"in":"","DATE":"3/7/2026","IMEI":"","NAME":"DAPPER","TIME":4,"PRICE":"\u20a62,500.00","STATUS":"paid","PAID DATE":"","RECORD_ID":"b4b23fe66339441ca9b1642c52d0e330","Amount paid":"\u20a62,500.00","DESCRIPTION":"PURPLE 11 IOS UPDATE","PHONE NUMBER":2349166394378,"DEAL LOCATION":"","INTERNAL NOTE":"","EXPENSE AMOUNT":"","CALCULATED PROFIT":"","EXPENSE DESCRIPTION":"","IMEI FOR SWAPPED DEAL":""}</t>
  </si>
  <si>
    <t>3f3acbaa54e62f2fea60dc3208225601d2977c0bd108edf0d4b6d268f29d06bb</t>
  </si>
  <si>
    <t>{"in":"","DATE":"3/7/2026","IMEI":352676522059527,"NAME":"DAMBOX","TIME":5,"PRICE":"\u20a6820,000.00","STATUS":"RETURNED","PAID DATE":"","RECORD_ID":"675bd4a098d44dbe951273b67bbea1b7","Amount paid":"","DESCRIPTION":"15 PRO MAX. 87%. NATURAL TITANIUM","PHONE NUMBER":9040943517,"DEAL LOCATION":"","INTERNAL NOTE":"","EXPENSE AMOUNT":"","CALCULATED PROFIT":"","EXPENSE DESCRIPTION":"","IMEI FOR SWAPPED DEAL":""}</t>
  </si>
  <si>
    <t>58972fe03226e9924b4355e65074758123bb7018455dc87257d8f6fd7b85545b</t>
  </si>
  <si>
    <t>{"in":"","DATE":"3/7/2026","IMEI":352832400580320,"NAME":"DAMBOX","TIME":6,"PRICE":"\u20a6760,000.00","STATUS":"RETURNED","PAID DATE":"","RECORD_ID":"42304704ff794246a3d5ac8fc99a98af","Amount paid":"","DESCRIPTION":"15 PRO MAX. 85%. NATURAL TITANIUM","PHONE NUMBER":9040943517,"DEAL LOCATION":"","INTERNAL NOTE":"","EXPENSE AMOUNT":"","CALCULATED PROFIT":"","EXPENSE DESCRIPTION":"","IMEI FOR SWAPPED DEAL":""}</t>
  </si>
  <si>
    <t>1ecb04308793f92d7ab751eeb695b57dbee61e1628582fd4f5e1e0df5b8f62db</t>
  </si>
  <si>
    <t>{"in":"","DATE":"3/7/2026","IMEI":"","NAME":"RELIABLE CRYPTO","TIME":7,"PRICE":"\u20a62,000.00","STATUS":"PAID","PAID DATE":"","RECORD_ID":"6b5c9058965e4922a2ccdfd4c3313e64","Amount paid":"","DESCRIPTION":"MIDNIGHT 12 IOS UPDATE","PHONE NUMBER":"","DEAL LOCATION":"","INTERNAL NOTE":"","EXPENSE AMOUNT":"","CALCULATED PROFIT":"","EXPENSE DESCRIPTION":"","IMEI FOR SWAPPED DEAL":""}</t>
  </si>
  <si>
    <t>da0e3606e06393e0d82d55d9650bdaf43c47dddf9786fcfb3652a523434aba7e</t>
  </si>
  <si>
    <t>{"in":"","DATE":"3/7/2026","IMEI":"","NAME":"DON","TIME":8,"PRICE":"\u20a62,500.00","STATUS":"PAID","PAID DATE":"","RECORD_ID":"a794da885e15495c9dd0c26279dfd5a8","Amount paid":"","DESCRIPTION":"ORANGE IPHONE 17 PRO IOS UPDATE","PHONE NUMBER":2348137676322,"DEAL LOCATION":"","INTERNAL NOTE":"","EXPENSE AMOUNT":"","CALCULATED PROFIT":"","EXPENSE DESCRIPTION":"","IMEI FOR SWAPPED DEAL":""}</t>
  </si>
  <si>
    <t>ad0b18c966d7519ccbd93522ea00534f114b1d014d1ca4caf322d98895f5a21a</t>
  </si>
  <si>
    <t>{"in":"","DATE":"3/7/2026","IMEI":"","NAME":"PAPPY TECH","TIME":9,"PRICE":"\u20a63,000.00","STATUS":"PAID","PAID DATE":"","RECORD_ID":"a1d2eec563334994b0db1d4ed917b613","Amount paid":"\u20a63,000.00","DESCRIPTION":"ORANGE IPHONE 17 PRO MAX IOS UPDATE","PHONE NUMBER":2349064677372,"DEAL LOCATION":"","INTERNAL NOTE":"","EXPENSE AMOUNT":"","CALCULATED PROFIT":"","EXPENSE DESCRIPTION":"","IMEI FOR SWAPPED DEAL":""}</t>
  </si>
  <si>
    <t>291b40f46f8ddf06fd8073ca372fd2b4757d3c5fd0eb7014fb798185ea4a927f</t>
  </si>
  <si>
    <t>{"in":"","DATE":"3/7/2026","IMEI":357773245354015,"NAME":"ADEBAYO ADURAGBEMI","TIME":10,"PRICE":"\u20a6520,000.00","STATUS":"PAID","PAID DATE":"","RECORD_ID":"88f11ac0d8cc4a24b6ef5768eac81c87","Amount paid":"","DESCRIPTION":"IPHONE 14 PRO MAX LOCKED. 85%. PURPLE","PHONE NUMBER":"","DEAL LOCATION":"","INTERNAL NOTE":"","EXPENSE AMOUNT":"","CALCULATED PROFIT":"","EXPENSE DESCRIPTION":"","IMEI FOR SWAPPED DEAL":""}</t>
  </si>
  <si>
    <t>a9a37eff46304faf207438491fd5fc9d1b70811e25a897b4813e2c33dee4bd05</t>
  </si>
  <si>
    <t>{"in":"","DATE":"3/7/2026","IMEI":353240103451972,"NAME":"MULLAR GADGET","TIME":11,"PRICE":"\u20a6310,000.00","STATUS":"PAID","PAID DATE":"","RECORD_ID":"5bfe44976a3a4111909a713cbfafa944","Amount paid":"","DESCRIPTION":"GOLD IPHONE 11 PRO 256GB. 92$","PHONE NUMBER":2348165523297,"DEAL LOCATION":"","INTERNAL NOTE":"","EXPENSE AMOUNT":"","CALCULATED PROFIT":"","EXPENSE DESCRIPTION":"","IMEI FOR SWAPPED DEAL":""}</t>
  </si>
  <si>
    <t>68329671d4f2500c346b0b31737f661a91779d0e55d56618bb80d2e268f1594f</t>
  </si>
  <si>
    <t>{"in":"","DATE":"3/7/2026","IMEI":"","NAME":"OREZZY GADGET","TIME":12,"PRICE":"\u20a6150,000.00","STATUS":"RETURNED","PAID DATE":"","RECORD_ID":"cbbb4b559bfa4f92a606af3cdcce22e1","Amount paid":"","DESCRIPTION":"11 PRO. CHIP UNLOCKED. MIDNIGHT GREEN","PHONE NUMBER":"","DEAL LOCATION":"","INTERNAL NOTE":"","EXPENSE AMOUNT":"","CALCULATED PROFIT":"","EXPENSE DESCRIPTION":"","IMEI FOR SWAPPED DEAL":""}</t>
  </si>
  <si>
    <t>037817b43689f78aa30b65c5efc0526d6015533606d625f655403673f78201a2</t>
  </si>
  <si>
    <t>{"in":"","DATE":"3/7/2026","IMEI":"","NAME":"TECHJAR","TIME":13,"PRICE":"","STATUS":"RETURNED","PAID DATE":"","RECORD_ID":"b30aa7feb5fa4ad099236e041cf344b7","Amount paid":"","DESCRIPTION":"BLUE TITANIUM IPHONE 15 PRO 512GB","PHONE NUMBER":"","DEAL LOCATION":"","INTERNAL NOTE":"","EXPENSE AMOUNT":"","CALCULATED PROFIT":"","EXPENSE DESCRIPTION":"","IMEI FOR SWAPPED DEAL":""}</t>
  </si>
  <si>
    <t>c1012a6daa07a9a498f61baba11f004cb7ef8675fc007edcf432618d423ae38c</t>
  </si>
  <si>
    <t>{"in":"","DATE":"3/7/2026","IMEI":"","NAME":"SEYIFUNMI","TIME":14,"PRICE":"\u20a62,500.00","STATUS":"PAID","PAID DATE":"","RECORD_ID":"d85dd16b2aa34847b70ea6a3475dbd32","Amount paid":"","DESCRIPTION":"IPHONE 17 AIR UPDATE","PHONE NUMBER":2347065500068,"DEAL LOCATION":"","INTERNAL NOTE":"","EXPENSE AMOUNT":"","CALCULATED PROFIT":"","EXPENSE DESCRIPTION":"","IMEI FOR SWAPPED DEAL":""}</t>
  </si>
  <si>
    <t>b608226e6e1869588565d8763edbedd09a6c84ba519b11f191f458b22c734531</t>
  </si>
  <si>
    <t>{"in":"","DATE":"3/7/2026","IMEI":352676522059527,"NAME":"DAMBOX","TIME":"","PRICE":"\u20a6820,000.00","STATUS":"PAID","PAID DATE":"","RECORD_ID":"fedc472ba66245bca5a8e83680907bdb","Amount paid":"","DESCRIPTION":"NATURAL TITANIUM IPHONE 15 PRO MAX","PHONE NUMBER":9040943517,"DEAL LOCATION":"","INTERNAL NOTE":"","EXPENSE AMOUNT":"","CALCULATED PROFIT":"","EXPENSE DESCRIPTION":"","IMEI FOR SWAPPED DEAL":""}</t>
  </si>
  <si>
    <t>4dc700b93223113c050110d36aa8bb371752dc74544080c59c100624b836d6d5</t>
  </si>
  <si>
    <t>{"in":"","DATE":"..","IMEI":"..","NAME":"...","TIME":"","PRICE":"..","STATUS":"..","PAID DATE":"","RECORD_ID":"aa0f97f600074938a49979ac6248766d","Amount paid":"","DESCRIPTION":"..","PHONE NUMBER":"","DEAL LOCATION":"","INTERNAL NOTE":"","EXPENSE AMOUNT":"","CALCULATED PROFIT":"","EXPENSE DESCRIPTION":"","IMEI FOR SWAPPED DEAL":""}</t>
  </si>
  <si>
    <t>af6b9925ec522dba8df349de8ff2b0fa6b3efe81812059567858bfb662c2172b</t>
  </si>
  <si>
    <t>{"in":"","DATE":"..","IMEI":"..","NAME":"..","TIME":"","PRICE":"...","STATUS":"..","PAID DATE":"","RECORD_ID":"075dfca36bb94f66b4f103ed288525f2","Amount paid":"","DESCRIPTION":"..","PHONE NUMBER":"","DEAL LOCATION":"","INTERNAL NOTE":"","EXPENSE AMOUNT":"","CALCULATED PROFIT":"","EXPENSE DESCRIPTION":"","IMEI FOR SWAPPED DEAL":""}</t>
  </si>
  <si>
    <t>b03e7f181e301c8b721effa13467a55931398d58078e6afa60fb5adb0c3a66c9</t>
  </si>
  <si>
    <t>{"in":"","DATE":"..","IMEI":"..","NAME":"..","TIME":"","PRICE":"..","STATUS":"..","PAID DATE":"","RECORD_ID":"3859c90eace044769d3cce29deefd9f8","Amount paid":"","DESCRIPTION":"..","PHONE NUMBER":"","DEAL LOCATION":"","INTERNAL NOTE":"","EXPENSE AMOUNT":"","CALCULATED PROFIT":"","EXPENSE DESCRIPTION":"","IMEI FOR SWAPPED DEAL":""}</t>
  </si>
  <si>
    <t>9e68d22b777331f8af1f4b05e06700547711163b0d60c2aa37f09a0fc74638da</t>
  </si>
  <si>
    <t>2026-03-08T00:00:00+01:00</t>
  </si>
  <si>
    <t>{"in":"","DATE":"3/8/2026","IMEI":"","NAME":"DAPPER","TIME":"","PRICE":"\u20a62,500.00","STATUS":"PAID","PAID DATE":"","RECORD_ID":"ddd4c6313af7417bad5fd064720ff2cd","Amount paid":"\u20a62,500.00","DESCRIPTION":"IPHONE 15 PRO IOS UPDATE. BLUE TITANIUM","PHONE NUMBER":2349166394378,"DEAL LOCATION":"","INTERNAL NOTE":"","EXPENSE AMOUNT":"","CALCULATED PROFIT":"","EXPENSE DESCRIPTION":"","IMEI FOR SWAPPED DEAL":""}</t>
  </si>
  <si>
    <t>ab0d5f228774d376c708efda81c93efbe8469852fa24ae59f5318fd888755c4b</t>
  </si>
  <si>
    <t>{"in":"","DATE":"..","IMEI":"..","NAME":"...","TIME":"","PRICE":"..","STATUS":"..","PAID DATE":"","RECORD_ID":"a71d1104ba454871a79993e67cb5ce11","Amount paid":"","DESCRIPTION":"..","PHONE NUMBER":"","DEAL LOCATION":"","INTERNAL NOTE":"","EXPENSE AMOUNT":"","CALCULATED PROFIT":"","EXPENSE DESCRIPTION":"","IMEI FOR SWAPPED DEAL":""}</t>
  </si>
  <si>
    <t>8f72ab8271ce15c24f9a80795950c229cbc1ae17fb225f1feba55d37e72be56b</t>
  </si>
  <si>
    <t>{"in":"","DATE":"..","IMEI":"..","NAME":"..","TIME":"","PRICE":"...","STATUS":"..","PAID DATE":"","RECORD_ID":"46c265a6bb60464288b10e8dccdc7654","Amount paid":"","DESCRIPTION":"..","PHONE NUMBER":"","DEAL LOCATION":"","INTERNAL NOTE":"","EXPENSE AMOUNT":"","CALCULATED PROFIT":"","EXPENSE DESCRIPTION":"","IMEI FOR SWAPPED DEAL":""}</t>
  </si>
  <si>
    <t>745f0daef39e3823c22f53d2630faf4e5d846ac7afee6d217398b0f438d34c3f</t>
  </si>
  <si>
    <t>{"in":"","DATE":"..","IMEI":"..","NAME":"..","TIME":"","PRICE":"..","STATUS":"..","PAID DATE":"","RECORD_ID":"0cfb7ebfc2f844379270763822a1d6ca","Amount paid":"","DESCRIPTION":"..","PHONE NUMBER":"","DEAL LOCATION":"","INTERNAL NOTE":"","EXPENSE AMOUNT":"","CALCULATED PROFIT":"","EXPENSE DESCRIPTION":"","IMEI FOR SWAPPED DEAL":""}</t>
  </si>
  <si>
    <t>3fc971d5972d4f570315ef4b266b11e63a6515f864d7e1b4da3df05802b11512</t>
  </si>
  <si>
    <t>2026-03-09T00:00:00+01:00</t>
  </si>
  <si>
    <t>{"in":"","DATE":"3/9/2026","IMEI":356841111235385,"NAME":"SAM","TIME":"","PRICE":"\u20a6135,000.00","STATUS":"PAID","PAID DATE":"","RECORD_ID":"1102703c066e4c35b9d528897adf2a29","Amount paid":"","DESCRIPTION":"IPHONE SE 2. BLACK. 80% BATTERY HEALTH","PHONE NUMBER":"","DEAL LOCATION":"","INTERNAL NOTE":"","EXPENSE AMOUNT":"","CALCULATED PROFIT":"","EXPENSE DESCRIPTION":"","IMEI FOR SWAPPED DEAL":""}</t>
  </si>
  <si>
    <t>263263ecb55c2044dc198a1928908565dedd3072530ac4cc2233965585f640ab</t>
  </si>
  <si>
    <t>{"in":"","DATE":"3/9/2026","IMEI":"","NAME":"FOLAKEMI BAHMS","TIME":"","PRICE":"\u20a62,500.00","STATUS":"PAID","PAID DATE":"","RECORD_ID":"09f7a854275a4983b03d2634cf2155e2","Amount paid":"","DESCRIPTION":"IPHONE 14 FIX BATTERY FLASH","PHONE NUMBER":"","DEAL LOCATION":"","INTERNAL NOTE":"","EXPENSE AMOUNT":"","CALCULATED PROFIT":"","EXPENSE DESCRIPTION":"","IMEI FOR SWAPPED DEAL":""}</t>
  </si>
  <si>
    <t>9dae32a0c26bc546989781d72800f310e00f166ba1046ebfb71a2d16f7082ade</t>
  </si>
  <si>
    <t>{"in":"","DATE":"3/9/2026","IMEI":"","NAME":"DAH UNIQUE","TIME":"","PRICE":"\u20a62,500.00","STATUS":"PAID","PAID DATE":"","RECORD_ID":"ae713347b5e64d56abc0152b944824fd","Amount paid":"","DESCRIPTION":"BLACK 14 PRO. IOS UPDATE","PHONE NUMBER":2349070536253,"DEAL LOCATION":"","INTERNAL NOTE":"","EXPENSE AMOUNT":"","CALCULATED PROFIT":"","EXPENSE DESCRIPTION":"","IMEI FOR SWAPPED DEAL":""}</t>
  </si>
  <si>
    <t>97843233db3a73f5c487a9176fba3da3686712510db0172dd3327b15a0a24d7f</t>
  </si>
  <si>
    <t>{"in":"","DATE":"3/9/2026","IMEI":354423235215700,"NAME":"SAM","TIME":"","PRICE":"\u20a6690,000.00","STATUS":"PAID","PAID DATE":"","RECORD_ID":"b625dd9813534e39868f80dd9d7d985a","Amount paid":"","DESCRIPTION":"IPHONE 16 PRO MAX. DESERT TITANIUM. 95%","PHONE NUMBER":"","DEAL LOCATION":"","INTERNAL NOTE":"","EXPENSE AMOUNT":"","CALCULATED PROFIT":"","EXPENSE DESCRIPTION":"","IMEI FOR SWAPPED DEAL":""}</t>
  </si>
  <si>
    <t>71c20bc3f451eea3cf27adfd7ad668e796611eedd6e084350e738f076325ac85</t>
  </si>
  <si>
    <t>{"in":"","DATE":"3/9/2026","IMEI":"","NAME":"CLINTON","TIME":"","PRICE":"\u20a6760,000.00","STATUS":"PAID","PAID DATE":"","RECORD_ID":"a01920b19845419aa21ace9b734943f9","Amount paid":"\u20a6760,000.00","DESCRIPTION":"IPHONE 15 PRO MAX UNLOCKED. ESIM UNLOCKED. 85%. NATURAL TITANIUM","PHONE NUMBER":"","DEAL LOCATION":"","INTERNAL NOTE":"","EXPENSE AMOUNT":"","CALCULATED PROFIT":"","EXPENSE DESCRIPTION":"","IMEI FOR SWAPPED DEAL":""}</t>
  </si>
  <si>
    <t>a6d6279b1e0c80bede95fed78d25ba0f8453002ebdc7576929f3dfbeaf2b9457</t>
  </si>
  <si>
    <t>{"in":"","DATE":"3/9/2026","IMEI":"","NAME":"HOLLAH GADGET","TIME":"","PRICE":"\u20a62,500.00","STATUS":"PAID","PAID DATE":"","RECORD_ID":"c66461f757fb46ee881529dceb360007","Amount paid":"\u20a62,500.00","DESCRIPTION":"DESERT TITANUIM IPHONE 16 PRO MAX UPDATE","PHONE NUMBER":7041440724,"DEAL LOCATION":"","INTERNAL NOTE":"","EXPENSE AMOUNT":"","CALCULATED PROFIT":"","EXPENSE DESCRIPTION":"","IMEI FOR SWAPPED DEAL":""}</t>
  </si>
  <si>
    <t>b9ede9e50d12073ae39c3d3371f10c6e87e7d4ffa4cd6473b5b1f411b451a754</t>
  </si>
  <si>
    <t>{"in":"","DATE":"3/9/2026","IMEI":"","NAME":"DAH UNIQUE","TIME":"","PRICE":"\u20a62,500.00","STATUS":"PAID","PAID DATE":"","RECORD_ID":"77e7edd8d35f44f9a726a18b4ad56947","Amount paid":"","DESCRIPTION":"iPhone 12 Blue 128GB UPDATE","PHONE NUMBER":2349070536253,"DEAL LOCATION":"","INTERNAL NOTE":"","EXPENSE AMOUNT":"","CALCULATED PROFIT":"","EXPENSE DESCRIPTION":"","IMEI FOR SWAPPED DEAL":""}</t>
  </si>
  <si>
    <t>63f880ef3b63209c21dbba4d58b68bb4dddf6052e60360b53e350160ae7eb483</t>
  </si>
  <si>
    <t>{"in":"","DATE":"3/9/2026","IMEI":"","NAME":"DAH UNIQUE","TIME":"","PRICE":"\u20a62,500.00","STATUS":"PAID","PAID DATE":"","RECORD_ID":"f2539c39ed8b4d9188c6e715ef21594f","Amount paid":"","DESCRIPTION":"BLUE  IPHONE 12 UPDATE","PHONE NUMBER":2349070536253,"DEAL LOCATION":"","INTERNAL NOTE":"","EXPENSE AMOUNT":"","CALCULATED PROFIT":"","EXPENSE DESCRIPTION":"","IMEI FOR SWAPPED DEAL":""}</t>
  </si>
  <si>
    <t>9b8c74df47404365c35be9905627c339496a2ec4b420313cbc06045f0526ce96</t>
  </si>
  <si>
    <t>{"in":"","DATE":"3/9/2026","IMEI":"","NAME":"BOLACOM","TIME":"","PRICE":"\u20a62,500.00","STATUS":"PAID","PAID DATE":"","RECORD_ID":"63811f0ec7664f6695cb881de877c787","Amount paid":"","DESCRIPTION":"MINDNIGHT IPHONE 14 UPDATE","PHONE NUMBER":"","DEAL LOCATION":"","INTERNAL NOTE":"","EXPENSE AMOUNT":"","CALCULATED PROFIT":"","EXPENSE DESCRIPTION":"","IMEI FOR SWAPPED DEAL":""}</t>
  </si>
  <si>
    <t>42fa4c79c6c668d04c21d6115c4dd0889a594fa03293e5db1bdba7e7f375a0c9</t>
  </si>
  <si>
    <t>{"in":"","DATE":"3/9/2026","IMEI":"","NAME":"STAR BUSSY","TIME":"","PRICE":"\u20a62,500.00","STATUS":"PAID","PAID DATE":"","RECORD_ID":"a7841a49838b47708e88122f6771f65f","Amount paid":"","DESCRIPTION":"BLUE TITANIUM IPHONE 15 PRO IOS UPDATE","PHONE NUMBER":2348127738411,"DEAL LOCATION":"","INTERNAL NOTE":"","EXPENSE AMOUNT":"","CALCULATED PROFIT":"","EXPENSE DESCRIPTION":"","IMEI FOR SWAPPED DEAL":""}</t>
  </si>
  <si>
    <t>9a8141eb8a4e25b3461d3fc9ebd86aef8fb02cc40442858a67be6118e2c3a0f0</t>
  </si>
  <si>
    <t>{"in":"","DATE":"3/9/2026","IMEI":"","NAME":"RAYMOND","TIME":"","PRICE":"\u20a6670,000.00","STATUS":"RETURNED","PAID DATE":"","RECORD_ID":"ff565d03bcba4da79d35e75df9b423f5","Amount paid":"","DESCRIPTION":"P+E 14 PRO 256GB. PURPLE 91%","PHONE NUMBER":2349161048040,"DEAL LOCATION":"","INTERNAL NOTE":"","EXPENSE AMOUNT":"","CALCULATED PROFIT":"","EXPENSE DESCRIPTION":"","IMEI FOR SWAPPED DEAL":""}</t>
  </si>
  <si>
    <t>87449eae91424e22249b9f24d58548b5ee9ea99eb9047ebb23a3fda994b48cc4</t>
  </si>
  <si>
    <t>{"in":"","DATE":"3/9/2026","IMEI":"","NAME":"SEYIFUNMI","TIME":"","PRICE":"\u20a62,500.00","STATUS":"PAID","PAID DATE":"","RECORD_ID":"82cb5f16f2984a7e93eefa0b033835fc","Amount paid":"","DESCRIPTION":"17 PRO MAX IOS UPDATE. ORANGE","PHONE NUMBER":2347065500068,"DEAL LOCATION":"","INTERNAL NOTE":"","EXPENSE AMOUNT":"","CALCULATED PROFIT":"","EXPENSE DESCRIPTION":"","IMEI FOR SWAPPED DEAL":""}</t>
  </si>
  <si>
    <t>d0ea748b5a3076b6dad2a7f0e122fc5ecd9ea0e38c71744c96b55bf0c582f34a</t>
  </si>
  <si>
    <t>{"in":"","DATE":"3/9/2026","IMEI":356848113696837,"NAME":"PAPPY TECH","TIME":"","PRICE":"\u20a6140,000.00","STATUS":"PAID","PAID DATE":"","RECORD_ID":"946f6d2ac2a34df88d05f4f813c019b2","Amount paid":"","DESCRIPTION":"SE 2. BLACK. 64GB","PHONE NUMBER":2349064677372,"DEAL LOCATION":"","INTERNAL NOTE":"","EXPENSE AMOUNT":"","CALCULATED PROFIT":"","EXPENSE DESCRIPTION":"","IMEI FOR SWAPPED DEAL":""}</t>
  </si>
  <si>
    <t>266090737dd6a8ba2de99ece22b74921e506bf068dea977f5d3f5c23fee608c0</t>
  </si>
  <si>
    <t>{"in":"","DATE":"3/9/2026","IMEI":"","NAME":"GNF","TIME":"","PRICE":"\u20a62,500.00","STATUS":"PAID","PAID DATE":"","RECORD_ID":"bac8dc5e0abe428597e2bec2ebb83dd3","Amount paid":"\u20a62,500.00","DESCRIPTION":"MIDNIGHT IPHONE 12 BATTERY FLASH","PHONE NUMBER":2348160373526,"DEAL LOCATION":"","INTERNAL NOTE":"","EXPENSE AMOUNT":"","CALCULATED PROFIT":"","EXPENSE DESCRIPTION":"","IMEI FOR SWAPPED DEAL":""}</t>
  </si>
  <si>
    <t>42ee56af5f4f59ad3ca991754eff5ff80531df5df8ef578cfc165d2e43769988</t>
  </si>
  <si>
    <t>{"in":"","DATE":"3/9/2026","IMEI":"","NAME":"TONYTREND","TIME":"","PRICE":"","STATUS":"RETURNED","PAID DATE":"","RECORD_ID":"92161c4b5bcb4e42abc93a6b6df856b3","Amount paid":"","DESCRIPTION":"IPHONE 15 PRO 512GB 90%","PHONE NUMBER":"","DEAL LOCATION":"","INTERNAL NOTE":"","EXPENSE AMOUNT":"","CALCULATED PROFIT":"","EXPENSE DESCRIPTION":"","IMEI FOR SWAPPED DEAL":""}</t>
  </si>
  <si>
    <t>7d47179b009784bc3e1a33664d0e29d418906053bf0ba3930a1a53772f0b897b</t>
  </si>
  <si>
    <t>{"in":"","DATE":"....","IMEI":"...","NAME":"....","TIME":"","PRICE":"....","STATUS":"..","PAID DATE":"","RECORD_ID":"e5baf5de44394d2ebbb04a62d746fe53","Amount paid":"","DESCRIPTION":"...","PHONE NUMBER":"","DEAL LOCATION":"","INTERNAL NOTE":"","EXPENSE AMOUNT":"","CALCULATED PROFIT":"","EXPENSE DESCRIPTION":"","IMEI FOR SWAPPED DEAL":""}</t>
  </si>
  <si>
    <t>fbf72733ccdc0384ed01a0737968f3e0fc29a8de5c42d2ae707091519f5aae7e</t>
  </si>
  <si>
    <t>{"in":"","DATE":"....","IMEI":"...","NAME":"....","TIME":"","PRICE":"....","STATUS":"..","PAID DATE":"","RECORD_ID":"291d27770556473e9e4f8ed303c91206","Amount paid":"","DESCRIPTION":"...","PHONE NUMBER":"","DEAL LOCATION":"","INTERNAL NOTE":"","EXPENSE AMOUNT":"","CALCULATED PROFIT":"","EXPENSE DESCRIPTION":"","IMEI FOR SWAPPED DEAL":""}</t>
  </si>
  <si>
    <t>f43fcc990d19b045b20d0fa4a236d680ae45690b3088d0252bcf1d8f872c7882</t>
  </si>
  <si>
    <t>{"in":"","DATE":"....","IMEI":"...","NAME":"....","TIME":"","PRICE":"....","STATUS":"..","PAID DATE":"","RECORD_ID":"0c0ceb92d3cf4b18ae59904571855010","Amount paid":"","DESCRIPTION":"...","PHONE NUMBER":"","DEAL LOCATION":"","INTERNAL NOTE":"","EXPENSE AMOUNT":"","CALCULATED PROFIT":"","EXPENSE DESCRIPTION":"","IMEI FOR SWAPPED DEAL":""}</t>
  </si>
  <si>
    <t>6764623316098ba3d76d74dc79c3ef6e18e455a9d3360203c90580ff191dfd61</t>
  </si>
  <si>
    <t>{"in":"","DATE":"....","IMEI":"...","NAME":"....","TIME":"","PRICE":"....","STATUS":"..","PAID DATE":"","RECORD_ID":"a2aa53b184504def8f9d879edb5e4138","Amount paid":"","DESCRIPTION":"...","PHONE NUMBER":"","DEAL LOCATION":"","INTERNAL NOTE":"","EXPENSE AMOUNT":"","CALCULATED PROFIT":"","EXPENSE DESCRIPTION":"","IMEI FOR SWAPPED DEAL":""}</t>
  </si>
  <si>
    <t>b9b8ebbc380d1d041099f288fba853fc64909a1f7921503aac72839d2f4c7013</t>
  </si>
  <si>
    <t>2026-03-10T00:00:00+01:00</t>
  </si>
  <si>
    <t>{"in":"","DATE":"3/10/2026","IMEI":355361727018118,"NAME":"ADEX GADGET","TIME":"","PRICE":"\u20a6810,000.00","STATUS":"PAID","PAID DATE":"","RECORD_ID":"5b82c7b59fa9466cab3cbe2a9ffc93be","Amount paid":"","DESCRIPTION":"IPHONE 15 PRO P + E. BLACK TITANIUM 86%","PHONE NUMBER":"","DEAL LOCATION":"","INTERNAL NOTE":"","EXPENSE AMOUNT":"","CALCULATED PROFIT":"","EXPENSE DESCRIPTION":"","IMEI FOR SWAPPED DEAL":""}</t>
  </si>
  <si>
    <t>9093e27a1dd3344c2977ee082fe7624a69327e97e6971d9efc94658e45d1b082</t>
  </si>
  <si>
    <t>2026-03-11T00:00:00+01:00</t>
  </si>
  <si>
    <t>{"in":"","DATE":"3/11/2026","IMEI":354230916172369,"NAME":"ADEX GADGET","TIME":"","PRICE":"\u20a6810,000.00","STATUS":"PAID","PAID DATE":"","RECORD_ID":"d1b6c8e645b64e5fa7ceac7ac31ba17c","Amount paid":"","DESCRIPTION":"IPHONE 15 PRO P + E. BLACK TITANIUM 86%","PHONE NUMBER":"","DEAL LOCATION":"","INTERNAL NOTE":"","EXPENSE AMOUNT":"","CALCULATED PROFIT":"","EXPENSE DESCRIPTION":"","IMEI FOR SWAPPED DEAL":"DROPED IPHONE 16"}</t>
  </si>
  <si>
    <t>dfb9cf0172a360b1bf51944286842794bdb154eec94c607e6e440cc1ede5f935</t>
  </si>
  <si>
    <t>{"in":"","DATE":"3/10/2026","IMEI":358625099111231,"NAME":"JENROLA OZ","TIME":"","PRICE":"\u20a6118,000.00","STATUS":"PAID","PAID DATE":"","RECORD_ID":"972e77b7aa0e461cad92d331d956ef33","Amount paid":"\u20a6118,000.00","DESCRIPTION":"SAMSUNG GALAXY S9 WITH WIFI ISSUE","PHONE NUMBER":2348151039966,"DEAL LOCATION":"","INTERNAL NOTE":"","EXPENSE AMOUNT":"","CALCULATED PROFIT":"","EXPENSE DESCRIPTION":"","IMEI FOR SWAPPED DEAL":"DEPOSITED 90K"}</t>
  </si>
  <si>
    <t>61a0952dc26c92bfd6dae306718c18b272ba3496a819c1b31ec27107aae02013</t>
  </si>
  <si>
    <t>{"in":"","DATE":"3/10/2026","IMEI":"","NAME":"DAMBOX","TIME":"","PRICE":"\u20a62,500.00","STATUS":"PAID","PAID DATE":"","RECORD_ID":"da1634ec056e44fcbf22f9c5bcca49b4","Amount paid":"\u20a62,500.00","DESCRIPTION":"LIGHT GOLD IPHONE AIR IOS UPDATE","PHONE NUMBER":9040943517,"DEAL LOCATION":"","INTERNAL NOTE":"","EXPENSE AMOUNT":"","CALCULATED PROFIT":"","EXPENSE DESCRIPTION":"","IMEI FOR SWAPPED DEAL":""}</t>
  </si>
  <si>
    <t>cfc7dcfb92864838109a46b50d03d5790791377615e08cb5b7f25b6c21e3ea68</t>
  </si>
  <si>
    <t>{"in":"","DATE":"3/10/2026","IMEI":"","NAME":"PRINZE GADGET","TIME":"","PRICE":"\u20a65,000.00","STATUS":"PAID","PAID DATE":"","RECORD_ID":"6b44a5f90e3747a88737861da9f4cad7","Amount paid":"","DESCRIPTION":"SAMSUNG FLASH","PHONE NUMBER":"","DEAL LOCATION":"","INTERNAL NOTE":"","EXPENSE AMOUNT":"","CALCULATED PROFIT":"","EXPENSE DESCRIPTION":"","IMEI FOR SWAPPED DEAL":""}</t>
  </si>
  <si>
    <t>b49b648ac2e7cd51433a33bd7b2b8bf6e09ef4b16aafedbf29afbaa078a846ad</t>
  </si>
  <si>
    <t>{"in":"","DATE":"3/10/2026","IMEI":"","NAME":"DON","TIME":"","PRICE":"\u20a62,500.00","STATUS":"PAID","PAID DATE":"","RECORD_ID":"153287dfa15d4a85a5ee9d6f451b459d","Amount paid":"","DESCRIPTION":"IPHONE XR FIX BATTERY FLASH","PHONE NUMBER":2348137676322,"DEAL LOCATION":"","INTERNAL NOTE":"","EXPENSE AMOUNT":"","CALCULATED PROFIT":"","EXPENSE DESCRIPTION":"","IMEI FOR SWAPPED DEAL":""}</t>
  </si>
  <si>
    <t>f99011e0623f751e0c469285d53f3e33976c63cf3b5048b85b87b5fb5565c2ae</t>
  </si>
  <si>
    <t>{"in":"","DATE":"3/10/2026","IMEI":"","NAME":"TECH BOX","TIME":"","PRICE":"\u20a62,500.00","STATUS":"UNPAID","PAID DATE":"","RECORD_ID":"938969d92cb34b4c9c0654ce6592762a","Amount paid":"","DESCRIPTION":"PURPLE IPHONE 14 PRO MAX IOS UPDATE","PHONE NUMBER":2348169747697,"DEAL LOCATION":"","INTERNAL NOTE":"","EXPENSE AMOUNT":"","CALCULATED PROFIT":"","EXPENSE DESCRIPTION":"","IMEI FOR SWAPPED DEAL":""}</t>
  </si>
  <si>
    <t>6d85118aa37ea9e8ab4983da8cf7959210f1bf59d8d51874f5b9409cbac48fea</t>
  </si>
  <si>
    <t>{"in":"","DATE":"3/10/2026","IMEI":"","NAME":"TECH BOX","TIME":"","PRICE":"\u20a62,500.00","STATUS":"UNPAID","PAID DATE":"","RECORD_ID":"209292154a5a4943a500435d8bdcec39","Amount paid":"","DESCRIPTION":"DESERT TITANIUM IPHONE 16 PRO IOS UPDATE","PHONE NUMBER":2348169747697,"DEAL LOCATION":"","INTERNAL NOTE":"","EXPENSE AMOUNT":"","CALCULATED PROFIT":"","EXPENSE DESCRIPTION":"","IMEI FOR SWAPPED DEAL":""}</t>
  </si>
  <si>
    <t>d73ab072f2468115b266e6bc3edda6d5cab4b3407f250e5335e8d71a1f513ca0</t>
  </si>
  <si>
    <t>{"in":"","DATE":"3/10/2026","IMEI":353431651842023,"NAME":"ANOINTED WEALTH","TIME":"","PRICE":"\u20a6760,000.00","STATUS":"PAID","PAID DATE":"","RECORD_ID":"42cd3288bdff4924a8f73ae8b3070903","Amount paid":"","DESCRIPTION":"BLUE TITANIUM IPHONE 15 PRO 512GB. 90%","PHONE NUMBER":2348137226383,"DEAL LOCATION":"","INTERNAL NOTE":"","EXPENSE AMOUNT":"","CALCULATED PROFIT":"","EXPENSE DESCRIPTION":"","IMEI FOR SWAPPED DEAL":""}</t>
  </si>
  <si>
    <t>a6579572fef0ae297042f9be38e2bbee07df0d1f0a7acea566c974ac87e33dff</t>
  </si>
  <si>
    <t>{"in":"","DATE":"3/10/2026","IMEI":357247590767121,"NAME":"KAYWISE","TIME":"","PRICE":"\u20a6960,000.00","STATUS":"RETURNED","PAID DATE":"","RECORD_ID":"0434ae3b493b4d80ade903f2a6f5fe7e","Amount paid":"","DESCRIPTION":"LIGHT GOLD IPHONE AIR. 512GB. 100%. LOCKD","PHONE NUMBER":2349032614464,"DEAL LOCATION":"","INTERNAL NOTE":"","EXPENSE AMOUNT":"","CALCULATED PROFIT":"","EXPENSE DESCRIPTION":"","IMEI FOR SWAPPED DEAL":""}</t>
  </si>
  <si>
    <t>9fc8228468e685655f2b5313dba201b8137904e71d95d456664beb508e7603f1</t>
  </si>
  <si>
    <t>{"in":"","DATE":"3/10/2026","IMEI":"","NAME":"OZ GADGET","TIME":"","PRICE":"","STATUS":"..","PAID DATE":"","RECORD_ID":"2d9f2218c1a3421cbf7883919eaeea3e","Amount paid":"","DESCRIPTION":"..","PHONE NUMBER":2348106293924,"DEAL LOCATION":"","INTERNAL NOTE":"","EXPENSE AMOUNT":"","CALCULATED PROFIT":"","EXPENSE DESCRIPTION":"","IMEI FOR SWAPPED DEAL":""}</t>
  </si>
  <si>
    <t>d65fd8e0764fcd47f5ae4fb792360501b9bd289b48bd2c9e72bd87eace981377</t>
  </si>
  <si>
    <t>{"in":"","DATE":"3/10/2026","IMEI":"","NAME":"FORMULA","TIME":"","PRICE":"\u20a62,500.00","STATUS":"PAID","PAID DATE":"","RECORD_ID":"055a16df76de49f58e24febe80b59252","Amount paid":"\u20a62,500.00","DESCRIPTION":"IPHONE 13 IOS UPDATE. RED","PHONE NUMBER":2347067612418,"DEAL LOCATION":"","INTERNAL NOTE":"","EXPENSE AMOUNT":"","CALCULATED PROFIT":"","EXPENSE DESCRIPTION":"","IMEI FOR SWAPPED DEAL":""}</t>
  </si>
  <si>
    <t>a1e707356e7447abc770c4ccc081b842a76d20389f3d7b9562a3362404f8f165</t>
  </si>
  <si>
    <t>{"in":"","DATE":"3/10/2026","IMEI":"","NAME":"BARRY","TIME":"","PRICE":"\u20a62,500.00","STATUS":"UNPAID","PAID DATE":"","RECORD_ID":"8246aa1d35324b158c566e887120da69","Amount paid":"","DESCRIPTION":"12 IOS UPDATE","PHONE NUMBER":2347031524935,"DEAL LOCATION":"","INTERNAL NOTE":"","EXPENSE AMOUNT":"","CALCULATED PROFIT":"","EXPENSE DESCRIPTION":"","IMEI FOR SWAPPED DEAL":""}</t>
  </si>
  <si>
    <t>813d4002c9dd542f1ceee7d91f572d6f06fddadb0d9e001fa9aaf5b085981f5f</t>
  </si>
  <si>
    <t>{"in":"","DATE":"3/10/2026","IMEI":353980107564250,"NAME":"BIGSAM","TIME":"","PRICE":"\u20a6240,000.00","STATUS":"PAID","PAID DATE":"","RECORD_ID":"bd6e82ecd7714472891658937b288781","Amount paid":"","DESCRIPTION":"IPHONE 11. BLACK. 64GB. 91%","PHONE NUMBER":"","DEAL LOCATION":"","INTERNAL NOTE":"","EXPENSE AMOUNT":"","CALCULATED PROFIT":"","EXPENSE DESCRIPTION":"","IMEI FOR SWAPPED DEAL":""}</t>
  </si>
  <si>
    <t>ad0565b86ec70a1ef02c7a18ceaa3091d96a4794f7d14f54c7f4bbb483f93507</t>
  </si>
  <si>
    <t>{"in":"","DATE":"3/10/2026","IMEI":"","NAME":"PANKYGEE","TIME":"","PRICE":"\u20a62,500.00","STATUS":"PAID","PAID DATE":"","RECORD_ID":"555843770f2540ab945084a53059982d","Amount paid":"","DESCRIPTION":"YELLOW IPHONE 15 FIX","PHONE NUMBER":2347052247397,"DEAL LOCATION":"","INTERNAL NOTE":"","EXPENSE AMOUNT":"","CALCULATED PROFIT":"","EXPENSE DESCRIPTION":"","IMEI FOR SWAPPED DEAL":""}</t>
  </si>
  <si>
    <t>b8fa882f0038bbeb102704e48890813d09a39d7ffe97ab94aa7b0ceeab68f8d7</t>
  </si>
  <si>
    <t>{"in":"","DATE":"3/10/2026","IMEI":"","NAME":"FORMULA","TIME":"","PRICE":"\u20a62,500.00","STATUS":"PAID","PAID DATE":"","RECORD_ID":"ed364fe2925f44ee85a72dd68b9f21f1","Amount paid":"\u20a62,500.00","DESCRIPTION":"BLACK IPHONE 14 PRO UPDATE","PHONE NUMBER":2347067612418,"DEAL LOCATION":"","INTERNAL NOTE":"","EXPENSE AMOUNT":"","CALCULATED PROFIT":"","EXPENSE DESCRIPTION":"","IMEI FOR SWAPPED DEAL":""}</t>
  </si>
  <si>
    <t>6b0ad9628a7b1b03e3a30905cbfdf2eb330c747b1358f07a2dc2a0748333232b</t>
  </si>
  <si>
    <t>{"in":"","DATE":"3/10/2026","IMEI":354276354227868,"NAME":" DAH UNIQUE","TIME":"","PRICE":"\u20a61,170,000.00","STATUS":"PAID","PAID DATE":"","RECORD_ID":"9135f0dd624f4461b1a70c43a2b0ac46","Amount paid":"","DESCRIPTION":"DESSERT  IPHONE 16 PRO MAX","PHONE NUMBER":2349070536253,"DEAL LOCATION":"","INTERNAL NOTE":"","EXPENSE AMOUNT":"","CALCULATED PROFIT":"","EXPENSE DESCRIPTION":"","IMEI FOR SWAPPED DEAL":""}</t>
  </si>
  <si>
    <t>7bf974005726a04f59b55ab4406a991e01269c99382b7fbec172d5b01cdaf4b3</t>
  </si>
  <si>
    <t>{"in":"","DATE":"3/10/2026","IMEI":"","NAME":"PANKYGEE","TIME":"","PRICE":"\u20a62,500.00","STATUS":"PAID","PAID DATE":"","RECORD_ID":"7d5fa64b9df3450ca575aba93e27ca10","Amount paid":"","DESCRIPTION":"IPHONE 11 PRO MAX IOS UPDATE","PHONE NUMBER":2347052247397,"DEAL LOCATION":"","INTERNAL NOTE":"","EXPENSE AMOUNT":"","CALCULATED PROFIT":"","EXPENSE DESCRIPTION":"","IMEI FOR SWAPPED DEAL":""}</t>
  </si>
  <si>
    <t>44fbf10b9fa6df0ee90d6d28b773e03ef293c733f9d7a9d4f707f5f8a7d28723</t>
  </si>
  <si>
    <t>{"in":"","DATE":"....","IMEI":"...","NAME":"....","TIME":"","PRICE":"....","STATUS":"..","PAID DATE":"","RECORD_ID":"0eb8c67dae8a4a3b91ccc40351b34228","Amount paid":"","DESCRIPTION":"...","PHONE NUMBER":"","DEAL LOCATION":"","INTERNAL NOTE":"","EXPENSE AMOUNT":"","CALCULATED PROFIT":"","EXPENSE DESCRIPTION":"","IMEI FOR SWAPPED DEAL":""}</t>
  </si>
  <si>
    <t>f5143334d624ac91088fc793fdf3ba6fd82fd2f59cd16de9c2febade16c25774</t>
  </si>
  <si>
    <t>{"in":"","DATE":"....","IMEI":"...","NAME":"....","TIME":"","PRICE":"....","STATUS":"..","PAID DATE":"","RECORD_ID":"15e6fe55bdd340379f48495462107f55","Amount paid":"","DESCRIPTION":"...","PHONE NUMBER":"","DEAL LOCATION":"","INTERNAL NOTE":"","EXPENSE AMOUNT":"","CALCULATED PROFIT":"","EXPENSE DESCRIPTION":"","IMEI FOR SWAPPED DEAL":""}</t>
  </si>
  <si>
    <t>f826306c9ea524d3a151ee553521ebf21848ab1dad951e8f384d9d5c88e62193</t>
  </si>
  <si>
    <t>{"in":"","DATE":"....","IMEI":"...","NAME":"....","TIME":"","PRICE":"....","STATUS":"..","PAID DATE":"","RECORD_ID":"314dfc0aa92c4a2db760ad5746383be8","Amount paid":"","DESCRIPTION":"...","PHONE NUMBER":"","DEAL LOCATION":"","INTERNAL NOTE":"","EXPENSE AMOUNT":"","CALCULATED PROFIT":"","EXPENSE DESCRIPTION":"","IMEI FOR SWAPPED DEAL":""}</t>
  </si>
  <si>
    <t>46c2525ba25f21e56a0535942e032c4f6bf80036e9d3ecd7229aca4abe35067d</t>
  </si>
  <si>
    <t>{"in":"","DATE":"....","IMEI":"...","NAME":"....","TIME":"","PRICE":"....","STATUS":"..","PAID DATE":"","RECORD_ID":"d20f20a81abb46e1ae9ced10ef66d866","Amount paid":"","DESCRIPTION":"...","PHONE NUMBER":"","DEAL LOCATION":"","INTERNAL NOTE":"","EXPENSE AMOUNT":"","CALCULATED PROFIT":"","EXPENSE DESCRIPTION":"","IMEI FOR SWAPPED DEAL":""}</t>
  </si>
  <si>
    <t>7ba3d044838ac1828a82c71c1ea60bc90a2be66de4950744b8cd7f8412cf27e5</t>
  </si>
  <si>
    <t>{"in":"","DATE":"3/11/2026","IMEI":"","NAME":"PANKY GEE","TIME":"","PRICE":"\u20a62,500.00","STATUS":"PAID","PAID DATE":"","RECORD_ID":"b09ce39775cf422db85632e504bbf7a6","Amount paid":"","DESCRIPTION":"SILVER IPHONE 17 PRO MAX IOS UPDATE","PHONE NUMBER":"","DEAL LOCATION":"","INTERNAL NOTE":"","EXPENSE AMOUNT":"","CALCULATED PROFIT":"","EXPENSE DESCRIPTION":"","IMEI FOR SWAPPED DEAL":""}</t>
  </si>
  <si>
    <t>f95ab28875bc91a0ab07599b532272857c647d46de99ba2438c4dcd9198000d6</t>
  </si>
  <si>
    <t>TUNDE</t>
  </si>
  <si>
    <t>{"in":"","DATE":"3/11/2026","IMEI":353730795949093,"NAME":"TUNDE ","TIME":"","PRICE":"\u20a6610,000.00","STATUS":"PAID","PAID DATE":"","RECORD_ID":"b6f475aadd984519a8089ce4ad105027","Amount paid":"\u20a6610,000.00","DESCRIPTION":"SPACE BLACK  IPHONE14 PRO ","PHONE NUMBER":"","DEAL LOCATION":"","INTERNAL NOTE":"","EXPENSE AMOUNT":"","CALCULATED PROFIT":"","EXPENSE DESCRIPTION":"","IMEI FOR SWAPPED DEAL":""}</t>
  </si>
  <si>
    <t>24bbf80174d0d14727594e64c3ef14a88abef619bf844733b2392dffcb7fbc81</t>
  </si>
  <si>
    <t>{"in":"","DATE":"3/11/2026","IMEI":"","NAME":"MASTERY MOBILE","TIME":"","PRICE":"\u20a62,500.00","STATUS":"paid","PAID DATE":"","RECORD_ID":"66504c8e86224fdfba33790e0cf63ad7","Amount paid":"\u20a62,500.00","DESCRIPTION":"BLUE TITANIUM IPHONE 15 PRO MAX FIX","PHONE NUMBER":2348027964718,"DEAL LOCATION":"","INTERNAL NOTE":"","EXPENSE AMOUNT":"","CALCULATED PROFIT":"","EXPENSE DESCRIPTION":"","IMEI FOR SWAPPED DEAL":""}</t>
  </si>
  <si>
    <t>a3a7d665561d46d4885517063d2b38f0464d5116d80e432f38ac3fdc795de7f8</t>
  </si>
  <si>
    <t>{"in":"","DATE":"3/11/2026","IMEI":353835083710550,"NAME":"SPENCER GADGET","TIME":"","PRICE":"\u20a670,000.00","STATUS":"PAID","PAID DATE":"","RECORD_ID":"8b234f34713443b2a2a2767f03a3f3ba","Amount paid":"","DESCRIPTION":"SIUVER IPHONE 7","PHONE NUMBER":"","DEAL LOCATION":"","INTERNAL NOTE":"","EXPENSE AMOUNT":"","CALCULATED PROFIT":"","EXPENSE DESCRIPTION":"","IMEI FOR SWAPPED DEAL":""}</t>
  </si>
  <si>
    <t>4a08ce71a89ff158bd10af2f03c50179f2589714b093353cd4d2d10291f29047</t>
  </si>
  <si>
    <t>{"in":"","DATE":"3/11/2026","IMEI":351582379112024,"NAME":"PRINZE GADGET","TIME":"","PRICE":"\u20a6610,000.00","STATUS":"RETURNED","PAID DATE":"","RECORD_ID":"7a6309055a404e4e818a567dc76ce82b","Amount paid":"\u20a6610,000.00","DESCRIPTION":" iPhone 16 Black 128GB 92%","PHONE NUMBER":"","DEAL LOCATION":"","INTERNAL NOTE":"","EXPENSE AMOUNT":"","CALCULATED PROFIT":"","EXPENSE DESCRIPTION":"","IMEI FOR SWAPPED DEAL":""}</t>
  </si>
  <si>
    <t>7106f9b31a9f24a661d8223d27899709059c672834921d2dd91cafb873a1a6a8</t>
  </si>
  <si>
    <t>{"in":"","DATE":"3/11/2026","IMEI":355660520873581,"NAME":"FAV TECH","TIME":"","PRICE":"\u20a6465,000.00","STATUS":"PAID","PAID DATE":"","RECORD_ID":"c0eae49ea76e41a4af2b19d8ae84cfe3","Amount paid":"\u20a6465,000.00","DESCRIPTION":"IPHONE 12 PRO MAX. 256GB. SILVER. 90%. ICM","PHONE NUMBER":"","DEAL LOCATION":"","INTERNAL NOTE":"","EXPENSE AMOUNT":"","CALCULATED PROFIT":"","EXPENSE DESCRIPTION":"","IMEI FOR SWAPPED DEAL":""}</t>
  </si>
  <si>
    <t>484a9ce9a1958401e5736dad4cc445e04f8e741c7349fcbdc574eac3819ac0c4</t>
  </si>
  <si>
    <t>{"in":"","DATE":"3/11/2026","IMEI":"","NAME":"TUNDE BABZ","TIME":"","PRICE":"\u20a62,500.00","STATUS":"PAID","PAID DATE":"","RECORD_ID":"82356d2e277d4479b1484775305980ec","Amount paid":"\u20a62,500.00","DESCRIPTION":"NATURAL TITANIUM 15 PRO MAX IOS UPDATE","PHONE NUMBER":2348130793960,"DEAL LOCATION":"","INTERNAL NOTE":"","EXPENSE AMOUNT":"","CALCULATED PROFIT":"","EXPENSE DESCRIPTION":"","IMEI FOR SWAPPED DEAL":""}</t>
  </si>
  <si>
    <t>20a6f60ed0feae9b291844b01f6c7e51562ddc8b172e46c361f0d1b7b343563f</t>
  </si>
  <si>
    <t>{"in":"","DATE":"3/11/2026","IMEI":"","NAME":"MZEE","TIME":"","PRICE":"\u20a62,500.00","STATUS":"RETURNED","PAID DATE":"","RECORD_ID":"67c41d8736024772a3b70ca73891f066","Amount paid":"\u20a60.00","DESCRIPTION":"BLUE IPHONE 17 PRO IOS UPDATE","PHONE NUMBER":2349038935833,"DEAL LOCATION":"","INTERNAL NOTE":"","EXPENSE AMOUNT":"","CALCULATED PROFIT":"","EXPENSE DESCRIPTION":"","IMEI FOR SWAPPED DEAL":""}</t>
  </si>
  <si>
    <t>e22fada441a982ef724e00e292fef738d59551d124625aeaf0ad3aeb77c54824</t>
  </si>
  <si>
    <t>{"in":"","DATE":"3/11/2026","IMEI":"","NAME":"EMM GUY","TIME":"","PRICE":"\u20a610,000.00","STATUS":"RETURNED","PAID DATE":"","RECORD_ID":"ece0b30625ac44438001340fac0bfa36","Amount paid":"\u20a60.00","DESCRIPTION":"GOOGLE DRIVE VIDEO UPLOAD","PHONE NUMBER":2347040405109,"DEAL LOCATION":"","INTERNAL NOTE":"","EXPENSE AMOUNT":"","CALCULATED PROFIT":"","EXPENSE DESCRIPTION":"","IMEI FOR SWAPPED DEAL":""}</t>
  </si>
  <si>
    <t>ac61935e038b8b873e2df90ca544d12ed7cc7807ff06e9564cc40ce8492803de</t>
  </si>
  <si>
    <t>{"in":"","DATE":"....","IMEI":"...","NAME":"....","TIME":"","PRICE":"....","STATUS":"..","PAID DATE":"","RECORD_ID":"cf757b90c81245eaaacd86732e43dc67","Amount paid":"","DESCRIPTION":"...","PHONE NUMBER":"","DEAL LOCATION":"","INTERNAL NOTE":"","EXPENSE AMOUNT":"","CALCULATED PROFIT":"","EXPENSE DESCRIPTION":"","IMEI FOR SWAPPED DEAL":""}</t>
  </si>
  <si>
    <t>9aa9ca75ca76e60f5ab843c56f2105702cdc72e8318c56cce66982c4edc32a32</t>
  </si>
  <si>
    <t>{"in":"","DATE":"....","IMEI":"...","NAME":"....","TIME":"","PRICE":"....","STATUS":"..","PAID DATE":"","RECORD_ID":"acf10e7598c24d018cd568ebe2b9c225","Amount paid":"","DESCRIPTION":"...","PHONE NUMBER":"","DEAL LOCATION":"","INTERNAL NOTE":"","EXPENSE AMOUNT":"","CALCULATED PROFIT":"","EXPENSE DESCRIPTION":"","IMEI FOR SWAPPED DEAL":""}</t>
  </si>
  <si>
    <t>0e2ed632af0f0a70d05240036e31c6e71aeea274260c22f0df63865a2f9ae437</t>
  </si>
  <si>
    <t>{"in":"","DATE":"....","IMEI":"...","NAME":"....","TIME":"","PRICE":"....","STATUS":"..","PAID DATE":"","RECORD_ID":"1f94709cc412444290cf66a5a86bb309","Amount paid":"","DESCRIPTION":"...","PHONE NUMBER":"","DEAL LOCATION":"","INTERNAL NOTE":"","EXPENSE AMOUNT":"","CALCULATED PROFIT":"","EXPENSE DESCRIPTION":"","IMEI FOR SWAPPED DEAL":""}</t>
  </si>
  <si>
    <t>9dc372c2d9f056085443f14bee9464f1a43031285d023dd2459cfacf97cfbcbc</t>
  </si>
  <si>
    <t>{"in":"","DATE":"....","IMEI":"...","NAME":"....","TIME":"","PRICE":"....","STATUS":"..","PAID DATE":"","RECORD_ID":"8d5c118c367a402780067ba575f2e919","Amount paid":"","DESCRIPTION":"...","PHONE NUMBER":"","DEAL LOCATION":"","INTERNAL NOTE":"","EXPENSE AMOUNT":"","CALCULATED PROFIT":"","EXPENSE DESCRIPTION":"","IMEI FOR SWAPPED DEAL":""}</t>
  </si>
  <si>
    <t>8fbd1b243b9662444bba6dc56dfa2b133212cb275ebc321abc1e590b008940f6</t>
  </si>
  <si>
    <t>{"in":"","DATE":"3/12/2026","IMEI":"","NAME":"RAYMOND","TIME":"","PRICE":"\u20a6195,000.00","STATUS":"RETURNED","PAID DATE":"","RECORD_ID":"bd63cea299f54e0096c66f2e343ce0a8","Amount paid":"\u20a60.00","DESCRIPTION":"SAMSUNG GALAXY S21 8GB + 128GB","PHONE NUMBER":2349161048040,"DEAL LOCATION":"","INTERNAL NOTE":"","EXPENSE AMOUNT":"","CALCULATED PROFIT":"","EXPENSE DESCRIPTION":"","IMEI FOR SWAPPED DEAL":""}</t>
  </si>
  <si>
    <t>7046b5be9e63771cf59134c06800808f06c9078a2f2608f4c6d2d4e2069afafa</t>
  </si>
  <si>
    <t>2026-03-12T00:00:00+01:00</t>
  </si>
  <si>
    <t>{"in":"","DATE":"3/12/2026","IMEI":"","NAME":"DAH UNIQUE","TIME":"","PRICE":"\u20a62,500.00","STATUS":"PAID","PAID DATE":"","RECORD_ID":"8681b57b26654437973b935a11cd6741","Amount paid":"\u20a60.00","DESCRIPTION":"PINK IPHONE 16 IOS UPDATE","PHONE NUMBER":2349070536253,"DEAL LOCATION":"","INTERNAL NOTE":"","EXPENSE AMOUNT":"","CALCULATED PROFIT":"","EXPENSE DESCRIPTION":"","IMEI FOR SWAPPED DEAL":""}</t>
  </si>
  <si>
    <t>c1b4b95f4068002f6dcd039b5556d82c88a3d11470b670198f198ad40d6377a4</t>
  </si>
  <si>
    <t>{"in":"","DATE":"3/12/2026","IMEI":"","NAME":"ZEE TECH","TIME":"","PRICE":"\u20a6960,000.00","STATUS":"RETURNED","PAID DATE":"","RECORD_ID":"45f24e4cb9874837b182ddb775867069","Amount paid":"","DESCRIPTION":"LIGHT GOLD IPHONE AIR. 512GB. 100%. OPENED BOX","PHONE NUMBER":2349033724061,"DEAL LOCATION":"","INTERNAL NOTE":"","EXPENSE AMOUNT":"","CALCULATED PROFIT":"","EXPENSE DESCRIPTION":"","IMEI FOR SWAPPED DEAL":""}</t>
  </si>
  <si>
    <t>b81b842f591c3f03bd3e50f5a10b6de242187375f9e49fd8c2054e29b4bd918a</t>
  </si>
  <si>
    <t>{"in":"","DATE":"3/12/2026","IMEI":"","NAME":"CUSTOMER","TIME":"","PRICE":"\u20a62,500.00","STATUS":"PAID","PAID DATE":"","RECORD_ID":"6b30c5df99ec424dbd691b44b472c2f1","Amount paid":"\u20a62,500.00","DESCRIPTION":"GREEN I11 IOS UPDATE","PHONE NUMBER":2341234567890,"DEAL LOCATION":"","INTERNAL NOTE":"","EXPENSE AMOUNT":"","CALCULATED PROFIT":"","EXPENSE DESCRIPTION":"","IMEI FOR SWAPPED DEAL":""}</t>
  </si>
  <si>
    <t>6414f3cb5bd23e92ce86068a8a93a1f8aaabf8d94bc53abddcf6d86d1bfbde2a</t>
  </si>
  <si>
    <t>{"in":"","DATE":"3/12/2026","IMEI":"","NAME":"MD GADGS","TIME":"","PRICE":"\u20a610,000.00","STATUS":"paid","PAID DATE":"","RECORD_ID":"34b8d6ee3cf14e73b43f38fbaaaa09bd","Amount paid":"\u20a610,000.00","DESCRIPTION":"ALPING GREEN IPHONE 13 MDM BYPASS","PHONE NUMBER":2348166860603,"DEAL LOCATION":"","INTERNAL NOTE":"","EXPENSE AMOUNT":"","CALCULATED PROFIT":"","EXPENSE DESCRIPTION":"","IMEI FOR SWAPPED DEAL":""}</t>
  </si>
  <si>
    <t>34df0ffd934bb66064f2bcc40a2e155481dfbf9ba2a6b00adbd4baec332402e5</t>
  </si>
  <si>
    <t>{"in":"","DATE":"3/12/2026","IMEI":"","NAME":"CH4 REP","TIME":"","PRICE":"\u20a62,500.00","STATUS":"PAID","PAID DATE":"","RECORD_ID":"130f670c19284b44938f85f56aaecc46","Amount paid":"\u20a62,500.00","DESCRIPTION":"16 PRO MAX IOS UPDATE","PHONE NUMBER":2348109659193,"DEAL LOCATION":"","INTERNAL NOTE":"","EXPENSE AMOUNT":"","CALCULATED PROFIT":"","EXPENSE DESCRIPTION":"","IMEI FOR SWAPPED DEAL":""}</t>
  </si>
  <si>
    <t>3e11d189efd3eb7bb76672acf59ae0cf0f85d4263b6eec3d625cac4da0138a0e</t>
  </si>
  <si>
    <t>{"in":"","DATE":"3/12/2026","IMEI":351582379112024,"NAME":"PRINZE GADGET","TIME":"","PRICE":"\u20a6760,000.00","STATUS":"PAID","PAID DATE":"","RECORD_ID":"c5ed47a7d34c4bd28b75af1705df06d9","Amount paid":"\u20a6760,000.00","DESCRIPTION":" iPhone 16 Black 128GB 92%","PHONE NUMBER":"","DEAL LOCATION":"","INTERNAL NOTE":"","EXPENSE AMOUNT":"","CALCULATED PROFIT":"","EXPENSE DESCRIPTION":"","IMEI FOR SWAPPED DEAL":""}</t>
  </si>
  <si>
    <t>4aa3c1458b98fd4b9364bdf005e0067917103ae04b7179d77e274dd3224927ae</t>
  </si>
  <si>
    <t>{"in":"","DATE":"3/12/2026","IMEI":"","NAME":"FOLAKEMI BAHMS","TIME":"","PRICE":"\u20a63,000.00","STATUS":"PAID","PAID DATE":"","RECORD_ID":"6d55ca081ba74ad7a45cb99b45eb2580","Amount paid":"\u20a63,000.00","DESCRIPTION":"IPHONE 16 PRO IOS UODATE","PHONE NUMBER":"","DEAL LOCATION":"","INTERNAL NOTE":"","EXPENSE AMOUNT":"","CALCULATED PROFIT":"","EXPENSE DESCRIPTION":"","IMEI FOR SWAPPED DEAL":""}</t>
  </si>
  <si>
    <t>62a11085d1102f37e8d67dbd660348499cd9f7050992c30f55d3d1ec0cb578d4</t>
  </si>
  <si>
    <t>{"in":"","DATE":"3/12/2026","IMEI":"","NAME":"SALVAGE YARD","TIME":"","PRICE":"\u20a63,000.00","STATUS":"PAID","PAID DATE":"","RECORD_ID":"634660d1cdb743e0a5a320aa11dc603b","Amount paid":"\u20a63,000.00","DESCRIPTION":"WHITE IPHONE 15 UPDATE","PHONE NUMBER":2348115308158,"DEAL LOCATION":"","INTERNAL NOTE":"","EXPENSE AMOUNT":"","CALCULATED PROFIT":"","EXPENSE DESCRIPTION":"","IMEI FOR SWAPPED DEAL":""}</t>
  </si>
  <si>
    <t>4053f5c09b41b8c94a593e46c43aba08131948ecd183d0a854ae4e0f10dc222a</t>
  </si>
  <si>
    <t>{"in":"","DATE":"3/12/2026","IMEI":"","NAME":"MBENZ","TIME":"","PRICE":"\u20a6340,000.00","STATUS":"PAID","PAID DATE":"","RECORD_ID":"5877a9706d15447fb78121b0a385a275","Amount paid":"\u20a6340,000.00","DESCRIPTION":"IPHONE 11 PRO. 256GB","PHONE NUMBER":2349137123168,"DEAL LOCATION":"","INTERNAL NOTE":"","EXPENSE AMOUNT":"","CALCULATED PROFIT":"","EXPENSE DESCRIPTION":"","IMEI FOR SWAPPED DEAL":""}</t>
  </si>
  <si>
    <t>261726a90edb93e03cf8b67f0911f9e06cc3f3aa4a9d42c3076e887575256c55</t>
  </si>
  <si>
    <t>{"in":"","DATE":"3/12/2026","IMEI":"","NAME":"NURUDEEN","TIME":"","PRICE":"\u20a62,500.00","STATUS":"PAID","PAID DATE":"","RECORD_ID":"8aa5c81afc6e45eabe0e663a81c68696","Amount paid":"\u20a62,500.00","DESCRIPTION":"14 PRO IOS UPDATE","PHONE NUMBER":9122727950,"DEAL LOCATION":"","INTERNAL NOTE":"","EXPENSE AMOUNT":"","CALCULATED PROFIT":"","EXPENSE DESCRIPTION":"","IMEI FOR SWAPPED DEAL":""}</t>
  </si>
  <si>
    <t>522c9ad3c15f96297fc26cfc5fa95999f9f010e793cc1d3f465159f404e559d5</t>
  </si>
  <si>
    <t>{"in":"","DATE":"3/12/2026","IMEI":",,","NAME":"FINANCE FX","TIME":"","PRICE":",,","STATUS":",","PAID DATE":"","RECORD_ID":"89ea294ba413438bb470ab9262b9f699","Amount paid":",","DESCRIPTION":"IPHONE 11 PRO. LOCKED. MIDNIGHT GREEN. 89%","PHONE NUMBER":"","DEAL LOCATION":"","INTERNAL NOTE":"","EXPENSE AMOUNT":"","CALCULATED PROFIT":"","EXPENSE DESCRIPTION":"","IMEI FOR SWAPPED DEAL":""}</t>
  </si>
  <si>
    <t>c9ad2d9ebe898c9e591e5a285bee72f47d665e089b605c9bc4c0440babd350ca</t>
  </si>
  <si>
    <t>{"in":"","DATE":",","IMEI":",,","NAME":",,","TIME":"","PRICE":",,","STATUS":",","PAID DATE":"","RECORD_ID":"4574925fdf314716bfc5b08fee65b197","Amount paid":",","DESCRIPTION":",,","PHONE NUMBER":"","DEAL LOCATION":"","INTERNAL NOTE":"","EXPENSE AMOUNT":"","CALCULATED PROFIT":"","EXPENSE DESCRIPTION":"","IMEI FOR SWAPPED DEAL":""}</t>
  </si>
  <si>
    <t>688cee8838be4955228457b9965f980129d9901dceb9e4a270a71eb906ea3845</t>
  </si>
  <si>
    <t>{"in":"","DATE":"....","IMEI":"...","NAME":"....","TIME":"","PRICE":"....","STATUS":"..","PAID DATE":"","RECORD_ID":"bbc0409fe5e542ba815ab581088f8306","Amount paid":"","DESCRIPTION":"...","PHONE NUMBER":"","DEAL LOCATION":"","INTERNAL NOTE":"","EXPENSE AMOUNT":"","CALCULATED PROFIT":"","EXPENSE DESCRIPTION":"","IMEI FOR SWAPPED DEAL":""}</t>
  </si>
  <si>
    <t>3c88c99bcfaa05fd6f89aca659382525ebb3b9fe95c6dbe514598b4aa4404bfd</t>
  </si>
  <si>
    <t>{"in":"","DATE":"....","IMEI":"...","NAME":"....","TIME":"","PRICE":"....","STATUS":"..","PAID DATE":"","RECORD_ID":"44d9023cac98494e88736da6bf11f70d","Amount paid":"","DESCRIPTION":"...","PHONE NUMBER":"","DEAL LOCATION":"","INTERNAL NOTE":"","EXPENSE AMOUNT":"","CALCULATED PROFIT":"","EXPENSE DESCRIPTION":"","IMEI FOR SWAPPED DEAL":""}</t>
  </si>
  <si>
    <t>325a33c5eb6591835169d3b91d8768bc576181aed1e572f9f8e66718d1a21a6e</t>
  </si>
  <si>
    <t>{"in":"","DATE":"....","IMEI":"...","NAME":"....","TIME":"","PRICE":"....","STATUS":"..","PAID DATE":"","RECORD_ID":"1d5004c162b54b3aaf311e27c4a45f7e","Amount paid":"","DESCRIPTION":"...","PHONE NUMBER":"","DEAL LOCATION":"","INTERNAL NOTE":"","EXPENSE AMOUNT":"","CALCULATED PROFIT":"","EXPENSE DESCRIPTION":"","IMEI FOR SWAPPED DEAL":""}</t>
  </si>
  <si>
    <t>375e18fd908f668bbe400ac7589c76cf9fc695b02ca804366b4f11558ee62ae8</t>
  </si>
  <si>
    <t>{"in":"","DATE":"....","IMEI":"...","NAME":"....","TIME":"","PRICE":"....","STATUS":"..","PAID DATE":"","RECORD_ID":"493ec1cd13d543d693467ea2278fafa6","Amount paid":"","DESCRIPTION":"...","PHONE NUMBER":"","DEAL LOCATION":"","INTERNAL NOTE":"","EXPENSE AMOUNT":"","CALCULATED PROFIT":"","EXPENSE DESCRIPTION":"","IMEI FOR SWAPPED DEAL":""}</t>
  </si>
  <si>
    <t>fbc208faee07bc41b131eca7f44cd355d0d1d80e8d76198f8f532b74e56bfa2e</t>
  </si>
  <si>
    <t>2026-03-13T00:00:00+01:00</t>
  </si>
  <si>
    <t>{"in":"","DATE":"3/13/2026","IMEI":"","NAME":"IFEKITAN","TIME":"","PRICE":"\u20a62,500.00","STATUS":"PAID","PAID DATE":"","RECORD_ID":"3b28fb3de2cf43e39a08717951344852","Amount paid":"\u20a62,500.00","DESCRIPTION":"IPHONE AIR IOS UPDATE","PHONE NUMBER":"","DEAL LOCATION":"","INTERNAL NOTE":"","EXPENSE AMOUNT":"","CALCULATED PROFIT":"","EXPENSE DESCRIPTION":"","IMEI FOR SWAPPED DEAL":""}</t>
  </si>
  <si>
    <t>b9c76da05786f873da7c044550869f831b8271581ca5cb21e107ea30e41eb290</t>
  </si>
  <si>
    <t>{"in":"","DATE":"3/13/2026","IMEI":"","NAME":"MZEE","TIME":"","PRICE":"\u20a62,500.00","STATUS":"PAID","PAID DATE":"","RECORD_ID":"982a9aa4b9c744cfb4e509a806d0efd0","Amount paid":"\u20a60.00","DESCRIPTION":"12 IOS UPDATE","PHONE NUMBER":2349038935833,"DEAL LOCATION":"","INTERNAL NOTE":"","EXPENSE AMOUNT":"","CALCULATED PROFIT":"","EXPENSE DESCRIPTION":"","IMEI FOR SWAPPED DEAL":""}</t>
  </si>
  <si>
    <t>6cef4617b16e476d5ef23376ecb729e6519880044e42769a28042be407b8df91</t>
  </si>
  <si>
    <t>{"in":"","DATE":"3/13/2026","IMEI":"","NAME":"BAHMS","TIME":"","PRICE":"\u20a6700,000.00","STATUS":"RETURNED","PAID DATE":"","RECORD_ID":"bd3c693cb0834b1bb6294e3e0940aabf","Amount paid":"\u20a60.00","DESCRIPTION":"14 PRO MAX. BLACK. P + E. 256GB","PHONE NUMBER":2349069477050,"DEAL LOCATION":"","INTERNAL NOTE":"","EXPENSE AMOUNT":"","CALCULATED PROFIT":"","EXPENSE DESCRIPTION":"","IMEI FOR SWAPPED DEAL":""}</t>
  </si>
  <si>
    <t>23ab91889a5b98338a702fa2d19d9eb8b83045e217abb13c13e872c88febea7b</t>
  </si>
  <si>
    <t>{"in":"","DATE":"3/13/2026","IMEI":"","NAME":"OLAJIRE","TIME":"","PRICE":"\u20a62,500.00","STATUS":"PAID","PAID DATE":"","RECORD_ID":"5e0d50f90c274a2094052ee2450ed50a","Amount paid":"\u20a62,500.00","DESCRIPTION":"IPHONE 11 IOS UPDATE. BLACK","PHONE NUMBER":2348146725021,"DEAL LOCATION":"","INTERNAL NOTE":"","EXPENSE AMOUNT":"","CALCULATED PROFIT":"","EXPENSE DESCRIPTION":"","IMEI FOR SWAPPED DEAL":""}</t>
  </si>
  <si>
    <t>65e5e4a1a27bfd2e4269aa4f44a47ccecb503dd31f31f1a0937fb0c75b7fbea3</t>
  </si>
  <si>
    <t>{"in":"","DATE":"3/13/2026","IMEI":350340252616483,"NAME":"BAHMS","TIME":"","PRICE":"\u20a6810,000.00","STATUS":"RETURNED","PAID DATE":"","RECORD_ID":"ee84bd0557724cc8ae1594570acc4696","Amount paid":"\u20a60.00","DESCRIPTION":" iPhone 16 Ultramarine 256GB 91%","PHONE NUMBER":2349069477050,"DEAL LOCATION":"","INTERNAL NOTE":"","EXPENSE AMOUNT":"","CALCULATED PROFIT":"","EXPENSE DESCRIPTION":"","IMEI FOR SWAPPED DEAL":""}</t>
  </si>
  <si>
    <t>5f6f07a5fd41cee200beb45bed09506293fc454f4d8bcee1fca2f186d537c3a8</t>
  </si>
  <si>
    <t>{"in":"","DATE":"3/13/2026","IMEI":"","NAME":"ZEE TECH","TIME":"","PRICE":"\u20a62,500.00","STATUS":"PAID","PAID DATE":"","RECORD_ID":"323eb501b32347239e0c5d527a3e548a","Amount paid":"\u20a62,500.00","DESCRIPTION":"IPHONE 14 PRO IOS UPDATE. SILVER","PHONE NUMBER":2349033724061,"DEAL LOCATION":"","INTERNAL NOTE":"","EXPENSE AMOUNT":"","CALCULATED PROFIT":"","EXPENSE DESCRIPTION":"","IMEI FOR SWAPPED DEAL":""}</t>
  </si>
  <si>
    <t>b711c3cb62ff924ec4a020732dee480278e95fd6c4d90bcdfb91209a7032f162</t>
  </si>
  <si>
    <t>{"in":"","DATE":"3/13/2026","IMEI":"","NAME":"GADGET TECH","TIME":"","PRICE":"\u20a62,500.00","STATUS":"PAID","PAID DATE":"","RECORD_ID":"d9cbfb1aab144a6bbea503b3f2053c5f","Amount paid":"\u20a62,500.00","DESCRIPTION":"SCREEN PROTECTOR IPHONE 13","PHONE NUMBER":2347025185247,"DEAL LOCATION":"","INTERNAL NOTE":"","EXPENSE AMOUNT":"","CALCULATED PROFIT":"","EXPENSE DESCRIPTION":"","IMEI FOR SWAPPED DEAL":""}</t>
  </si>
  <si>
    <t>6f18bc9affb6d9a90e28b9194e51aa796c918c07593da1c6c3d25c4671ceb261</t>
  </si>
  <si>
    <t>{"in":"","DATE":"3/13/2026","IMEI":"","NAME":"HAPY","TIME":"","PRICE":"\u20a65,000.00","STATUS":"PAID","PAID DATE":"","RECORD_ID":"0eef50c74fbf48f889a0071ae032ab81","Amount paid":"\u20a60.00","DESCRIPTION":"APPLE ID SIGN IN ON BYPASSED DEVICE","PHONE NUMBER":"","DEAL LOCATION":"","INTERNAL NOTE":"","EXPENSE AMOUNT":"","CALCULATED PROFIT":"","EXPENSE DESCRIPTION":"","IMEI FOR SWAPPED DEAL":""}</t>
  </si>
  <si>
    <t>541f6476b02cbc8c7626462471d43f824c3bd3c32c78c28364d7023f876fd22c</t>
  </si>
  <si>
    <t>{"in":"","DATE":"3/13/2026","IMEI":"","NAME":"GADGET TECH","TIME":"","PRICE":"\u20a62,500.00","STATUS":"PAID","PAID DATE":"","RECORD_ID":"0ff31ad26da8459f972f0e4d05d2616c","Amount paid":"\u20a62,500.00","DESCRIPTION":"ULTRAMARINE IPHONE 16 FLASH","PHONE NUMBER":2347025185247,"DEAL LOCATION":"","INTERNAL NOTE":"","EXPENSE AMOUNT":"","CALCULATED PROFIT":"","EXPENSE DESCRIPTION":"","IMEI FOR SWAPPED DEAL":""}</t>
  </si>
  <si>
    <t>636dcc1b2a6f19a7b2476e7e4c92647f6d2c5b5cff240639ead080f2b245abdb</t>
  </si>
  <si>
    <t>{"in":"","DATE":"3/13/2026","IMEI":350636270816918,"NAME":"DAMBOX","TIME":"","PRICE":"\u20a6695,000.00","STATUS":"RETURNED","PAID DATE":"","RECORD_ID":"423f1165dc414befa51a7f016101b603","Amount paid":"\u20a60.00","DESCRIPTION":"IPHONE 14 PRO MAX. 256GB. P + E. 81%","PHONE NUMBER":9040943517,"DEAL LOCATION":"","INTERNAL NOTE":"","EXPENSE AMOUNT":"","CALCULATED PROFIT":"","EXPENSE DESCRIPTION":"","IMEI FOR SWAPPED DEAL":""}</t>
  </si>
  <si>
    <t>2ff4cc8115bea9d85b65133c648f538b37166708da0b6d2f189343d1fb17084f</t>
  </si>
  <si>
    <t>{"in":"","DATE":"3/13/2026","IMEI":350340252616483,"NAME":"DAH UNIQUE","TIME":"","PRICE":"\u20a6810,000.00","STATUS":"RETURNED","PAID DATE":"","RECORD_ID":"a3526550f35e4c87a0147dffce53272f","Amount paid":"\u20a60.00","DESCRIPTION":"IPHONE 16. 256GB. UNTRAMARINE. 91%","PHONE NUMBER":2349070536253,"DEAL LOCATION":"","INTERNAL NOTE":"","EXPENSE AMOUNT":"","CALCULATED PROFIT":"","EXPENSE DESCRIPTION":"","IMEI FOR SWAPPED DEAL":""}</t>
  </si>
  <si>
    <t>bf1e2180dab404b5ec1823a188e36f7cf06a10f99033ddfc5867768127a4d8f1</t>
  </si>
  <si>
    <t>{"in":"","DATE":"3/19/2026","IMEI":"","NAME":"BARRY","TIME":"","PRICE":"\u20a612,500.00","STATUS":"UNPAID","PAID DATE":"","RECORD_ID":"dab6acd54189482aa8d53b6291aad0a9","Amount paid":"","DESCRIPTION":"MACBOOK UPDATE AND RELOAD, AND DISPATCH MONEY","PHONE NUMBER":2347031524935,"DEAL LOCATION":"","INTERNAL NOTE":"","EXPENSE AMOUNT":"","CALCULATED PROFIT":"","EXPENSE DESCRIPTION":"","IMEI FOR SWAPPED DEAL":""}</t>
  </si>
  <si>
    <t>7a030d6bea3132b6671d83a2323478e0744d7c35b38ab5a1b816d85f02f56f38</t>
  </si>
  <si>
    <t>{"in":"","DATE":"3/13/2026","IMEI":"","NAME":"ZADDY","TIME":"","PRICE":"\u20a62,500.00","STATUS":"PAID","PAID DATE":"","RECORD_ID":"bddf2b0da0154d6299816d1467d1b4b0","Amount paid":"","DESCRIPTION":"IPHONE 12 PRO UPDATE","PHONE NUMBER":"","DEAL LOCATION":"","INTERNAL NOTE":"","EXPENSE AMOUNT":"","CALCULATED PROFIT":"","EXPENSE DESCRIPTION":"","IMEI FOR SWAPPED DEAL":""}</t>
  </si>
  <si>
    <t>3ee01a87cb1e6809b9c9ca2f2417ba040480d099bdf221f0c03cdecb45272636</t>
  </si>
  <si>
    <t>{"in":"","DATE":"....","IMEI":"...","NAME":"....","TIME":"","PRICE":"....","STATUS":"..","PAID DATE":"","RECORD_ID":"aea4ecb29c414da8b8e28918ab8f0345","Amount paid":"","DESCRIPTION":"...","PHONE NUMBER":"","DEAL LOCATION":"","INTERNAL NOTE":"","EXPENSE AMOUNT":"","CALCULATED PROFIT":"","EXPENSE DESCRIPTION":"","IMEI FOR SWAPPED DEAL":""}</t>
  </si>
  <si>
    <t>ad395874ab1e1f7025d2b9773a91f0d1f82da376b2ee015269d9731b9b05190c</t>
  </si>
  <si>
    <t>{"in":"","DATE":"....","IMEI":"...","NAME":"....","TIME":"","PRICE":"....","STATUS":"..","PAID DATE":"","RECORD_ID":"39b1b700be3a47d0bbcef0931349f93a","Amount paid":"","DESCRIPTION":"...","PHONE NUMBER":"","DEAL LOCATION":"","INTERNAL NOTE":"","EXPENSE AMOUNT":"","CALCULATED PROFIT":"","EXPENSE DESCRIPTION":"","IMEI FOR SWAPPED DEAL":""}</t>
  </si>
  <si>
    <t>080ac97138834cdfff27f85e2f6064d1607284c58248d72146741d80f137b982</t>
  </si>
  <si>
    <t>{"in":"","DATE":"....","IMEI":"...","NAME":"....","TIME":"","PRICE":"....","STATUS":"..","PAID DATE":"","RECORD_ID":"ae7740ab698442f19bf920b61889b3f2","Amount paid":"","DESCRIPTION":"...","PHONE NUMBER":"","DEAL LOCATION":"","INTERNAL NOTE":"","EXPENSE AMOUNT":"","CALCULATED PROFIT":"","EXPENSE DESCRIPTION":"","IMEI FOR SWAPPED DEAL":""}</t>
  </si>
  <si>
    <t>21a7f4b906128861046cd6597a04bb4821ebe953f6ba0b9efa130ae97505a39c</t>
  </si>
  <si>
    <t>{"in":"","DATE":"....","IMEI":"...","NAME":"....","TIME":"","PRICE":"....","STATUS":"..","PAID DATE":"","RECORD_ID":"b99fb447fd9e4473ba8b9b55591c82f4","Amount paid":"","DESCRIPTION":"...","PHONE NUMBER":"","DEAL LOCATION":"","INTERNAL NOTE":"","EXPENSE AMOUNT":"","CALCULATED PROFIT":"","EXPENSE DESCRIPTION":"","IMEI FOR SWAPPED DEAL":""}</t>
  </si>
  <si>
    <t>e58a5b88943105d1f0f0312850f0121d48345bb8dd93e5101477c28f6e17b612</t>
  </si>
  <si>
    <t>{"in":"","DATE":"IPHONE 14","IMEI":350636270816918,"NAME":"BRIGHT DENIS4WARD","TIME":"","PRICE":"\u20a6700,000.00","STATUS":"PAID","PAID DATE":"","RECORD_ID":"ffeee967334d4edf8b6803979b395f2f","Amount paid":"\u20a6700,000.00","DESCRIPTION":"IPHONE 14 PRO MAX. 256GB. P + E. 81%","PHONE NUMBER":"","DEAL LOCATION":"","INTERNAL NOTE":"","EXPENSE AMOUNT":"","CALCULATED PROFIT":"","EXPENSE DESCRIPTION":"","IMEI FOR SWAPPED DEAL":""}</t>
  </si>
  <si>
    <t>0cbada352666a9edd3d7830933f45ca55b0624a39c0983cf742a39708db51c29</t>
  </si>
  <si>
    <t>2026-03-14T00:00:00+01:00</t>
  </si>
  <si>
    <t>{"in":"","DATE":"3/14/2026","IMEI":"","NAME":"DON","TIME":"","PRICE":"\u20a62,500.00","STATUS":"paid","PAID DATE":"","RECORD_ID":"f0d2de8648c84daba53aecb6967e9cef","Amount paid":"\u20a62,500.00","DESCRIPTION":"IPHONE 16 PRO IOS UPDATE","PHONE NUMBER":2348137676322,"DEAL LOCATION":"","INTERNAL NOTE":"","EXPENSE AMOUNT":"","CALCULATED PROFIT":"","EXPENSE DESCRIPTION":"","IMEI FOR SWAPPED DEAL":""}</t>
  </si>
  <si>
    <t>6baa98aa4737bc86727e4ac554ba26b0c4f723520e5ed7ae652861c52fdc373b</t>
  </si>
  <si>
    <t>{"in":"","DATE":"3/14/2026","IMEI":"","NAME":"SEYIFUNMI","TIME":"","PRICE":"\u20a62,500.00","STATUS":"PAID","PAID DATE":"","RECORD_ID":"92eca09e0585451b9f5a0be784794651","Amount paid":"","DESCRIPTION":"IPHONE 16 PRO MAX IOS UPDATE","PHONE NUMBER":2347065500068,"DEAL LOCATION":"","INTERNAL NOTE":"","EXPENSE AMOUNT":"","CALCULATED PROFIT":"","EXPENSE DESCRIPTION":"","IMEI FOR SWAPPED DEAL":""}</t>
  </si>
  <si>
    <t>c31f08e4fa7550ce3655bd435978e409c2825e0ddae6579b3d286361b5c1adfa</t>
  </si>
  <si>
    <t>{"in":"","DATE":"3/14/2026","IMEI":"","NAME":"BIGSAM","TIME":"","PRICE":"\u20a63,000.00","STATUS":"PAID","PAID DATE":"","RECORD_ID":"6e6d3ff66ba24005b2c7a50dac51d1db","Amount paid":"","DESCRIPTION":"IOS LOCATION CHANGE","PHONE NUMBER":"","DEAL LOCATION":"","INTERNAL NOTE":"","EXPENSE AMOUNT":"","CALCULATED PROFIT":"","EXPENSE DESCRIPTION":"","IMEI FOR SWAPPED DEAL":""}</t>
  </si>
  <si>
    <t>9f072dbf34d8b6b27cbb68268bd729912e1b1ad39d6c1fdfc059a16788045394</t>
  </si>
  <si>
    <t>{"in":"","DATE":"3/14/2026","IMEI":"","NAME":"MZEE","TIME":"","PRICE":"\u20a62,500.00","STATUS":"PAID","PAID DATE":"","RECORD_ID":"d357d6beddb24ad4b42d827963c0df7a","Amount paid":"","DESCRIPTION":"IPHONE 15 PRO MAX IOS UPDATE","PHONE NUMBER":2349038935833,"DEAL LOCATION":"","INTERNAL NOTE":"","EXPENSE AMOUNT":"","CALCULATED PROFIT":"","EXPENSE DESCRIPTION":"","IMEI FOR SWAPPED DEAL":""}</t>
  </si>
  <si>
    <t>161acb3e7bcbd5508ecb277fe85901ef7613d864f72d56a98f05a099ee12e0dd</t>
  </si>
  <si>
    <t>{"in":"","DATE":"3/14/2026","IMEI":"","NAME":"TECH JAR","TIME":"","PRICE":"\u20a65,000.00","STATUS":"PAID","PAID DATE":"","RECORD_ID":"86a75b9d97b64e40ba72be927a7c1ff2","Amount paid":"\u20a65,000.00","DESCRIPTION":"IPHONE 14 PLUS SDP FLASH","PHONE NUMBER":2347047512596,"DEAL LOCATION":"","INTERNAL NOTE":"","EXPENSE AMOUNT":"","CALCULATED PROFIT":"","EXPENSE DESCRIPTION":"","IMEI FOR SWAPPED DEAL":""}</t>
  </si>
  <si>
    <t>51bb3b18a2455885c81181c94514b8dbbf0e08bf6f217df131fd40e103986979</t>
  </si>
  <si>
    <t>{"in":"","DATE":"3/14/2026","IMEI":35533808473146,"NAME":"PAPPY TECH","TIME":"","PRICE":"\u20a668,000.00","STATUS":"PAID","PAID DATE":"","RECORD_ID":"127c67e9f1694191a9bee782cbd1d13d","Amount paid":"","DESCRIPTION":"IPHONE 7 32GB SILVER","PHONE NUMBER":2349064677372,"DEAL LOCATION":"","INTERNAL NOTE":"","EXPENSE AMOUNT":"","CALCULATED PROFIT":"","EXPENSE DESCRIPTION":"","IMEI FOR SWAPPED DEAL":""}</t>
  </si>
  <si>
    <t>7270abd94cad9f1ff1c7e542e79f54d4e33e4c9d6cfeafb268bf89700d6fd51b</t>
  </si>
  <si>
    <t>{"in":"","DATE":"3/14/2026","IMEI":356845113678534,"NAME":"RAYMOND","TIME":"","PRICE":"\u20a6140,000.00","STATUS":"PAID","PAID DATE":"","RECORD_ID":"d11a3f909d2b45cdb52ea76637df108e","Amount paid":"\u20a6140,000.00","DESCRIPTION":"IPHONE SE 2ND GEN ","PHONE NUMBER":2349161048040,"DEAL LOCATION":"","INTERNAL NOTE":"","EXPENSE AMOUNT":"","CALCULATED PROFIT":"","EXPENSE DESCRIPTION":"","IMEI FOR SWAPPED DEAL":""}</t>
  </si>
  <si>
    <t>63b3859734059b0bcd5baf78b34b889cde41bc95ad6376bff816b4050007159d</t>
  </si>
  <si>
    <t>{"in":"","DATE":"3/14/2026","IMEI":357247590767121,"NAME":"FORMULA","TIME":"","PRICE":"\u20a6950,000.00","STATUS":"PAID","PAID DATE":"","RECORD_ID":"b0f3c98b7fb5423f85b553a21d6e959e","Amount paid":"","DESCRIPTION":"iPhone Air Light Gold. 100%. 512GB","PHONE NUMBER":2347067612418,"DEAL LOCATION":"","INTERNAL NOTE":"","EXPENSE AMOUNT":"","CALCULATED PROFIT":"","EXPENSE DESCRIPTION":"","IMEI FOR SWAPPED DEAL":""}</t>
  </si>
  <si>
    <t>9ca068236a42f28c8ff2be0da87169f37834cd10bfc83bf551ee1cb6553c0c68</t>
  </si>
  <si>
    <t>{"in":"","DATE":"3/14/2026","IMEI":"","NAME":"ZEE TECH","TIME":"","PRICE":"\u20a62,500.00","STATUS":"PAID","PAID DATE":"","RECORD_ID":"3aa21d4d256e4165a5fc3666e53abe71","Amount paid":"\u20a62,500.00","DESCRIPTION":"iPhone 16 Plus Pink IOS UPDATE","PHONE NUMBER":2349033724061,"DEAL LOCATION":"","INTERNAL NOTE":"","EXPENSE AMOUNT":"","CALCULATED PROFIT":"","EXPENSE DESCRIPTION":"","IMEI FOR SWAPPED DEAL":""}</t>
  </si>
  <si>
    <t>edd8ffb80a7a1012b1745655e247c0c41a48e5f9afd0b683f77166cf668236ce</t>
  </si>
  <si>
    <t>{"in":"","DATE":"3/14/2026","IMEI":"","NAME":"FORMULA","TIME":"","PRICE":"\u20a68,000.00","STATUS":"PAID","PAID DATE":"","RECORD_ID":"c39e0bd90e8f4f1989114de5c972958e","Amount paid":"","DESCRIPTION":"Apple ID Disable Fix","PHONE NUMBER":2347067612418,"DEAL LOCATION":"","INTERNAL NOTE":"","EXPENSE AMOUNT":"","CALCULATED PROFIT":"","EXPENSE DESCRIPTION":"","IMEI FOR SWAPPED DEAL":""}</t>
  </si>
  <si>
    <t>57e1803642075911e7875b8bde377233162ebce4af7204f7a66c944d1cc53b43</t>
  </si>
  <si>
    <t>{"in":"","DATE":"....","IMEI":"...","NAME":"....","TIME":"","PRICE":"....","STATUS":"..","PAID DATE":"","RECORD_ID":"6d595e2007194b8984a7d3c524c807dd","Amount paid":"","DESCRIPTION":"...","PHONE NUMBER":"","DEAL LOCATION":"","INTERNAL NOTE":"","EXPENSE AMOUNT":"","CALCULATED PROFIT":"","EXPENSE DESCRIPTION":"","IMEI FOR SWAPPED DEAL":""}</t>
  </si>
  <si>
    <t>ce346f72bdf8bde640044f27e4e3a72f0ac29ed28dde01e5239f6d7c7cccd5bb</t>
  </si>
  <si>
    <t>{"in":"","DATE":"....","IMEI":"...","NAME":"....","TIME":"","PRICE":"....","STATUS":"..","PAID DATE":"","RECORD_ID":"1f437c370e494020847082301aaaa5c6","Amount paid":"","DESCRIPTION":"...","PHONE NUMBER":"","DEAL LOCATION":"","INTERNAL NOTE":"","EXPENSE AMOUNT":"","CALCULATED PROFIT":"","EXPENSE DESCRIPTION":"","IMEI FOR SWAPPED DEAL":""}</t>
  </si>
  <si>
    <t>b2a4e2d2ffcf65799f2cfccfb2bb1642ab78f1dc923e1598e11b386d50b749a5</t>
  </si>
  <si>
    <t>{"in":"","DATE":"....","IMEI":"...","NAME":"....","TIME":"","PRICE":"....","STATUS":"..","PAID DATE":"","RECORD_ID":"6c7ef942b7794cbfba6a8cfe2dfb791c","Amount paid":"","DESCRIPTION":"...","PHONE NUMBER":"","DEAL LOCATION":"","INTERNAL NOTE":"","EXPENSE AMOUNT":"","CALCULATED PROFIT":"","EXPENSE DESCRIPTION":"","IMEI FOR SWAPPED DEAL":""}</t>
  </si>
  <si>
    <t>50643b7c0a84e1f357f93b021f40ad90ee780444ebaf3ac2b306f5282afa8be3</t>
  </si>
  <si>
    <t>{"in":"","DATE":"....","IMEI":"...","NAME":"....","TIME":"","PRICE":"....","STATUS":"..","PAID DATE":"","RECORD_ID":"5a6c47500f38422fbcabfaaf1901d890","Amount paid":"","DESCRIPTION":"...","PHONE NUMBER":"","DEAL LOCATION":"","INTERNAL NOTE":"","EXPENSE AMOUNT":"","CALCULATED PROFIT":"","EXPENSE DESCRIPTION":"","IMEI FOR SWAPPED DEAL":""}</t>
  </si>
  <si>
    <t>a0ca1f5e7641ed75769fe27097304adfc2385f821330255f2316e709d848f33c</t>
  </si>
  <si>
    <t>2026-03-17T00:00:00+01:00</t>
  </si>
  <si>
    <t>{"in":"","DATE":"3/17/2026","IMEI":354004395226065,"NAME":"DON","TIME":"","PRICE":"\u20a6600,000.00","STATUS":"paid","PAID DATE":"","RECORD_ID":"2cf40026ca2d4cb084bd237086deef5e","Amount paid":"\u20a6600,000.00","DESCRIPTION":"IPHONE 15 . P + E. . BLACK. 128GB. ","PHONE NUMBER":2348137676322,"DEAL LOCATION":"","INTERNAL NOTE":"","EXPENSE AMOUNT":"","CALCULATED PROFIT":"","EXPENSE DESCRIPTION":"","IMEI FOR SWAPPED DEAL":""}</t>
  </si>
  <si>
    <t>df40191034ab3c262f1d5dcf5f6b6b9ef50a98da1da07db8048f1fcc7b9d79bf</t>
  </si>
  <si>
    <t>2026-03-18T00:00:00+01:00</t>
  </si>
  <si>
    <t>{"in":"","DATE":"3/18/2026","IMEI":350517923261142,"NAME":"ZEE TECH","TIME":"","PRICE":"\u20a6195,000.00","STATUS":"PAID","PAID DATE":"","RECORD_ID":"d45766f023404b6186176c4517eb41d9","Amount paid":"\u20a6195,000.00","DESCRIPTION":"SAMSUNG GALAXY S21 8GB + 128GB","PHONE NUMBER":2349033724061,"DEAL LOCATION":"","INTERNAL NOTE":"","EXPENSE AMOUNT":"","CALCULATED PROFIT":"","EXPENSE DESCRIPTION":"","IMEI FOR SWAPPED DEAL":""}</t>
  </si>
  <si>
    <t>41df8e5ce0413963a6f132bd208d8143cdb634e35863c215e332b0b7b18a511c</t>
  </si>
  <si>
    <t>2026-03-19T00:00:00+01:00</t>
  </si>
  <si>
    <t>{"in":"","DATE":"3/19/2026","IMEI":"","NAME":"DAMBOX","TIME":"","PRICE":"\u20a62,500.00","STATUS":"PAID","PAID DATE":"","RECORD_ID":"3a6985b31434406b893a026f20d7a81a","Amount paid":"\u20a62,500.00","DESCRIPTION":"14PRO IOS UPDATE","PHONE NUMBER":9040943517,"DEAL LOCATION":"","INTERNAL NOTE":"","EXPENSE AMOUNT":"","CALCULATED PROFIT":"","EXPENSE DESCRIPTION":"","IMEI FOR SWAPPED DEAL":""}</t>
  </si>
  <si>
    <t>ce16e1be83912f67cc0eeb11dd805e081a51534a757cfe4fd981fbfae606650a</t>
  </si>
  <si>
    <t>2026-03-20T00:00:00+01:00</t>
  </si>
  <si>
    <t>{"in":"","DATE":"3/20/2026","IMEI":"","NAME":"DEMEX","TIME":"","PRICE":"\u20a62,500.00","STATUS":"paid","PAID DATE":"","RECORD_ID":"4f822c079c0849408d24dd040d7c085c","Amount paid":"\u20a62,500.00","DESCRIPTION":"IPHONE 17 PRO MAX IOS UPDATE","PHONE NUMBER":2347067462101,"DEAL LOCATION":"","INTERNAL NOTE":"","EXPENSE AMOUNT":"","CALCULATED PROFIT":"","EXPENSE DESCRIPTION":"","IMEI FOR SWAPPED DEAL":""}</t>
  </si>
  <si>
    <t>288e5d9ba2a88ac4076c818a6e3bdca4c9ce5f610e9c0fd4c6a377b20c7f1bb8</t>
  </si>
  <si>
    <t>2026-03-16T00:00:00+01:00</t>
  </si>
  <si>
    <t>{"in":"","DATE":"3/16/2026","IMEI":350340252616483,"NAME":"NEXUS","TIME":"","PRICE":"\u20a6810,000.00","STATUS":"PAID","PAID DATE":"","RECORD_ID":"7fd94382e05948f99cf3106adb2c04d6","Amount paid":"\u20a60.00","DESCRIPTION":"ULTRAMARINE IPHONE 16. 256GB. 91%","PHONE NUMBER":"","DEAL LOCATION":"","INTERNAL NOTE":"","EXPENSE AMOUNT":"","CALCULATED PROFIT":"","EXPENSE DESCRIPTION":"","IMEI FOR SWAPPED DEAL":""}</t>
  </si>
  <si>
    <t>c8d4c2ae8c3da4aa8762e5007e786cd28228897ea5280431886323866f86d64f</t>
  </si>
  <si>
    <t>{"in":"","DATE":"3/16/2026","IMEI":353075116116653,"NAME":"SEYIFUNMI","TIME":"","PRICE":"\u20a6330,000.00","STATUS":"PAID","PAID DATE":"","RECORD_ID":"0d65ebe64d2f4f3ca5c086db9239cd17","Amount paid":"","DESCRIPTION":"IPHONE 12 PRO. 128GB. BLACK","PHONE NUMBER":2347065500068,"DEAL LOCATION":"","INTERNAL NOTE":"","EXPENSE AMOUNT":"","CALCULATED PROFIT":"","EXPENSE DESCRIPTION":"","IMEI FOR SWAPPED DEAL":""}</t>
  </si>
  <si>
    <t>fa3598a7e9d96c523646f59b330777191776b86879e883ca7da9bbc27e78aefe</t>
  </si>
  <si>
    <t>{"in":"","DATE":"3/16/2026","IMEI":"","NAME":"SEYIFUNMI","TIME":"","PRICE":"\u20a62,500.00","STATUS":"PAID","PAID DATE":"","RECORD_ID":"0980401b39844996ac6aac942c1a4fcf","Amount paid":"","DESCRIPTION":"IPHONE 12 PRO IOS UPDATE","PHONE NUMBER":2347065500068,"DEAL LOCATION":"","INTERNAL NOTE":"","EXPENSE AMOUNT":"","CALCULATED PROFIT":"","EXPENSE DESCRIPTION":"","IMEI FOR SWAPPED DEAL":""}</t>
  </si>
  <si>
    <t>b50367c6a903c0e559567696e69763a809780650f82870b6d687ba60f57ba588</t>
  </si>
  <si>
    <t>{"in":"","DATE":"3/16/2026","IMEI":"","NAME":"DAMBOX","TIME":"","PRICE":"\u20a62,500.00","STATUS":"PAID","PAID DATE":"","RECORD_ID":"7bb42e6f986844a48b21790ba82c0528","Amount paid":"\u20a62,500.00","DESCRIPTION":"DESERT 16 PRO IOS UPDATE","PHONE NUMBER":9040943517,"DEAL LOCATION":"","INTERNAL NOTE":"","EXPENSE AMOUNT":"","CALCULATED PROFIT":"","EXPENSE DESCRIPTION":"","IMEI FOR SWAPPED DEAL":""}</t>
  </si>
  <si>
    <t>afd3bacb4dbd12be997b64f6a87ba0819db145fb8403a59d6b37f3e86340410f</t>
  </si>
  <si>
    <t>{"in":"","DATE":"....","IMEI":"...","NAME":"....","TIME":"","PRICE":"....","STATUS":"..","PAID DATE":"","RECORD_ID":"eb29e6c9a0d449cc9b8619b0e0e2090e","Amount paid":"","DESCRIPTION":"...","PHONE NUMBER":"","DEAL LOCATION":"","INTERNAL NOTE":"","EXPENSE AMOUNT":"","CALCULATED PROFIT":"","EXPENSE DESCRIPTION":"","IMEI FOR SWAPPED DEAL":""}</t>
  </si>
  <si>
    <t>18f98695d9b4be3c1e8ffd1879603f810f61842996d90b1c5d1a32b4a8aabc83</t>
  </si>
  <si>
    <t>{"in":"","DATE":"....","IMEI":"...","NAME":"....","TIME":"","PRICE":"....","STATUS":"..","PAID DATE":"","RECORD_ID":"8132ae5f62c640b5b7e99cb84efb38e2","Amount paid":"","DESCRIPTION":"...","PHONE NUMBER":"","DEAL LOCATION":"","INTERNAL NOTE":"","EXPENSE AMOUNT":"","CALCULATED PROFIT":"","EXPENSE DESCRIPTION":"","IMEI FOR SWAPPED DEAL":""}</t>
  </si>
  <si>
    <t>3bb28ab22547da1f438c2d468f1001589b3e5f5b30a1d31a0b3a904aff47b8b7</t>
  </si>
  <si>
    <t>{"in":"","DATE":"....","IMEI":"...","NAME":"....","TIME":"","PRICE":"....","STATUS":"..","PAID DATE":"","RECORD_ID":"d144cd6637cd47d5a8b984524a52c43a","Amount paid":"","DESCRIPTION":"...","PHONE NUMBER":"","DEAL LOCATION":"","INTERNAL NOTE":"","EXPENSE AMOUNT":"","CALCULATED PROFIT":"","EXPENSE DESCRIPTION":"","IMEI FOR SWAPPED DEAL":""}</t>
  </si>
  <si>
    <t>24d4a6e8d50fd9651b8a8c35ffd9e2d9b5a926458830a50984baa1f5d67fe407</t>
  </si>
  <si>
    <t>{"in":"","DATE":"....","IMEI":"...","NAME":"....","TIME":"","PRICE":"....","STATUS":"..","PAID DATE":"","RECORD_ID":"70e53fa6666d44999b14243c3587bfa7","Amount paid":"","DESCRIPTION":"...","PHONE NUMBER":"","DEAL LOCATION":"","INTERNAL NOTE":"","EXPENSE AMOUNT":"","CALCULATED PROFIT":"","EXPENSE DESCRIPTION":"","IMEI FOR SWAPPED DEAL":""}</t>
  </si>
  <si>
    <t>f9e9eaa6eb678da93075cac121e1d0f2792cb9d0769cfacbd5907249552b2586</t>
  </si>
  <si>
    <t>{"in":"","DATE":"3/17/2026","IMEI":"","NAME":"IFEKITAN","TIME":"","PRICE":"\u20a62,000.00","STATUS":"PAID","PAID DATE":"","RECORD_ID":"8b8db7eb67d74549a61fc79e1be340fc","Amount paid":"\u20a62,000.00","DESCRIPTION":"IPHONE 12 PRO MAX IOS UPDATE. GOLD","PHONE NUMBER":"","DEAL LOCATION":"","INTERNAL NOTE":"","EXPENSE AMOUNT":"","CALCULATED PROFIT":"","EXPENSE DESCRIPTION":"","IMEI FOR SWAPPED DEAL":""}</t>
  </si>
  <si>
    <t>f7df168cb6b0b900d30edc1ad32572eb17e8b6a2934f2b886c8385e7c43e119b</t>
  </si>
  <si>
    <t>{"in":"","DATE":"3/17/2026","IMEI":"","NAME":"ZEE TECH","TIME":"","PRICE":"\u20a62,500.00","STATUS":"PAID","PAID DATE":"","RECORD_ID":"ed71d0e2b92e4774996e0ee202a85d7e","Amount paid":"\u20a62,500.00","DESCRIPTION":"WHITE IPHONE XR IOS UPDATE","PHONE NUMBER":2349033724061,"DEAL LOCATION":"","INTERNAL NOTE":"","EXPENSE AMOUNT":"","CALCULATED PROFIT":"","EXPENSE DESCRIPTION":"","IMEI FOR SWAPPED DEAL":""}</t>
  </si>
  <si>
    <t>15256f1b9a40a7777fd99a4c3c14fb1883c52cbd0c08cb7618cd294246501d87</t>
  </si>
  <si>
    <t>{"in":"","DATE":"3/17/2026","IMEI":"","NAME":"FORMULA","TIME":"","PRICE":"\u20a62,500.00","STATUS":"PAID","PAID DATE":"","RECORD_ID":"a1a489df450a424185dee2855634f8e8","Amount paid":"\u20a62,500.00","DESCRIPTION":"IPHONE AIR IOS UPDATE","PHONE NUMBER":2347067612418,"DEAL LOCATION":"","INTERNAL NOTE":"","EXPENSE AMOUNT":"","CALCULATED PROFIT":"","EXPENSE DESCRIPTION":"","IMEI FOR SWAPPED DEAL":""}</t>
  </si>
  <si>
    <t>b8e2ba4c0b83d21102f6c277f0317c3c02287ff952a5d3a75eb28148715c7c98</t>
  </si>
  <si>
    <t>{"in":"","DATE":"3/17/2026","IMEI":"","NAME":"HOLLAH GADGET","TIME":"","PRICE":"\u20a63,500.00","STATUS":"PAID","PAID DATE":"","RECORD_ID":"77d0b7175a0242cea96e1993abde1686","Amount paid":"\u20a63,500.00","DESCRIPTION":"IPHONE 14 PRO MAX. FIXED BATTERY FLASH","PHONE NUMBER":7041440724,"DEAL LOCATION":"","INTERNAL NOTE":"","EXPENSE AMOUNT":"","CALCULATED PROFIT":"","EXPENSE DESCRIPTION":"","IMEI FOR SWAPPED DEAL":""}</t>
  </si>
  <si>
    <t>235f435ebb2a8854dfdb1d54f9028327d46ba8c9c96b1adee53172cb3bc20f2f</t>
  </si>
  <si>
    <t>{"in":"","DATE":"3/17/2026","IMEI":"","NAME":"MOLYM VENTURES CHIP UNLOCK","TIME":"","PRICE":"\u20a625,000.00","STATUS":"PAID","PAID DATE":"","RECORD_ID":"7f15a1effcd44d8082c397dcd1c5c716","Amount paid":"\u20a625,000.00","DESCRIPTION":"YELLOW CHIP * 5","PHONE NUMBER":"","DEAL LOCATION":"","INTERNAL NOTE":"","EXPENSE AMOUNT":"","CALCULATED PROFIT":"","EXPENSE DESCRIPTION":"","IMEI FOR SWAPPED DEAL":""}</t>
  </si>
  <si>
    <t>fd2e0878a54f8d76e0ec4b9e7bdc2ccd727554908659fd6c3ebc348f21ba2dca</t>
  </si>
  <si>
    <t>{"in":"","DATE":"3/17/2026","IMEI":"","NAME":"PANKYGEE","TIME":"","PRICE":"\u20a65,000.00","STATUS":"PAID","PAID DATE":"","RECORD_ID":"c587c112c8014b138d3acc717ec7991e","Amount paid":"\u20a65,000.00","DESCRIPTION":"PC FILE TRANSFER FROM IPHONE 11 TO BLUE IPAD","PHONE NUMBER":2347052247397,"DEAL LOCATION":"","INTERNAL NOTE":"","EXPENSE AMOUNT":"","CALCULATED PROFIT":"","EXPENSE DESCRIPTION":"","IMEI FOR SWAPPED DEAL":""}</t>
  </si>
  <si>
    <t>69c7042e1b67d78fd1a12f6eb83a6a490b00feeb7b54171601827dcd5e9fc9c8</t>
  </si>
  <si>
    <t>{"in":"","DATE":"3/17/2026","IMEI":"","NAME":"ACTIVE PLUG","TIME":"","PRICE":"\u20a62,500.00","STATUS":"PAID","PAID DATE":"","RECORD_ID":"6fd3f88e9cea42788e5730a009511682","Amount paid":"\u20a62,500.00","DESCRIPTION":"BLACK IPHONE 14 PRO MAX IOS UPDATE","PHONE NUMBER":"","DEAL LOCATION":"","INTERNAL NOTE":"","EXPENSE AMOUNT":"","CALCULATED PROFIT":"","EXPENSE DESCRIPTION":"","IMEI FOR SWAPPED DEAL":""}</t>
  </si>
  <si>
    <t>b655f9a7e7cf7459179feb4d5b43e7b8f5e9226d2b62103cc870197847d8bd9c</t>
  </si>
  <si>
    <t>{"in":"","DATE":"3/17/2026","IMEI":355300183605562,"NAME":"DEMEX","TIME":"","PRICE":"\u20a61,180,000.00","STATUS":"RETURNED","PAID DATE":"","RECORD_ID":"aca400cf85774f08a50e980f92744370","Amount paid":"\u20a61,175,000.00","DESCRIPTION":"IPHONE 16 PRO MAX. WHITE TITANIUM. 512GB. 93%","PHONE NUMBER":2347067462101,"DEAL LOCATION":"","INTERNAL NOTE":"","EXPENSE AMOUNT":"","CALCULATED PROFIT":"","EXPENSE DESCRIPTION":"","IMEI FOR SWAPPED DEAL":""}</t>
  </si>
  <si>
    <t>8f2859d28fe6403920c944867177ffa38b3160862708eacce007afc832d8de21</t>
  </si>
  <si>
    <t>{"in":"","DATE":"....","IMEI":"...","NAME":"....","TIME":"","PRICE":"....","STATUS":"..","PAID DATE":"","RECORD_ID":"b3053966ac8c41548f20cc123f050dbc","Amount paid":"","DESCRIPTION":"...","PHONE NUMBER":"","DEAL LOCATION":"","INTERNAL NOTE":"","EXPENSE AMOUNT":"","CALCULATED PROFIT":"","EXPENSE DESCRIPTION":"","IMEI FOR SWAPPED DEAL":""}</t>
  </si>
  <si>
    <t>b7bd24dd981abbdc6d44f277bd43f1bfbf70e828439034a80fadf4825e564a96</t>
  </si>
  <si>
    <t>{"in":"","DATE":"....","IMEI":"...","NAME":"....","TIME":"","PRICE":"....","STATUS":"..","PAID DATE":"","RECORD_ID":"6ea27207bed94d8697e318dc73b6ce0a","Amount paid":"","DESCRIPTION":"...","PHONE NUMBER":"","DEAL LOCATION":"","INTERNAL NOTE":"","EXPENSE AMOUNT":"","CALCULATED PROFIT":"","EXPENSE DESCRIPTION":"","IMEI FOR SWAPPED DEAL":""}</t>
  </si>
  <si>
    <t>0f63a3fb5274d4ff26385993114db280565002a80ab5c5fb7f8beb64551d772d</t>
  </si>
  <si>
    <t>{"in":"","DATE":"....","IMEI":"...","NAME":"....","TIME":"","PRICE":"....","STATUS":"..","PAID DATE":"","RECORD_ID":"48e6f88843434d5cbdbbbf25e259bcc5","Amount paid":"","DESCRIPTION":"...","PHONE NUMBER":"","DEAL LOCATION":"","INTERNAL NOTE":"","EXPENSE AMOUNT":"","CALCULATED PROFIT":"","EXPENSE DESCRIPTION":"","IMEI FOR SWAPPED DEAL":""}</t>
  </si>
  <si>
    <t>d53f616ca41290d2d1eb86df1f067364350539392e7f721612f98a08c9a5fc40</t>
  </si>
  <si>
    <t>{"in":"","DATE":"....","IMEI":"...","NAME":"....","TIME":"","PRICE":"....","STATUS":"..","PAID DATE":"","RECORD_ID":"1691c854479e46ae83507ee7bc4faac8","Amount paid":"","DESCRIPTION":"...","PHONE NUMBER":"","DEAL LOCATION":"","INTERNAL NOTE":"","EXPENSE AMOUNT":"","CALCULATED PROFIT":"","EXPENSE DESCRIPTION":"","IMEI FOR SWAPPED DEAL":""}</t>
  </si>
  <si>
    <t>93a293101530e5fe96c30786e438805dac152f17a2f3864ab59a56ff15424cfc</t>
  </si>
  <si>
    <t>{"in":"","DATE":"3/18/2026","IMEI":354178507884670,"NAME":"FAME","TIME":"","PRICE":"\u20a6820,000.00","STATUS":"returned","PAID DATE":"","RECORD_ID":"bdc3f2661e3a4a62a41f3f3c0ed9b692","Amount paid":"","DESCRIPTION":"IPHONE 16. 256GB. BLACK 100%. ESIM UNLOCKED","PHONE NUMBER":2348144970435,"DEAL LOCATION":"","INTERNAL NOTE":"","EXPENSE AMOUNT":"","CALCULATED PROFIT":"","EXPENSE DESCRIPTION":"","IMEI FOR SWAPPED DEAL":""}</t>
  </si>
  <si>
    <t>5a7a3420b99828bb82bf69d5a52f7db5245d29c7f0184aeb54b91f289ce16705</t>
  </si>
  <si>
    <t>{"in":"","DATE":"3/19/2026","IMEI":"","NAME":"KABEX","TIME":"","PRICE":"\u20a62,500.00","STATUS":"PAID","PAID DATE":"","RECORD_ID":"728429c50fbc4d60b68e770498bd71a7","Amount paid":"\u20a62,500.00","DESCRIPTION":"IPHONE 16PRO BLACK TINTANIUM IOS UPDATE","PHONE NUMBER":"","DEAL LOCATION":"","INTERNAL NOTE":"","EXPENSE AMOUNT":"","CALCULATED PROFIT":"","EXPENSE DESCRIPTION":"","IMEI FOR SWAPPED DEAL":""}</t>
  </si>
  <si>
    <t>089bd437390dd1a5477023eb32e4f8ecbd6a34818d224efde9690b98cc89fd23</t>
  </si>
  <si>
    <t>{"in":"","DATE":"3/18/2026","IMEI":"","NAME":"XPIFF","TIME":"","PRICE":"\u20a62,500.00","STATUS":"PAID","PAID DATE":"","RECORD_ID":"672265bb4d1a472081358da67180c1ff","Amount paid":"","DESCRIPTION":"MIDNIGHT IPHONE 12 IOS UPDATE","PHONE NUMBER":2348164388087,"DEAL LOCATION":"","INTERNAL NOTE":"","EXPENSE AMOUNT":"","CALCULATED PROFIT":"","EXPENSE DESCRIPTION":"","IMEI FOR SWAPPED DEAL":""}</t>
  </si>
  <si>
    <t>63742d258f4afda069f7b7fda4b8ca8777ee540f6a14281a569c2b30446a8817</t>
  </si>
  <si>
    <t>{"in":"","DATE":"3/18/2026","IMEI":359702372508430,"NAME":"OLAMIDE","TIME":"","PRICE":"\u20a6700,000.00","STATUS":"PAID","PAID DATE":"","RECORD_ID":"6191e544950e4d3ea67d37d2217bc38f","Amount paid":"","DESCRIPTION":"BLACK. 1TB. IPHONE 14 PRO MAX. 90%. IDM","PHONE NUMBER":2349035711584,"DEAL LOCATION":"","INTERNAL NOTE":"","EXPENSE AMOUNT":"","CALCULATED PROFIT":"","EXPENSE DESCRIPTION":"","IMEI FOR SWAPPED DEAL":""}</t>
  </si>
  <si>
    <t>6243178dfaaaaff8a1857ec5c6b717bab4339ac9ff5fcaba29cb91493bf6e5fa</t>
  </si>
  <si>
    <t>{"in":"","DATE":"..","IMEI":"..","NAME":"..","TIME":"","PRICE":"..","STATUS":"..","PAID DATE":"","RECORD_ID":"dea3a0953e2c404d892dd33d9a8768c3","Amount paid":"..","DESCRIPTION":"...","PHONE NUMBER":"","DEAL LOCATION":"","INTERNAL NOTE":"","EXPENSE AMOUNT":"","CALCULATED PROFIT":"","EXPENSE DESCRIPTION":"","IMEI FOR SWAPPED DEAL":""}</t>
  </si>
  <si>
    <t>2bb6a01ce66b8d5b1d5055a112ebb5ecc115b85ebbf9387964de6347e6eee70f</t>
  </si>
  <si>
    <t>{"in":"","DATE":"..","IMEI":"..","NAME":"..","TIME":"","PRICE":"..","STATUS":"..","PAID DATE":"","RECORD_ID":"9c5324575a42459f850b9f1fe9db0079","Amount paid":"..","DESCRIPTION":"...","PHONE NUMBER":"","DEAL LOCATION":"","INTERNAL NOTE":"","EXPENSE AMOUNT":"","CALCULATED PROFIT":"","EXPENSE DESCRIPTION":"","IMEI FOR SWAPPED DEAL":""}</t>
  </si>
  <si>
    <t>09d86342d10284f4080f83de0a134f6d1cf6c2b0aa52448448e320d51982c1d8</t>
  </si>
  <si>
    <t>{"in":"","DATE":"..","IMEI":"..","NAME":"..","TIME":"","PRICE":"..","STATUS":"..","PAID DATE":"","RECORD_ID":"4fd4bd1b8947449e89948c3b3ffc7867","Amount paid":"..","DESCRIPTION":"...","PHONE NUMBER":"","DEAL LOCATION":"","INTERNAL NOTE":"","EXPENSE AMOUNT":"","CALCULATED PROFIT":"","EXPENSE DESCRIPTION":"","IMEI FOR SWAPPED DEAL":""}</t>
  </si>
  <si>
    <t>9a3908c878904d449c3698bab3d70dceb3bf6ad1790e8bfa6e9978567b51b9bc</t>
  </si>
  <si>
    <t>{"in":"","DATE":"..","IMEI":"..","NAME":"..","TIME":"","PRICE":"..","STATUS":"..","PAID DATE":"","RECORD_ID":"8e8b1c61f2104a93930d14159b39a442","Amount paid":"..","DESCRIPTION":"...","PHONE NUMBER":"","DEAL LOCATION":"","INTERNAL NOTE":"","EXPENSE AMOUNT":"","CALCULATED PROFIT":"","EXPENSE DESCRIPTION":"","IMEI FOR SWAPPED DEAL":""}</t>
  </si>
  <si>
    <t>b5d05173eef30a07912573d1515e49f569ff8761d8a5ae282eb4c769764b0073</t>
  </si>
  <si>
    <t>{"in":"","DATE":"..","IMEI":"..","NAME":"..","TIME":"","PRICE":"..","STATUS":"..","PAID DATE":"","RECORD_ID":"c3a718c68c39448ba6bca61eaeae7463","Amount paid":"..","DESCRIPTION":"...","PHONE NUMBER":"","DEAL LOCATION":"","INTERNAL NOTE":"","EXPENSE AMOUNT":"","CALCULATED PROFIT":"","EXPENSE DESCRIPTION":"","IMEI FOR SWAPPED DEAL":""}</t>
  </si>
  <si>
    <t>a926e90ff28265a22b5421f2da5d939c8baa706e88a99eb770e72d0c54485064</t>
  </si>
  <si>
    <t>{"in":"","DATE":"..","IMEI":"..","NAME":"..","TIME":"","PRICE":"..","STATUS":"..","PAID DATE":"","RECORD_ID":"0f6766f1e45a48b6a80bedc717a30725","Amount paid":"..","DESCRIPTION":"...","PHONE NUMBER":"","DEAL LOCATION":"","INTERNAL NOTE":"","EXPENSE AMOUNT":"","CALCULATED PROFIT":"","EXPENSE DESCRIPTION":"","IMEI FOR SWAPPED DEAL":""}</t>
  </si>
  <si>
    <t>f6bbba0a9b1a7ae08f3db2771729dfba2a588e63ba029d8a2b9f0d6143a93dd4</t>
  </si>
  <si>
    <t>{"in":"","DATE":"3/18/2026","IMEI":"","NAME":"CH4 REP","TIME":"","PRICE":"\u20a62,500.00","STATUS":"PAID","PAID DATE":"","RECORD_ID":"2e5d81ee9a3e4092afc69b9cbdf244b6","Amount paid":"\u20a62,500.00","DESCRIPTION":"ORANGE 17 PRO IOS UPDATE","PHONE NUMBER":2348109659193,"DEAL LOCATION":"","INTERNAL NOTE":"","EXPENSE AMOUNT":"","CALCULATED PROFIT":"","EXPENSE DESCRIPTION":"","IMEI FOR SWAPPED DEAL":""}</t>
  </si>
  <si>
    <t>897081e178b0d00a98975a6cc51ebc3c64e29996dc00a7bbb36216b0dc9d9702</t>
  </si>
  <si>
    <t>{"in":"","DATE":"3/19/2026","IMEI":"","NAME":"ZEE TECH","TIME":"","PRICE":"\u20a62,500.00","STATUS":"PAID","PAID DATE":"","RECORD_ID":"df68db18aef0407bb9cab6100ae323ed","Amount paid":"\u20a62,500.00","DESCRIPTION":"IPHONE 16 PRO MAX IOS UPDATE. DESERT TITANIUM","PHONE NUMBER":2349033724061,"DEAL LOCATION":"","INTERNAL NOTE":"","EXPENSE AMOUNT":"","CALCULATED PROFIT":"","EXPENSE DESCRIPTION":"","IMEI FOR SWAPPED DEAL":""}</t>
  </si>
  <si>
    <t>0a7d75db14c0ee9cb1c7ae79b837e496e842d38cf8d26687e201b671fbb8b433</t>
  </si>
  <si>
    <t>{"in":"","DATE":"3/19/2026","IMEI":"","NAME":"ZEE TECH","TIME":"","PRICE":"\u20a62,500.00","STATUS":"PAID","PAID DATE":"","RECORD_ID":"7b4b7ad679fd449ea0c561354da6d91e","Amount paid":"\u20a62,500.00","DESCRIPTION":"IPHONE 16 PRO MAX IOS UPDATE. DESERT TITANIUM","PHONE NUMBER":2349033724061,"DEAL LOCATION":"","INTERNAL NOTE":"","EXPENSE AMOUNT":"","CALCULATED PROFIT":"","EXPENSE DESCRIPTION":"","IMEI FOR SWAPPED DEAL":""}</t>
  </si>
  <si>
    <t>252d182f4a7045ba77d2e5ad4bf8dd58f1fac8bdab5c40bdb16eda8f484e0fed</t>
  </si>
  <si>
    <t>{"in":"","DATE":"3/19/2026","IMEI":"","NAME":"DON","TIME":"","PRICE":"\u20a65,000.00","STATUS":"paid","PAID DATE":"","RECORD_ID":"9ac7078bb4fb4f318566978fce1c6501","Amount paid":"\u20a65,000.00","DESCRIPTION":"ESIM TRANSFER","PHONE NUMBER":2348137676322,"DEAL LOCATION":"","INTERNAL NOTE":"","EXPENSE AMOUNT":"","CALCULATED PROFIT":"","EXPENSE DESCRIPTION":"","IMEI FOR SWAPPED DEAL":""}</t>
  </si>
  <si>
    <t>5903f985b0c988bb865e8ad3a4b6e1fbf116cb0f2cb9d3ffd6e14c3a085aa0eb</t>
  </si>
  <si>
    <t>{"in":"","DATE":"3/19/2026","IMEI":"","NAME":"STARBOX","TIME":"","PRICE":"\u20a6200,001.00","STATUS":"PAID","PAID DATE":"","RECORD_ID":"1032b00b09364a92b51bb942e3ebe6ca","Amount paid":"\u20a6200,001.00","DESCRIPTION":"200K BORROWED","PHONE NUMBER":2349063620334,"DEAL LOCATION":"","INTERNAL NOTE":"","EXPENSE AMOUNT":"","CALCULATED PROFIT":"","EXPENSE DESCRIPTION":"","IMEI FOR SWAPPED DEAL":""}</t>
  </si>
  <si>
    <t>1f7d402a8ce326ffbcd2dbe333773ba967319d5e7ee04f3c858cd01e86a16a88</t>
  </si>
  <si>
    <t>{"in":"","DATE":"3/19/2026","IMEI":"","NAME":"MBENZ","TIME":"","PRICE":"\u20a6100,000.00","STATUS":"PAID","PAID DATE":"","RECORD_ID":"9983171aa3bc4812aea07da199dd8ec7","Amount paid":"\u20a6100,000.00","DESCRIPTION":"LIFELINE ESIM","PHONE NUMBER":2349137123168,"DEAL LOCATION":"","INTERNAL NOTE":"","EXPENSE AMOUNT":"","CALCULATED PROFIT":"","EXPENSE DESCRIPTION":"","IMEI FOR SWAPPED DEAL":""}</t>
  </si>
  <si>
    <t>90ea535a4c672151f53a00be721ae59fcb67a5e7de09fd4d4882c5ff0dd2047f</t>
  </si>
  <si>
    <t>{"in":"","DATE":"3/19/2026","IMEI":359811263248244,"NAME":"MBENZ","TIME":"","PRICE":"\u20a6400,000.00","STATUS":"PAID","PAID DATE":"","RECORD_ID":"0f046c26bd3e4887aa044a47adaa9d66","Amount paid":"\u20a6400,000.00","DESCRIPTION":"IPHONE 13 PRO MAX. 128GB. SILVER. 77%","PHONE NUMBER":2349137123168,"DEAL LOCATION":"","INTERNAL NOTE":"","EXPENSE AMOUNT":"","CALCULATED PROFIT":"","EXPENSE DESCRIPTION":"","IMEI FOR SWAPPED DEAL":""}</t>
  </si>
  <si>
    <t>2aa4a93fd1f7eaf120fae2fa9d93f17b9299b8622a267c07f89fd5e5971d8638</t>
  </si>
  <si>
    <t>{"in":"","DATE":"3/19/2026","IMEI":"","NAME":"SAM","TIME":"","PRICE":"\u20a63,000.00","STATUS":"PAID","PAID DATE":"","RECORD_ID":"db2f995120aa497f918e5e1b08fbe87e","Amount paid":"","DESCRIPTION":"IOS LOCATION CHANGE","PHONE NUMBER":"","DEAL LOCATION":"","INTERNAL NOTE":"","EXPENSE AMOUNT":"","CALCULATED PROFIT":"","EXPENSE DESCRIPTION":"","IMEI FOR SWAPPED DEAL":""}</t>
  </si>
  <si>
    <t>37ae202f9b7925ef9169e6e76c5f7c5902d142326f67d4c6fa6b98e13d88012f</t>
  </si>
  <si>
    <t>{"in":"","DATE":"....","IMEI":"...","NAME":"....","TIME":"","PRICE":"....","STATUS":"..","PAID DATE":"","RECORD_ID":"b3d7429a93594aaca6922c0bc06f31ab","Amount paid":"","DESCRIPTION":"...","PHONE NUMBER":"","DEAL LOCATION":"","INTERNAL NOTE":"","EXPENSE AMOUNT":"","CALCULATED PROFIT":"","EXPENSE DESCRIPTION":"","IMEI FOR SWAPPED DEAL":""}</t>
  </si>
  <si>
    <t>a4cb1a47e31b64c042d2c20b2f91ce60fbcf4411d94c1f2c20a1846e386338e3</t>
  </si>
  <si>
    <t>{"in":"","DATE":"....","IMEI":"...","NAME":"....","TIME":"","PRICE":"....","STATUS":"..","PAID DATE":"","RECORD_ID":"4c7fd441917142698f456a92e874ff44","Amount paid":"","DESCRIPTION":"...","PHONE NUMBER":"","DEAL LOCATION":"","INTERNAL NOTE":"","EXPENSE AMOUNT":"","CALCULATED PROFIT":"","EXPENSE DESCRIPTION":"","IMEI FOR SWAPPED DEAL":""}</t>
  </si>
  <si>
    <t>9cdd223e7cb4633e6392abb3019da0a7e473b261d5f126231d2861aa0ec9f01e</t>
  </si>
  <si>
    <t>{"in":"","DATE":"....","IMEI":"...","NAME":"....","TIME":"","PRICE":"....","STATUS":"..","PAID DATE":"","RECORD_ID":"2e40b3169cb94effb3e432157da827c0","Amount paid":"","DESCRIPTION":"...","PHONE NUMBER":"","DEAL LOCATION":"","INTERNAL NOTE":"","EXPENSE AMOUNT":"","CALCULATED PROFIT":"","EXPENSE DESCRIPTION":"","IMEI FOR SWAPPED DEAL":""}</t>
  </si>
  <si>
    <t>3fbef42ec2f26675a50fef7eb193e7f09590a611167b29b263307063e043ba9c</t>
  </si>
  <si>
    <t>{"in":"","DATE":"....","IMEI":"...","NAME":"....","TIME":"","PRICE":"....","STATUS":"..","PAID DATE":"","RECORD_ID":"ee0fc4b9cef74b53a8ebfdcee6457bbc","Amount paid":"","DESCRIPTION":"...","PHONE NUMBER":"","DEAL LOCATION":"","INTERNAL NOTE":"","EXPENSE AMOUNT":"","CALCULATED PROFIT":"","EXPENSE DESCRIPTION":"","IMEI FOR SWAPPED DEAL":""}</t>
  </si>
  <si>
    <t>abaeb38677ee8b759181d85bb9834e7ee2c5bf2446e1cf05e3880ed633b66b8b</t>
  </si>
  <si>
    <t>{"in":"","DATE":"3/20/2026","IMEI":353249104500786,"NAME":"DON","TIME":"","PRICE":"\u20a6280,000.00","STATUS":"PAID","PAID DATE":"","RECORD_ID":"47a9b62dadd84256b105b319e2918806","Amount paid":"\u20a6280,000.00","DESCRIPTION":"iPhone 11 Pro Midnight Green 256GB","PHONE NUMBER":2348137676322,"DEAL LOCATION":"","INTERNAL NOTE":"","EXPENSE AMOUNT":"","CALCULATED PROFIT":"","EXPENSE DESCRIPTION":"","IMEI FOR SWAPPED DEAL":""}</t>
  </si>
  <si>
    <t>5a1055918c3da481b659f4b60ff86a0dfe13de10905840188dd03e4017d9b517</t>
  </si>
  <si>
    <t>{"in":"","DATE":"3/20/2026","IMEI":"","NAME":"MBENZ","TIME":"","PRICE":"\u20a6500,000.00","STATUS":"PAID","PAID DATE":"","RECORD_ID":"1a4c5fd7cb3f43a2a62f66738ed660cd","Amount paid":"\u20a6500,000.00","DESCRIPTION":"BORROWED 500K","PHONE NUMBER":2349137123168,"DEAL LOCATION":"","INTERNAL NOTE":"","EXPENSE AMOUNT":"","CALCULATED PROFIT":"","EXPENSE DESCRIPTION":"","IMEI FOR SWAPPED DEAL":""}</t>
  </si>
  <si>
    <t>cd74dea089a760a8b457b60a5306c844decada05e28a6bde3d3fe7c7692070d8</t>
  </si>
  <si>
    <t>{"in":"","DATE":"3/20/2026","IMEI":"","NAME":"BAMS","TIME":"","PRICE":"\u20a62,500.00","STATUS":"PAID","PAID DATE":"","RECORD_ID":"9e4db16dd28c4feda75a52e037685b99","Amount paid":"","DESCRIPTION":"IPHONE AIR IOS UPDATE","PHONE NUMBER":"","DEAL LOCATION":"","INTERNAL NOTE":"","EXPENSE AMOUNT":"","CALCULATED PROFIT":"","EXPENSE DESCRIPTION":"","IMEI FOR SWAPPED DEAL":""}</t>
  </si>
  <si>
    <t>fe3a49b70f9170dea9774242636bd44be86b56271cbca372e98d28fb18069053</t>
  </si>
  <si>
    <t>{"in":"","DATE":"..","IMEI":"..","NAME":"....","TIME":"","PRICE":"..","STATUS":".","PAID DATE":"","RECORD_ID":"ceb410cf0f25478f8041baef18bdfd4a","Amount paid":"","DESCRIPTION":"..","PHONE NUMBER":"","DEAL LOCATION":"","INTERNAL NOTE":"","EXPENSE AMOUNT":"","CALCULATED PROFIT":"","EXPENSE DESCRIPTION":"","IMEI FOR SWAPPED DEAL":""}</t>
  </si>
  <si>
    <t>bf087ef55b31d1627a8d669af433ba0a85b4a7e24cf3c3c6b83c92af4748212a</t>
  </si>
  <si>
    <t>{"in":"","DATE":"..","IMEI":"..","NAME":"....","TIME":"","PRICE":"..","STATUS":".","PAID DATE":"","RECORD_ID":"fa2f8686e2f74f479dc2cd6bdd48bc71","Amount paid":"","DESCRIPTION":"..","PHONE NUMBER":"","DEAL LOCATION":"","INTERNAL NOTE":"","EXPENSE AMOUNT":"","CALCULATED PROFIT":"","EXPENSE DESCRIPTION":"","IMEI FOR SWAPPED DEAL":""}</t>
  </si>
  <si>
    <t>250e6653b1d7e37342a87d409a342d9d40e084ed8ff2b7ca5f53289bd176c36d</t>
  </si>
  <si>
    <t>{"in":"","DATE":"..","IMEI":"..","NAME":"....","TIME":"","PRICE":"..","STATUS":".","PAID DATE":"","RECORD_ID":"48178b4de164445982937407916373d9","Amount paid":"","DESCRIPTION":"..","PHONE NUMBER":"","DEAL LOCATION":"","INTERNAL NOTE":"","EXPENSE AMOUNT":"","CALCULATED PROFIT":"","EXPENSE DESCRIPTION":"","IMEI FOR SWAPPED DEAL":""}</t>
  </si>
  <si>
    <t>569f072ddab0e3f11a2fe2d6a3d3caa08c335d2a474f56418c2ee7c26a343e00</t>
  </si>
  <si>
    <t>2026-03-21T00:00:00+01:00</t>
  </si>
  <si>
    <t>{"in":"","DATE":"3/21/2026","IMEI":"","NAME":"KAYWISE","TIME":"","PRICE":"\u20a62,500.00","STATUS":"PAID","PAID DATE":"","RECORD_ID":"e64f80c87bbe4b7b8d3407cf8e38fcaf","Amount paid":"\u20a62,500.00","DESCRIPTION":"ORANGE 17 PRO MAX IOS UPDATE","PHONE NUMBER":2349032614464,"DEAL LOCATION":"","INTERNAL NOTE":"","EXPENSE AMOUNT":"","CALCULATED PROFIT":"","EXPENSE DESCRIPTION":"","IMEI FOR SWAPPED DEAL":""}</t>
  </si>
  <si>
    <t>3dc4590fd35759e021103253c65620acbaab4f64e20070ddf73bc7968d0e8352</t>
  </si>
  <si>
    <t>2026-03-22T00:00:00+01:00</t>
  </si>
  <si>
    <t>{"in":"","DATE":"3/22/2026","IMEI":"","NAME":"DAPPER","TIME":"","PRICE":"\u20a62,500.00","STATUS":"PAID","PAID DATE":"","RECORD_ID":"7050994eeb8b4bb29b0b5b74512e0762","Amount paid":"\u20a62,500.00","DESCRIPTION":"iPhone Air Space Black 256GB IOS UPDATE","PHONE NUMBER":2349166394378,"DEAL LOCATION":"","INTERNAL NOTE":"","EXPENSE AMOUNT":"","CALCULATED PROFIT":"","EXPENSE DESCRIPTION":"","IMEI FOR SWAPPED DEAL":""}</t>
  </si>
  <si>
    <t>8a109a1c0b9cfbf6b70c2d121156d701eced16085a46198c99115dfb92c6e100</t>
  </si>
  <si>
    <t>{"in":"","DATE":"3/21/2026","IMEI":354178507884670,"NAME":"BIGMO","TIME":"","PRICE":"\u20a6830,000.00","STATUS":"PAID","PAID DATE":"","RECORD_ID":"88eab4b003614ddd808fbcf64e731bd3","Amount paid":"\u20a6830,000.00","DESCRIPTION":"iPhone 16 Black 256GB","PHONE NUMBER":7017158374,"DEAL LOCATION":"","INTERNAL NOTE":"","EXPENSE AMOUNT":"","CALCULATED PROFIT":"","EXPENSE DESCRIPTION":"","IMEI FOR SWAPPED DEAL":""}</t>
  </si>
  <si>
    <t>0f45090d6cf615bbb3d5076e1097d99620b6f0b7c27f131524138b5bb7a8f602</t>
  </si>
  <si>
    <t>{"in":"","DATE":"3/21/2026","IMEI":"","NAME":"DEMOLA","TIME":"","PRICE":"\u20a615,000.00","STATUS":"PAID","PAID DATE":"","RECORD_ID":"3ee67aceb3bd408e98ff168305756a85","Amount paid":"","DESCRIPTION":"IPHONE CHIP","PHONE NUMBER":"","DEAL LOCATION":"","INTERNAL NOTE":"","EXPENSE AMOUNT":"","CALCULATED PROFIT":"","EXPENSE DESCRIPTION":"","IMEI FOR SWAPPED DEAL":""}</t>
  </si>
  <si>
    <t>3336badaf4fbc39f99b521debe1771c4838f79eb6922cfab4d70f00d4171d67a</t>
  </si>
  <si>
    <t>{"in":"","DATE":"3/21/2026","IMEI":"","NAME":"GODDEY","TIME":"","PRICE":"\u20a6200,000.00","STATUS":"PAID","PAID DATE":"","RECORD_ID":"f4cfff84338543b4a7c914cbfe688937","Amount paid":"","DESCRIPTION":"SAMAUNG GALAXY S21 8GB + 128GB","PHONE NUMBER":"","DEAL LOCATION":"","INTERNAL NOTE":"","EXPENSE AMOUNT":"","CALCULATED PROFIT":"","EXPENSE DESCRIPTION":"","IMEI FOR SWAPPED DEAL":""}</t>
  </si>
  <si>
    <t>e1293495f055eb2c096475cf0a75421ee872744d6428392ef027accbee3c6f1f</t>
  </si>
  <si>
    <t>{"in":"","DATE":"3/21/2026","IMEI":"","NAME":"JOSSY","TIME":"","PRICE":"\u20a68,000.00","STATUS":"PAID","PAID DATE":"","RECORD_ID":"28030eb52b3b4d4093b78def5e34e10d","Amount paid":"\u20a68,000.00","DESCRIPTION":"USA APPLE ID","PHONE NUMBER":"","DEAL LOCATION":"","INTERNAL NOTE":"","EXPENSE AMOUNT":"","CALCULATED PROFIT":"","EXPENSE DESCRIPTION":"","IMEI FOR SWAPPED DEAL":""}</t>
  </si>
  <si>
    <t>6600177dad8676a9fd21dd8ba3f360e166aa7f23b2b76a0ba10f758258942ca4</t>
  </si>
  <si>
    <t>{"in":"","DATE":"3/21/2026","IMEI":"","NAME":"OLA","TIME":"","PRICE":"\u20a615,000.00","STATUS":"PAID","PAID DATE":"","RECORD_ID":"7f8dd58ce8234815a65800b793367b89","Amount paid":"","DESCRIPTION":"CHIP","PHONE NUMBER":"","DEAL LOCATION":"","INTERNAL NOTE":"","EXPENSE AMOUNT":"","CALCULATED PROFIT":"","EXPENSE DESCRIPTION":"","IMEI FOR SWAPPED DEAL":""}</t>
  </si>
  <si>
    <t>3f36d947f0d088fb13d17098bae887d27d610819c36a8fde8504683b5f609061</t>
  </si>
  <si>
    <t>{"in":"","DATE":"3/21/2026","IMEI":"","NAME":"OLUMIDE ANOITED WEALTH","TIME":"","PRICE":"\u20a610,000.00","STATUS":"PAID","PAID DATE":"","RECORD_ID":"0d2d627abc8248c085f1716f5a6c6532","Amount paid":"\u20a610,000.00","DESCRIPTION":"IPHONE 7 ICLOUD REMOVAL","PHONE NUMBER":"","DEAL LOCATION":"","INTERNAL NOTE":"","EXPENSE AMOUNT":"","CALCULATED PROFIT":"","EXPENSE DESCRIPTION":"","IMEI FOR SWAPPED DEAL":""}</t>
  </si>
  <si>
    <t>96f4f4a83f49eecf40efe112ccac5176573d16315938e88c6f53b1d9fc6d5e2a</t>
  </si>
  <si>
    <t>{"in":"","DATE":"3/21/2026","IMEI":"","NAME":"HORJOR","TIME":"","PRICE":"\u20a62,500.00","STATUS":"paid","PAID DATE":"","RECORD_ID":"c495b883ba504683a7d8385d25a36213","Amount paid":"\u20a62,500.00","DESCRIPTION":"IPHONE 14 PRO MAX FLASH. BLACK. CRACKED BACK","PHONE NUMBER":2347075152460,"DEAL LOCATION":"","INTERNAL NOTE":"","EXPENSE AMOUNT":"","CALCULATED PROFIT":"","EXPENSE DESCRIPTION":"","IMEI FOR SWAPPED DEAL":""}</t>
  </si>
  <si>
    <t>037911286ae012e0a0cb37ce1fac8d35d6f7637ca6982cb91fef96ea3b015fc8</t>
  </si>
  <si>
    <t>{"in":"","DATE":"....","IMEI":"...","NAME":"....","TIME":"","PRICE":"....","STATUS":"..","PAID DATE":"","RECORD_ID":"4ad1df5ea9074b7ea2a17408ab803e34","Amount paid":"","DESCRIPTION":"...","PHONE NUMBER":"","DEAL LOCATION":"","INTERNAL NOTE":"","EXPENSE AMOUNT":"","CALCULATED PROFIT":"","EXPENSE DESCRIPTION":"","IMEI FOR SWAPPED DEAL":".."}</t>
  </si>
  <si>
    <t>e8fab1db1f3ee89a259e57c9b7125f5b15500a767e921e309f833d08dd77e7db</t>
  </si>
  <si>
    <t>{"in":"","DATE":"....","IMEI":"...","NAME":"....","TIME":"","PRICE":"....","STATUS":"..","PAID DATE":"","RECORD_ID":"ef3c395c6dd54313b0c51cb966135140","Amount paid":"","DESCRIPTION":"...","PHONE NUMBER":"","DEAL LOCATION":"","INTERNAL NOTE":"","EXPENSE AMOUNT":"","CALCULATED PROFIT":"","EXPENSE DESCRIPTION":"","IMEI FOR SWAPPED DEAL":".."}</t>
  </si>
  <si>
    <t>c32dd69ff1e3a4cf798fe5efa216453efc2dda3ca57f057697c2ecbb9f178591</t>
  </si>
  <si>
    <t>{"in":"","DATE":"....","IMEI":"...","NAME":"....","TIME":"","PRICE":"....","STATUS":"..","PAID DATE":"","RECORD_ID":"7a7750d487a3412f875d61411c461afb","Amount paid":"","DESCRIPTION":"...","PHONE NUMBER":"","DEAL LOCATION":"","INTERNAL NOTE":"","EXPENSE AMOUNT":"","CALCULATED PROFIT":"","EXPENSE DESCRIPTION":"","IMEI FOR SWAPPED DEAL":".."}</t>
  </si>
  <si>
    <t>59aafb09cf9458d6bd16411fcdb8d9c178c90efd1d7a1cadeefdcd9c956776fc</t>
  </si>
  <si>
    <t>2026-03-23T00:00:00+01:00</t>
  </si>
  <si>
    <t>{"in":"","DATE":"3/23/2026","IMEI":"","NAME":"DAH UNIQUE","TIME":"","PRICE":"\u20a62,500.00","STATUS":"PAID","PAID DATE":"","RECORD_ID":"e4dc8f734670424abbcab1c61964b1ee","Amount paid":"\u20a62,500.00","DESCRIPTION":"iPhone 16 Pro White Titanium 128GB IOS UPDATE","PHONE NUMBER":2349070536253,"DEAL LOCATION":"","INTERNAL NOTE":"","EXPENSE AMOUNT":"","CALCULATED PROFIT":"","EXPENSE DESCRIPTION":"","IMEI FOR SWAPPED DEAL":""}</t>
  </si>
  <si>
    <t>48c8f0322fbbbe1e33c967e3257813e0924b220c1db6dced916a4196a2c05dea</t>
  </si>
  <si>
    <t>2026-03-24T00:00:00+01:00</t>
  </si>
  <si>
    <t>{"in":"","DATE":"3/24/2026","IMEI":"","NAME":"CUSTOMER","TIME":"","PRICE":"\u20a65,000.00","STATUS":"PAID","PAID DATE":"","RECORD_ID":"e9d7ac4962ef4dff8045205772ef63b1","Amount paid":"\u20a65,000.00","DESCRIPTION":"15 PRO NATURAL TITANIC LOCATION CHANGE","PHONE NUMBER":2341234567890,"DEAL LOCATION":"","INTERNAL NOTE":"","EXPENSE AMOUNT":"","CALCULATED PROFIT":"","EXPENSE DESCRIPTION":"","IMEI FOR SWAPPED DEAL":""}</t>
  </si>
  <si>
    <t>541d0117070d18f4a86f15378e55f767b8a4945d1999a2756d8b2f8f7d8a5ae5</t>
  </si>
  <si>
    <t>{"in":"","DATE":"3/23/2026","IMEI":"","NAME":"STARBOX","TIME":"","PRICE":"\u20a6300,000.00","STATUS":"PAID","PAID DATE":"","RECORD_ID":"9208660742bb41aaa1a81c304c98a40e","Amount paid":"\u20a6300,000.00","DESCRIPTION":"BORROWED 300K","PHONE NUMBER":2349063620334,"DEAL LOCATION":"","INTERNAL NOTE":"","EXPENSE AMOUNT":"","CALCULATED PROFIT":"","EXPENSE DESCRIPTION":"","IMEI FOR SWAPPED DEAL":""}</t>
  </si>
  <si>
    <t>866d2b255bb72ff7a4f80810e3a3a47836342b268d5c9a64b50a4cf62e7a339c</t>
  </si>
  <si>
    <t>{"in":"","DATE":"3/23/2026","IMEI":"","NAME":"CH4 REP","TIME":"","PRICE":"\u20a62,500.00","STATUS":"PAID","PAID DATE":"","RECORD_ID":"f8f7fa08677d4ea5bf22574b38ac9b16","Amount paid":"\u20a62,500.00","DESCRIPTION":"BLCK MIDNIGHT IPHONE 14 PRO MAX IOS UPDATE. P + E","PHONE NUMBER":2348109659193,"DEAL LOCATION":"","INTERNAL NOTE":"","EXPENSE AMOUNT":"","CALCULATED PROFIT":"","EXPENSE DESCRIPTION":"","IMEI FOR SWAPPED DEAL":""}</t>
  </si>
  <si>
    <t>2335f0b7e89728941a5043f7f95190b66b3428d3f9d966cef16ae2e0c360df5f</t>
  </si>
  <si>
    <t>{"in":"","DATE":"3/23/2026","IMEI":353926106063562,"NAME":"PRINZE GADGET","TIME":"","PRICE":"\u20a6180,000.00","STATUS":"returned","PAID DATE":"","RECORD_ID":"c42eb63a1c254be5b63682e70f660004","Amount paid":"","DESCRIPTION":"MIDNIGHT GREEN IPHONE 11 PRO MAX. 256GB. IDM, IBM","PHONE NUMBER":"","DEAL LOCATION":"","INTERNAL NOTE":"","EXPENSE AMOUNT":"","CALCULATED PROFIT":"","EXPENSE DESCRIPTION":"","IMEI FOR SWAPPED DEAL":""}</t>
  </si>
  <si>
    <t>4fe9897de576e67b68c449d61f2089844247e4b1e9ec2da22b7762b9f8d30c49</t>
  </si>
  <si>
    <t>{"in":"","DATE":"3/23/2026","IMEI":"","NAME":"CH4 REP","TIME":"","PRICE":"\u20a65,000.00","STATUS":"PAID","PAID DATE":"","RECORD_ID":"ff15b6614a4a4383bdaee101991aac28","Amount paid":"\u20a65,000.00","DESCRIPTION":"APPLE ID SIGN IN ISSUE FIX","PHONE NUMBER":2348109659193,"DEAL LOCATION":"","INTERNAL NOTE":"","EXPENSE AMOUNT":"","CALCULATED PROFIT":"","EXPENSE DESCRIPTION":"","IMEI FOR SWAPPED DEAL":""}</t>
  </si>
  <si>
    <t>ecdd01196ee4b678c5081e97bbf7c202ca04dc80b375d4a4143a45d838bc1252</t>
  </si>
  <si>
    <t>{"in":"","DATE":"3/23/2026","IMEI":356483109107191,"NAME":"IPRO GADGET","TIME":"","PRICE":"\u20a6135,000.00","STATUS":"returned","PAID DATE":"","RECORD_ID":"db554199129a41f69039f498db1c7b08","Amount paid":"","DESCRIPTION":"RED IPHONE SE 2","PHONE NUMBER":2348109344663,"DEAL LOCATION":"","INTERNAL NOTE":"","EXPENSE AMOUNT":"","CALCULATED PROFIT":"","EXPENSE DESCRIPTION":"","IMEI FOR SWAPPED DEAL":""}</t>
  </si>
  <si>
    <t>2a2af2a33e68718b8227e8d0b15a7486fe27542a5d74c0bc822cf88b69362bf6</t>
  </si>
  <si>
    <t>{"in":"","DATE":"....","IMEI":"...","NAME":"....","TIME":"","PRICE":"....","STATUS":"..","PAID DATE":"","RECORD_ID":"ac948c9ad4c44301bce1635c578550a5","Amount paid":"","DESCRIPTION":"...","PHONE NUMBER":"","DEAL LOCATION":"","INTERNAL NOTE":"","EXPENSE AMOUNT":"","CALCULATED PROFIT":"","EXPENSE DESCRIPTION":"","IMEI FOR SWAPPED DEAL":".."}</t>
  </si>
  <si>
    <t>3458dc38e2c77564f6505ea8d5b1f86c3398604f94827b3eaaa1cf267c70571a</t>
  </si>
  <si>
    <t>{"in":"","DATE":"....","IMEI":"...","NAME":"....","TIME":"","PRICE":"....","STATUS":"..","PAID DATE":"","RECORD_ID":"1d25ad0745c54df5ad0a92a2ac1b9cfd","Amount paid":"","DESCRIPTION":"...","PHONE NUMBER":"","DEAL LOCATION":"","INTERNAL NOTE":"","EXPENSE AMOUNT":"","CALCULATED PROFIT":"","EXPENSE DESCRIPTION":"","IMEI FOR SWAPPED DEAL":".."}</t>
  </si>
  <si>
    <t>1867df8d6d0aa72a2be7a90222322136e0fb61c853dbc8d0b95dcf7278e67487</t>
  </si>
  <si>
    <t>{"in":"","DATE":"....","IMEI":"...","NAME":"....","TIME":"","PRICE":"....","STATUS":"..","PAID DATE":"","RECORD_ID":"c69218f32578483387c4fe5da88a8853","Amount paid":"","DESCRIPTION":"...","PHONE NUMBER":"","DEAL LOCATION":"","INTERNAL NOTE":"","EXPENSE AMOUNT":"","CALCULATED PROFIT":"","EXPENSE DESCRIPTION":"","IMEI FOR SWAPPED DEAL":".."}</t>
  </si>
  <si>
    <t>0a5df10862afd2052953829bf715f1f628a4a37be8ddc22e4f698ae053cc1adf</t>
  </si>
  <si>
    <t>{"in":"","DATE":"3/24/2026","IMEI":"","NAME":"OMONLA BUGATTI","TIME":"","PRICE":"\u20a62,500.00","STATUS":"PAID","PAID DATE":"","RECORD_ID":"32d8519fdc1542a1ad0a362154cf633c","Amount paid":"\u20a62,500.00","DESCRIPTION":"IPHONE 15 PINK IOS UPDATE","PHONE NUMBER":2349036489677,"DEAL LOCATION":"","INTERNAL NOTE":"","EXPENSE AMOUNT":"","CALCULATED PROFIT":"","EXPENSE DESCRIPTION":"","IMEI FOR SWAPPED DEAL":""}</t>
  </si>
  <si>
    <t>eca3cbc51015c96c424e1c90adf17eec0239c7f8cf4c85753258063a8ab01c21</t>
  </si>
  <si>
    <t>2026-03-25T00:00:00+01:00</t>
  </si>
  <si>
    <t>{"in":"","DATE":"3/25/2026","IMEI":"","NAME":"CUSTOMER","TIME":"","PRICE":"\u20a610,000.00","STATUS":"PAID","PAID DATE":"","RECORD_ID":"4fe057627573411bbb23770e60bf13d4","Amount paid":"\u20a610,000.00","DESCRIPTION":"XR 64GB BLACK FIX ERRORR 1110","PHONE NUMBER":2341234567890,"DEAL LOCATION":"","INTERNAL NOTE":"","EXPENSE AMOUNT":"","CALCULATED PROFIT":"","EXPENSE DESCRIPTION":"","IMEI FOR SWAPPED DEAL":""}</t>
  </si>
  <si>
    <t>122c5967060b33d8c47e067cf22d2feef7197d9d4ccecd91623241f0dd87a149</t>
  </si>
  <si>
    <t>{"in":"","DATE":"3/24/2026","IMEI":"","NAME":"IPRO GADGET","TIME":"","PRICE":"\u20a62,500.00","STATUS":"PAID","PAID DATE":"","RECORD_ID":"a6f1bc31309b4fcb9fabca6711752603","Amount paid":"","DESCRIPTION":"IPHONE 17 IOS UPDATE","PHONE NUMBER":2348109344663,"DEAL LOCATION":"","INTERNAL NOTE":"","EXPENSE AMOUNT":"","CALCULATED PROFIT":"","EXPENSE DESCRIPTION":"","IMEI FOR SWAPPED DEAL":""}</t>
  </si>
  <si>
    <t>d61ee126e00754a2ed22a18582b5d8fa3cb60759deea54a9a4e3175871301882</t>
  </si>
  <si>
    <t>{"in":"","DATE":"3/24/2026","IMEI":"","NAME":"NURUDEEN","TIME":"","PRICE":"\u20a65,000.00","STATUS":"PAID","PAID DATE":"","RECORD_ID":"af8b11ee6604499f8b6130ceaa1e8860","Amount paid":"","DESCRIPTION":"WHATSAPP CHAT TRANSFER FOR YOUR CUSTOMER","PHONE NUMBER":9122727950,"DEAL LOCATION":"","INTERNAL NOTE":"","EXPENSE AMOUNT":"","CALCULATED PROFIT":"","EXPENSE DESCRIPTION":"","IMEI FOR SWAPPED DEAL":""}</t>
  </si>
  <si>
    <t>f088a9b50684aae732f5767d7cbc7e310fb0106c37b4f2f0be11b0b48c196279</t>
  </si>
  <si>
    <t>{"in":"","DATE":"3/24/2026","IMEI":"","NAME":"ZEE TECH","TIME":"","PRICE":"\u20a65,000.00","STATUS":"PAID","PAID DATE":"","RECORD_ID":"025784ee54f54d0c98ca4b238cc6a1f3","Amount paid":"\u20a65,000.00","DESCRIPTION":"SAMSUNG NOTE 10 + PASSWORD FLASH","PHONE NUMBER":2349033724061,"DEAL LOCATION":"","INTERNAL NOTE":"","EXPENSE AMOUNT":"","CALCULATED PROFIT":"","EXPENSE DESCRIPTION":"","IMEI FOR SWAPPED DEAL":""}</t>
  </si>
  <si>
    <t>96c9001e6496a88da9432cc9cc3804ef91c242f887415584adc178bc0235a921</t>
  </si>
  <si>
    <t>{"in":"","DATE":"3/24/2026","IMEI":"","NAME":"CLARK GADGETS","TIME":"","PRICE":"\u20a68,000.00","STATUS":"PAID","PAID DATE":"","RECORD_ID":"66b29e3bf52744198ab004f6fc97e03f","Amount paid":"\u20a68,000.00","DESCRIPTION":"APPLE ID REACTIVATION","PHONE NUMBER":2347064459910,"DEAL LOCATION":"","INTERNAL NOTE":"","EXPENSE AMOUNT":"","CALCULATED PROFIT":"","EXPENSE DESCRIPTION":"","IMEI FOR SWAPPED DEAL":""}</t>
  </si>
  <si>
    <t>99b53f3880127938f642f2e2814aa4c7bc8ebff0fb5daf9fc5aa2fd989ea4088</t>
  </si>
  <si>
    <t>{"in":"","DATE":"3/25/2026","IMEI":"","NAME":"TONYTREND","TIME":"","PRICE":"\u20a62,500.00","STATUS":"PAID","PAID DATE":"","RECORD_ID":"689117044fbd452f9956dd357db388f8","Amount paid":"","DESCRIPTION":"iPhone 17 Pro Max Sliver ios update","PHONE NUMBER":"","DEAL LOCATION":"","INTERNAL NOTE":"","EXPENSE AMOUNT":"","CALCULATED PROFIT":"","EXPENSE DESCRIPTION":"","IMEI FOR SWAPPED DEAL":""}</t>
  </si>
  <si>
    <t>99bbf67151ae5cc990f8c705c367592f1dd7bc710500f48c65c660d511f65112</t>
  </si>
  <si>
    <t>2026-03-26T00:00:00+01:00</t>
  </si>
  <si>
    <t>{"in":"","DATE":"3/26/2026","IMEI":"","NAME":"LIZZIE TECHBOX","TIME":"","PRICE":"\u20a62,500.00","STATUS":"PAID","PAID DATE":"","RECORD_ID":"9ebfd7467a084f1ab5041052ebea0f63","Amount paid":"\u20a62,500.00","DESCRIPTION":"iPhone 16 Pro Black Titanium IOS UPDATE","PHONE NUMBER":"","DEAL LOCATION":"","INTERNAL NOTE":"","EXPENSE AMOUNT":"","CALCULATED PROFIT":"","EXPENSE DESCRIPTION":"","IMEI FOR SWAPPED DEAL":""}</t>
  </si>
  <si>
    <t>3986e1aff2ca85f5c5c726bcd0810ac50f484c6d43d8a3a772b0f258fa4e0c22</t>
  </si>
  <si>
    <t>{"in":"","DATE":"3/24/2026","IMEI":354423235215700,"NAME":"RAYMOND","TIME":"","PRICE":"\u20a6730,000.00","STATUS":"PART PAYMENT","PAID DATE":"","RECORD_ID":"760b859f72224ae98f2766defa238a93","Amount paid":"\u20a6725,000.00","DESCRIPTION":"IPHONE 16 PRO MAX. DESERT TITANIUM. 93%. 256GB. LOCKED","PHONE NUMBER":2349161048040,"DEAL LOCATION":"","INTERNAL NOTE":"","EXPENSE AMOUNT":"","CALCULATED PROFIT":"","EXPENSE DESCRIPTION":"","IMEI FOR SWAPPED DEAL":""}</t>
  </si>
  <si>
    <t>a159f046cc8c95399cebd50b68737effb040db2bb1a90e46ac75beec48cef7e4</t>
  </si>
  <si>
    <t>{"in":"","DATE":"3/24/2026","IMEI":"","NAME":"BAHMS","TIME":"","PRICE":"\u20a62,000.00","STATUS":"PAID","PAID DATE":"","RECORD_ID":"41fab8ccee7a427e9b9996e40776fd16","Amount paid":"","DESCRIPTION":"IPHONE 15 PRO MAX IOS UPDATE","PHONE NUMBER":2349069477050,"DEAL LOCATION":"","INTERNAL NOTE":"","EXPENSE AMOUNT":"","CALCULATED PROFIT":"","EXPENSE DESCRIPTION":"","IMEI FOR SWAPPED DEAL":""}</t>
  </si>
  <si>
    <t>2e34ed66eae197445b03c1022e7117f9dc9ef33a4abd2512c47e64223bd833d6</t>
  </si>
  <si>
    <t>{"in":"","DATE":"3/24/2026","IMEI":"","NAME":"CH4","TIME":"","PRICE":"\u20a62,500.00","STATUS":"PAID","PAID DATE":"","RECORD_ID":"2a9fa1f4bc90418d91ebf11914bcd6f3","Amount paid":"\u20a62,500.00","DESCRIPTION":"BLACK IPHONE 15 IOS UPDATE","PHONE NUMBER":2348131941406,"DEAL LOCATION":"","INTERNAL NOTE":"","EXPENSE AMOUNT":"","CALCULATED PROFIT":"","EXPENSE DESCRIPTION":"","IMEI FOR SWAPPED DEAL":""}</t>
  </si>
  <si>
    <t>b51bd0acd130b8d610af0506b06dc828b9ba50c3f309a9c2c006880ac043d648</t>
  </si>
  <si>
    <t>{"in":"","DATE":"....","IMEI":"...","NAME":"....","TIME":"","PRICE":"....","STATUS":"..","PAID DATE":"","RECORD_ID":"d36b945c0570432e9eff8410005d5aeb","Amount paid":"","DESCRIPTION":"...","PHONE NUMBER":"","DEAL LOCATION":"","INTERNAL NOTE":"","EXPENSE AMOUNT":"","CALCULATED PROFIT":"","EXPENSE DESCRIPTION":"","IMEI FOR SWAPPED DEAL":""}</t>
  </si>
  <si>
    <t>b9f8f9f2e9f689c8a99fa494847037de9f65c843566d4f2161fd0560d66767c5</t>
  </si>
  <si>
    <t>{"in":"","DATE":"....","IMEI":"...","NAME":"....","TIME":"","PRICE":"....","STATUS":"..","PAID DATE":"","RECORD_ID":"bb6702565dda4388af3d48328df4aae0","Amount paid":"","DESCRIPTION":"...","PHONE NUMBER":"","DEAL LOCATION":"","INTERNAL NOTE":"","EXPENSE AMOUNT":"","CALCULATED PROFIT":"","EXPENSE DESCRIPTION":"","IMEI FOR SWAPPED DEAL":""}</t>
  </si>
  <si>
    <t>695f959caedd97a4cdbf7a3347a3188bf8116ac85ff4e515815710aa4a6c7cbe</t>
  </si>
  <si>
    <t>{"in":"","DATE":"....","IMEI":"...","NAME":"....","TIME":"","PRICE":"....","STATUS":"..","PAID DATE":"","RECORD_ID":"594278f88e5d43adbda24afa839bf967","Amount paid":"","DESCRIPTION":"...","PHONE NUMBER":"","DEAL LOCATION":"","INTERNAL NOTE":"","EXPENSE AMOUNT":"","CALCULATED PROFIT":"","EXPENSE DESCRIPTION":"","IMEI FOR SWAPPED DEAL":""}</t>
  </si>
  <si>
    <t>b0be56b4503bbe2152cc650bf9f0b499521eb8adfce750b20848d8b4d223273c</t>
  </si>
  <si>
    <t>{"in":"","DATE":"3/25/2026","IMEI":"","NAME":"SPILOIT","TIME":"","PRICE":"\u20a68,000.00","STATUS":"PAID","PAID DATE":"","RECORD_ID":"404192e84ab74fcdb09ebabb1294ee03","Amount paid":"\u20a68,000.00","DESCRIPTION":"USA ICLOUD OPENING","PHONE NUMBER":2347035996286,"DEAL LOCATION":"","INTERNAL NOTE":"","EXPENSE AMOUNT":"","CALCULATED PROFIT":"","EXPENSE DESCRIPTION":"","IMEI FOR SWAPPED DEAL":""}</t>
  </si>
  <si>
    <t>0f9d0da34e46cdcf27b5eb01149727de7713a6159bac9c87d8d3dda86ba305ed</t>
  </si>
  <si>
    <t>{"in":"","DATE":"3/25/2026","IMEI":"","NAME":"FAME","TIME":"","PRICE":"\u20a62,500.00","STATUS":"PAID","PAID DATE":"","RECORD_ID":"fb6c3439082445c586d7003a67f31fed","Amount paid":"\u20a62,500.00","DESCRIPTION":"16 PRO MAX IOS UPDATE","PHONE NUMBER":2348144970435,"DEAL LOCATION":"","INTERNAL NOTE":"","EXPENSE AMOUNT":"","CALCULATED PROFIT":"","EXPENSE DESCRIPTION":"","IMEI FOR SWAPPED DEAL":""}</t>
  </si>
  <si>
    <t>54cf3b4b1f7cffbeb796b8f67624b5e1672532f4630db93213ea4481f805a86d</t>
  </si>
  <si>
    <t>{"in":"","DATE":"3/25/2026","IMEI":"","NAME":"SALVAGE YARD","TIME":"","PRICE":"\u20a63,000.00","STATUS":"PAID","PAID DATE":"","RECORD_ID":"c693a53156f94d70abf2395089f263ab","Amount paid":"","DESCRIPTION":"DESERT 16 PRO IOS UPDATE","PHONE NUMBER":2348115308158,"DEAL LOCATION":"","INTERNAL NOTE":"","EXPENSE AMOUNT":"","CALCULATED PROFIT":"","EXPENSE DESCRIPTION":"","IMEI FOR SWAPPED DEAL":""}</t>
  </si>
  <si>
    <t>e369f3ae0859e3801da99df121f3aa9a5bba04208f9bdfb6bb8d5bd51a8cff05</t>
  </si>
  <si>
    <t>{"in":"","DATE":"3/25/2026","IMEI":"","NAME":"CLARK GADGETS","TIME":"","PRICE":"\u20a65,000.00","STATUS":"PAID","PAID DATE":"","RECORD_ID":"7b94d5c671cb440db985f5e5ac5d845a","Amount paid":"","DESCRIPTION":"NIGERIA ICLOUD OPENING","PHONE NUMBER":2347064459910,"DEAL LOCATION":"","INTERNAL NOTE":"","EXPENSE AMOUNT":"","CALCULATED PROFIT":"","EXPENSE DESCRIPTION":"","IMEI FOR SWAPPED DEAL":""}</t>
  </si>
  <si>
    <t>ca461b324f5928cf6b3d29833b05191890182592ffff02eb3faaaffc7deee7f2</t>
  </si>
  <si>
    <t>{"in":"","DATE":"3/25/2026","IMEI":"","NAME":"AREMO GADGETS","TIME":"","PRICE":"\u20a62,500.00","STATUS":"paid","PAID DATE":"","RECORD_ID":"d0f8cff2b73b46618125719b0c1b8d14","Amount paid":"","DESCRIPTION":"IPHONE 13 PASSWORD FLASH","PHONE NUMBER":"","DEAL LOCATION":"","INTERNAL NOTE":"","EXPENSE AMOUNT":"","CALCULATED PROFIT":"","EXPENSE DESCRIPTION":"","IMEI FOR SWAPPED DEAL":""}</t>
  </si>
  <si>
    <t>a792046ca0a17198bccc8d615d317b3204d4aa166fe273a415fec61f520b1237</t>
  </si>
  <si>
    <t>{"in":"","DATE":"3/25/2026","IMEI":"","NAME":"FORMULA","TIME":"","PRICE":"\u20a62,500.00","STATUS":"PAID","PAID DATE":"","RECORD_ID":"b9573364f06b4acda744f1e8b1f24fc1","Amount paid":"\u20a62,500.00","DESCRIPTION":"IPHONE AIR IOS UPDATE. SKY BLUE","PHONE NUMBER":2347067612418,"DEAL LOCATION":"","INTERNAL NOTE":"","EXPENSE AMOUNT":"","CALCULATED PROFIT":"","EXPENSE DESCRIPTION":"","IMEI FOR SWAPPED DEAL":""}</t>
  </si>
  <si>
    <t>cd9606c261753dd7b401291ad4a6feb25e383fda3b81b9f7f3e403ded352e7e1</t>
  </si>
  <si>
    <t>{"in":"","DATE":"3/25/2026","IMEI":"","NAME":"OZ GADGET","TIME":"","PRICE":"\u20a62,500.00","STATUS":"PAID","PAID DATE":"","RECORD_ID":"0d0e0144a0144506a758db60871dde28","Amount paid":"\u20a62,500.00","DESCRIPTION":"SPACE BLACK  IPHONE AIR IOS UPDATE","PHONE NUMBER":2348106293924,"DEAL LOCATION":"","INTERNAL NOTE":"","EXPENSE AMOUNT":"","CALCULATED PROFIT":"","EXPENSE DESCRIPTION":"","IMEI FOR SWAPPED DEAL":""}</t>
  </si>
  <si>
    <t>9b81ea8e9da2832c1c13826e6ea8c117c33c845cabf29b257c12abd7a9f081fe</t>
  </si>
  <si>
    <t>{"in":"","DATE":"3/25/2026","IMEI":"","NAME":"CUTOMER","TIME":"","PRICE":"\u20a625,000.00","STATUS":"PAID","PAID DATE":"","RECORD_ID":"47667767ec534dc49411ffa2fbf5c627","Amount paid":"","DESCRIPTION":"PERMANENT CHIP UNLOCK FOR IPHONE 13 PRO MAX","PHONE NUMBER":"","DEAL LOCATION":"","INTERNAL NOTE":"","EXPENSE AMOUNT":"","CALCULATED PROFIT":"","EXPENSE DESCRIPTION":"","IMEI FOR SWAPPED DEAL":""}</t>
  </si>
  <si>
    <t>766cc184c01b92bccf249cf3798d6c7fc796c994de1cf1f87e8f4255f1120524</t>
  </si>
  <si>
    <t>{"in":"","DATE":"3/26/2026","IMEI":"","NAME":"BROOKS","TIME":"","PRICE":"\u20a615,000.00","STATUS":"PAID","PAID DATE":"","RECORD_ID":"23cc4d474c87457199f6c3ff35719b96","Amount paid":"","DESCRIPTION":"TEMPORARY CHIP UNLOCK FOR IPHONE 12 PRO","PHONE NUMBER":"","DEAL LOCATION":"","INTERNAL NOTE":"","EXPENSE AMOUNT":"","CALCULATED PROFIT":"","EXPENSE DESCRIPTION":"","IMEI FOR SWAPPED DEAL":""}</t>
  </si>
  <si>
    <t>12a6076c6c126a76d3601aacd167297b342f88da5f3b2c08620dd0b7710d758e</t>
  </si>
  <si>
    <t>{"in":"","DATE":"3/25/2026","IMEI":"","NAME":"FAME","TIME":"","PRICE":"\u20a65,000.00","STATUS":"PAID","PAID DATE":"","RECORD_ID":"0d211d526c7a4a4792fa71dc3c1cd3aa","Amount paid":"\u20a65,000.00","DESCRIPTION":"13 PRO MAX SDP FLASH","PHONE NUMBER":2348144970435,"DEAL LOCATION":"","INTERNAL NOTE":"","EXPENSE AMOUNT":"","CALCULATED PROFIT":"","EXPENSE DESCRIPTION":"","IMEI FOR SWAPPED DEAL":""}</t>
  </si>
  <si>
    <t>4b8b4c70c5659d00e68e1255da0362aadf1794ce2d07cc3c93320d37facb2ef6</t>
  </si>
  <si>
    <t>{"in":"","DATE":"3/25/2026","IMEI":"","NAME":"VERTEX","TIME":"","PRICE":"\u20a63,000.00","STATUS":"PAID","PAID DATE":"","RECORD_ID":"82a769bd261f4c0788ea7564fd03383b","Amount paid":"\u20a63,000.00","DESCRIPTION":"LIGHT GOLD IPHONE AIR IOS UPDATE","PHONE NUMBER":2348103663581,"DEAL LOCATION":"","INTERNAL NOTE":"","EXPENSE AMOUNT":"","CALCULATED PROFIT":"","EXPENSE DESCRIPTION":"","IMEI FOR SWAPPED DEAL":""}</t>
  </si>
  <si>
    <t>7c96a3f49107684a93292341e5ac5f945c3d8b177c414738870ab25e9506c6ab</t>
  </si>
  <si>
    <t>{"in":"","DATE":"3/25/2026","IMEI":"","NAME":"MBENZ","TIME":"","PRICE":"\u20a6100,000.00","STATUS":"PAID","PAID DATE":"","RECORD_ID":"fdec86dba5764137b2ab31838469e6c8","Amount paid":"\u20a6100,000.00","DESCRIPTION":"100K BORROWED","PHONE NUMBER":2349137123168,"DEAL LOCATION":"","INTERNAL NOTE":"","EXPENSE AMOUNT":"","CALCULATED PROFIT":"","EXPENSE DESCRIPTION":"","IMEI FOR SWAPPED DEAL":""}</t>
  </si>
  <si>
    <t>40c4b33b654983f342f7b614299f7c0cc0a77a28067521adcaba37f916b4d4e9</t>
  </si>
  <si>
    <t>{"in":"","DATE":"3/25/2026","IMEI":"","NAME":"APPLE 15 PM","TIME":"","PRICE":"\u20a65,000.00","STATUS":"PAID","PAID DATE":"","RECORD_ID":"88ac71ebb8ad4dbcb20979a13507282c","Amount paid":"","DESCRIPTION":"IOS LOCATION CHANGE","PHONE NUMBER":"","DEAL LOCATION":"","INTERNAL NOTE":"","EXPENSE AMOUNT":"","CALCULATED PROFIT":"","EXPENSE DESCRIPTION":"","IMEI FOR SWAPPED DEAL":""}</t>
  </si>
  <si>
    <t>c51aac3ff6b7e3c13900090c3fc79949e778ba3f02de695e7280e7c7ec839868</t>
  </si>
  <si>
    <t>{"in":"","DATE":"3/25/2026","IMEI":351935566554418,"NAME":"HADLARD COMMUNICATIONS","TIME":"","PRICE":"\u20a6760,000.00","STATUS":"returned","PAID DATE":"","RECORD_ID":"3fd85319d5d348fc895e3f486ba0de6b","Amount paid":"","DESCRIPTION":"ULTRAMARINE BLUE IPHONE 16. 128GB. ESIM. 92%","PHONE NUMBER":"","DEAL LOCATION":"","INTERNAL NOTE":"","EXPENSE AMOUNT":"","CALCULATED PROFIT":"","EXPENSE DESCRIPTION":"","IMEI FOR SWAPPED DEAL":""}</t>
  </si>
  <si>
    <t>cf8d73a848365cbc4315426cd6137026e2d21d7e650b3f050e2e0a1b9b8da2bb</t>
  </si>
  <si>
    <t>{"in":"","DATE":"....","IMEI":"...","NAME":"....","TIME":"","PRICE":"....","STATUS":"..","PAID DATE":"","RECORD_ID":"d2e5039de27142b68561a80542a92a86","Amount paid":"","DESCRIPTION":"...","PHONE NUMBER":"","DEAL LOCATION":"","INTERNAL NOTE":"","EXPENSE AMOUNT":"","CALCULATED PROFIT":"","EXPENSE DESCRIPTION":"","IMEI FOR SWAPPED DEAL":""}</t>
  </si>
  <si>
    <t>0c2da0d7127239fa52575a532bfd04ec2e8e2e049781246833b49413fef471d9</t>
  </si>
  <si>
    <t>{"in":"","DATE":"....","IMEI":"...","NAME":"....","TIME":"","PRICE":"....","STATUS":"..","PAID DATE":"","RECORD_ID":"c9a0943fbdd9493cb8e6dfac8ac663be","Amount paid":"","DESCRIPTION":"...","PHONE NUMBER":"","DEAL LOCATION":"","INTERNAL NOTE":"","EXPENSE AMOUNT":"","CALCULATED PROFIT":"","EXPENSE DESCRIPTION":"","IMEI FOR SWAPPED DEAL":""}</t>
  </si>
  <si>
    <t>dcc7c85b8d22795db6e56220edaa0492915d2854de0a313a8c8b2c865d0291fa</t>
  </si>
  <si>
    <t>{"in":"","DATE":"....","IMEI":"...","NAME":"....","TIME":"","PRICE":"....","STATUS":"..","PAID DATE":"","RECORD_ID":"90fa9d4e007143d998890364b4846905","Amount paid":"","DESCRIPTION":"...","PHONE NUMBER":"","DEAL LOCATION":"","INTERNAL NOTE":"","EXPENSE AMOUNT":"","CALCULATED PROFIT":"","EXPENSE DESCRIPTION":"","IMEI FOR SWAPPED DEAL":""}</t>
  </si>
  <si>
    <t>d2d5da1b7f4bc23f1e1c2b461cd61c490a69687dd3f78235c1078ce18d6c9a57</t>
  </si>
  <si>
    <t>2025-03-26T00:00:00+01:00</t>
  </si>
  <si>
    <t>{"in":"","DATE":"3/26/2025","IMEI":"","NAME":"STARBOX","TIME":"","PRICE":"\u20a6465,000.00","STATUS":"PAID","PAID DATE":"","RECORD_ID":"54d645f9faa841818a424266a80ed1d9","Amount paid":"\u20a6465,000.00","DESCRIPTION":"BORROWED 465K","PHONE NUMBER":2349063620334,"DEAL LOCATION":"","INTERNAL NOTE":"","EXPENSE AMOUNT":"","CALCULATED PROFIT":"","EXPENSE DESCRIPTION":"","IMEI FOR SWAPPED DEAL":""}</t>
  </si>
  <si>
    <t>1fe31e1b9dc981bd17d56ce47f8479f2df20a845654fe6762ea47463dc702e53</t>
  </si>
  <si>
    <t>{"in":"","DATE":"3/26/2026","IMEI":"","NAME":"STAR BUSSY","TIME":"","PRICE":"\u20a6100,000.00","STATUS":"PAID","PAID DATE":"","RECORD_ID":"e1a33ab3638c48538de0674a00893eed","Amount paid":"\u20a6100,000.00","DESCRIPTION":"LIFELINE ESIM","PHONE NUMBER":2348127738411,"DEAL LOCATION":"","INTERNAL NOTE":"","EXPENSE AMOUNT":"","CALCULATED PROFIT":"","EXPENSE DESCRIPTION":"","IMEI FOR SWAPPED DEAL":""}</t>
  </si>
  <si>
    <t>adb4372e4f1678efafa670c56691181ba47c4e1e14f66bc8880404c6411b5f7d</t>
  </si>
  <si>
    <t>{"in":"","DATE":"3/27/2026","IMEI":"","NAME":"CUSTOMER","TIME":"","PRICE":"\u20a64,000.00","STATUS":"PAIS","PAID DATE":"","RECORD_ID":"23e4e6996dc447fe976d68bf718b349f","Amount paid":"","DESCRIPTION":"IPHONE 12 IOS UPGRADE","PHONE NUMBER":2341234567890,"DEAL LOCATION":"","INTERNAL NOTE":"","EXPENSE AMOUNT":"","CALCULATED PROFIT":"","EXPENSE DESCRIPTION":"","IMEI FOR SWAPPED DEAL":""}</t>
  </si>
  <si>
    <t>a9429dc8485c130598ea73c2fe42ab10a65165a83538076339fb3ac1053194f5</t>
  </si>
  <si>
    <t>{"in":"","DATE":"3/26/2026","IMEI":356140776073847,"NAME":"MASTERY MOBILE","TIME":"","PRICE":"\u20a6775,000.00","STATUS":"PAID","PAID DATE":"","RECORD_ID":"d3279773bd044dcab37e3002e69f3eef","Amount paid":"\u20a6775,000.00","DESCRIPTION":"IPHONE 16. OPENED BOX. 100%. 128GB. 163 CC. ULTRAMARINE","PHONE NUMBER":2348027964718,"DEAL LOCATION":"","INTERNAL NOTE":"","EXPENSE AMOUNT":"","CALCULATED PROFIT":"","EXPENSE DESCRIPTION":"","IMEI FOR SWAPPED DEAL":""}</t>
  </si>
  <si>
    <t>cff9ddc8a94873824d2923d1bcced92bc4c24b0810876c74a8e12fdf2304e97a</t>
  </si>
  <si>
    <t>{"in":"","DATE":"3/26/2026","IMEI":"","NAME":"MASTERY MOBILE","TIME":"","PRICE":"\u20a63,000.00","STATUS":"PAID","PAID DATE":"","RECORD_ID":"22b8edb0a58541919d18d8a4192286d0","Amount paid":"\u20a63,000.00","DESCRIPTION":"IPHONE 16 IOS UPDATE. ULTRAMARINE","PHONE NUMBER":2348027964718,"DEAL LOCATION":"","INTERNAL NOTE":"","EXPENSE AMOUNT":"","CALCULATED PROFIT":"","EXPENSE DESCRIPTION":"","IMEI FOR SWAPPED DEAL":""}</t>
  </si>
  <si>
    <t>8e5280b4ec359c50c27ea9f375b7b0540f9e3feab3a271ba478ebf648a95b8af</t>
  </si>
  <si>
    <t>{"in":"","DATE":"3/26/2026","IMEI":351194966961241,"NAME":"SAMMY CONCEPT","TIME":"","PRICE":"\u20a6340,000.00","STATUS":"PAID","PAID DATE":"","RECORD_ID":"0bf23f516afc418e960bf7621eb3ef4d","Amount paid":"\u20a6340,000.00","DESCRIPTION":"IPHONE 12 PRO. 128GB. BLACK. 90%","PHONE NUMBER":2349037002617,"DEAL LOCATION":"","INTERNAL NOTE":"","EXPENSE AMOUNT":"","CALCULATED PROFIT":"","EXPENSE DESCRIPTION":"","IMEI FOR SWAPPED DEAL":""}</t>
  </si>
  <si>
    <t>ddb4d312eef538abae18192ca98f32e29e94579d70da4bcfdce9b1da3cf2761a</t>
  </si>
  <si>
    <t>{"in":"","DATE":"3/26/2026","IMEI":"","NAME":"OLALEKAN AWOGBOLA","TIME":"","PRICE":"\u20a615,000.00","STATUS":"PAID","PAID DATE":"","RECORD_ID":"a15015f2c6b74e13a5ac89b32e158eec","Amount paid":"\u20a615,000.00","DESCRIPTION":"IPHONE XR APPLE ID FIX","PHONE NUMBER":2347060574078,"DEAL LOCATION":"","INTERNAL NOTE":"","EXPENSE AMOUNT":"","CALCULATED PROFIT":"","EXPENSE DESCRIPTION":"","IMEI FOR SWAPPED DEAL":""}</t>
  </si>
  <si>
    <t>45859fc9f2fd3d97ccadde847e633c29711dfae2c3195182190987d9a8214f22</t>
  </si>
  <si>
    <t>{"in":"","DATE":"3/26/2026","IMEI":"","NAME":"MARVY TM","TIME":"","PRICE":"\u20a63,000.00","STATUS":"PAID","PAID DATE":"","RECORD_ID":"d5edc87b05b34371b7f4f1c1d53f3e2a","Amount paid":"\u20a63,000.00","DESCRIPTION":"IPHONE 17 PRO. DEEP BLUE IOS UPDATE","PHONE NUMBER":"","DEAL LOCATION":"","INTERNAL NOTE":"","EXPENSE AMOUNT":"","CALCULATED PROFIT":"","EXPENSE DESCRIPTION":"","IMEI FOR SWAPPED DEAL":""}</t>
  </si>
  <si>
    <t>c39a85e19186a1115f9dac7cb6c0ec7551508b5d499ca9dd63e7484b7bf70e1f</t>
  </si>
  <si>
    <t>{"in":"","DATE":"3/26/2026","IMEI":358730091228981,"NAME":"HADLARD COMMUNICATIONS","TIME":"","PRICE":"\u20a6140,000.00","STATUS":"PAID","PAID DATE":"","RECORD_ID":"1bb8011404a64e85a0ce71398b06b2a2","Amount paid":"\u20a6140,000.00","DESCRIPTION":"IPHONE XS MAX. 256GB. NFID. 96%","PHONE NUMBER":"","DEAL LOCATION":"","INTERNAL NOTE":"","EXPENSE AMOUNT":"","CALCULATED PROFIT":"","EXPENSE DESCRIPTION":"","IMEI FOR SWAPPED DEAL":""}</t>
  </si>
  <si>
    <t>81eb23be06a0edc6c5df68f8cf3e603d0e7f2895f13b22295d7fa17bc5a2dbb0</t>
  </si>
  <si>
    <t>{"in":"","DATE":"3/26/2026","IMEI":"","NAME":"SAMMY CONCEPT","TIME":"","PRICE":"\u20a62,500.00","STATUS":"PAID","PAID DATE":"","RECORD_ID":"30dc876891364b17a9202e659c8fab10","Amount paid":"\u20a6340,000.00","DESCRIPTION":"BLUE IPHONE 12 PRO IOS UPDATE","PHONE NUMBER":2349037002617,"DEAL LOCATION":"","INTERNAL NOTE":"","EXPENSE AMOUNT":"","CALCULATED PROFIT":"","EXPENSE DESCRIPTION":"","IMEI FOR SWAPPED DEAL":""}</t>
  </si>
  <si>
    <t>abaee5478b038a6cad18f4f05be6a64efaf71d729d1615d4cabf9c5ead7a54af</t>
  </si>
  <si>
    <t>{"in":"","DATE":"3/26/2026","IMEI":"","NAME":"MARVY TM","TIME":"","PRICE":"\u20a63,000.00","STATUS":"PAID","PAID DATE":"","RECORD_ID":"b8e0917e11f7463797bcb9a5f8d28293","Amount paid":"\u20a63,000.00","DESCRIPTION":"FILE TRANSFER","PHONE NUMBER":"","DEAL LOCATION":"","INTERNAL NOTE":"","EXPENSE AMOUNT":"","CALCULATED PROFIT":"","EXPENSE DESCRIPTION":"","IMEI FOR SWAPPED DEAL":""}</t>
  </si>
  <si>
    <t>dca74fc68f9a0ea42134b5cbff25b735c9c5891b09f70c638623a214bdbd57ad</t>
  </si>
  <si>
    <t>2026-03-27T00:00:00+01:00</t>
  </si>
  <si>
    <t>{"in":"","DATE":"3/27/2026","IMEI":"","NAME":"MARVY TM","TIME":"","PRICE":"\u20a65,000.00","STATUS":"PAID","PAID DATE":"","RECORD_ID":"d049df5e579f4d43813a7912565d8884","Amount paid":"\u20a65,000.00","DESCRIPTION":"ESIM TRANSFER","PHONE NUMBER":"","DEAL LOCATION":"","INTERNAL NOTE":"","EXPENSE AMOUNT":"","CALCULATED PROFIT":"","EXPENSE DESCRIPTION":"","IMEI FOR SWAPPED DEAL":""}</t>
  </si>
  <si>
    <t>dcee83a97c5cf41e9cfddc6bc9956c88f3294c4eaed83aa1f17c7f47fb782266</t>
  </si>
  <si>
    <t>{"in":"","DATE":"3/26/2026","IMEI":"","NAME":"IGEE","TIME":"","PRICE":"\u20a62,500.00","STATUS":"PAID","PAID DATE":"","RECORD_ID":"125d88a78d0d49a9a775d5ce2805f6ce","Amount paid":"\u20a62,500.00","DESCRIPTION":"IPHONE 11. PURPLE. IOS UPDATE","PHONE NUMBER":2347071736488,"DEAL LOCATION":"","INTERNAL NOTE":"","EXPENSE AMOUNT":"","CALCULATED PROFIT":"","EXPENSE DESCRIPTION":"","IMEI FOR SWAPPED DEAL":""}</t>
  </si>
  <si>
    <t>25cdd6645f9ae69bc8478dbf40eeffbee6530ec2d4aee61278f68cfe844f0fed</t>
  </si>
  <si>
    <t>{"in":"","DATE":"3/26/2026","IMEI":"","NAME":"MBENZ","TIME":"","PRICE":"\u20a675,000.00","STATUS":"PAID","PAID DATE":"","RECORD_ID":"d4ebfa0087684d47bb53e2a44818e830","Amount paid":"\u20a675,000.00","DESCRIPTION":"3 MONTHS ESIM","PHONE NUMBER":2349137123168,"DEAL LOCATION":"","INTERNAL NOTE":"","EXPENSE AMOUNT":"","CALCULATED PROFIT":"","EXPENSE DESCRIPTION":"","IMEI FOR SWAPPED DEAL":""}</t>
  </si>
  <si>
    <t>96d289e5d94e14b553301f07246b1c16a0833a25f787890512e859219ca9154c</t>
  </si>
  <si>
    <t>{"in":"","DATE":"....","IMEI":"...","NAME":"....","TIME":"","PRICE":"....","STATUS":"..","PAID DATE":"","RECORD_ID":"fff4e5fc5c2542caa43f4f6f3af2191d","Amount paid":"","DESCRIPTION":"...","PHONE NUMBER":"","DEAL LOCATION":"","INTERNAL NOTE":"","EXPENSE AMOUNT":"","CALCULATED PROFIT":"","EXPENSE DESCRIPTION":"","IMEI FOR SWAPPED DEAL":""}</t>
  </si>
  <si>
    <t>2652b84d557592fc41fb8ff520b1d70f5214672214078797afbdb46ece6f6755</t>
  </si>
  <si>
    <t>{"in":"","DATE":"....","IMEI":"...","NAME":"....","TIME":"","PRICE":"....","STATUS":"..","PAID DATE":"","RECORD_ID":"84a9b0408f87421284a4aa2030c3ed85","Amount paid":"","DESCRIPTION":"...","PHONE NUMBER":"","DEAL LOCATION":"","INTERNAL NOTE":"","EXPENSE AMOUNT":"","CALCULATED PROFIT":"","EXPENSE DESCRIPTION":"","IMEI FOR SWAPPED DEAL":""}</t>
  </si>
  <si>
    <t>44a986104131c1edc765bc1700b7806d2de5d4cbe05a7b08002a9f261635c9d5</t>
  </si>
  <si>
    <t>{"in":"","DATE":"....","IMEI":"...","NAME":"....","TIME":"","PRICE":"....","STATUS":"..","PAID DATE":"","RECORD_ID":"2c0bdca7f34b4a979243f882ca559f03","Amount paid":"","DESCRIPTION":"...","PHONE NUMBER":"","DEAL LOCATION":"","INTERNAL NOTE":"","EXPENSE AMOUNT":"","CALCULATED PROFIT":"","EXPENSE DESCRIPTION":"","IMEI FOR SWAPPED DEAL":""}</t>
  </si>
  <si>
    <t>23014ebc24066cdd7e01a164b62f38638a6c3d6d9c8d66b760eae6a56fea0c7f</t>
  </si>
  <si>
    <t>{"in":"","DATE":"3/27/2026","IMEI":353926106063562,"NAME":"SKY PERIOXIDE","TIME":"","PRICE":"\u20a6180,000.00","STATUS":"PAID","PAID DATE":"","RECORD_ID":"3a1a63e80ee54d9aa54dd98b74db24fa","Amount paid":"\u20a6180,000.00","DESCRIPTION":"11 PRO MAX 256. IDM. IBM. MIDNIGHT GREEN","PHONE NUMBER":"","DEAL LOCATION":"","INTERNAL NOTE":"","EXPENSE AMOUNT":"","CALCULATED PROFIT":"","EXPENSE DESCRIPTION":"","IMEI FOR SWAPPED DEAL":""}</t>
  </si>
  <si>
    <t>34eac710b45c873d00ea9a7242e912d2d6b8b6674dd95f1bbf8b15be25fa16f3</t>
  </si>
  <si>
    <t>2026-03-28T00:00:00+01:00</t>
  </si>
  <si>
    <t>{"in":"","DATE":"3/28/2026","IMEI":"","NAME":"NURUDEEN","TIME":"","PRICE":"\u20a62,500.00","STATUS":"PAID","PAID DATE":"","RECORD_ID":"0caa940c2b904dae9ed5c957aaa3ab22","Amount paid":"\u20a62,500.00","DESCRIPTION":"IPHONE 15 PRO IOS UPDATE","PHONE NUMBER":9122727950,"DEAL LOCATION":"","INTERNAL NOTE":"","EXPENSE AMOUNT":"","CALCULATED PROFIT":"","EXPENSE DESCRIPTION":"","IMEI FOR SWAPPED DEAL":""}</t>
  </si>
  <si>
    <t>bb83e9539e880a4cbc49d91dc816387e6b2123508c093fa64cdb938f18578462</t>
  </si>
  <si>
    <t>{"in":"","DATE":"3/27/2026","IMEI":354331124392649,"NAME":"MD GADGS","TIME":"","PRICE":"\u20a61,100,000.00","STATUS":"paid","PAID DATE":"","RECORD_ID":"f5153ebfb6d243a3af091d8878a83274","Amount paid":"\u20a61,100,000.00","DESCRIPTION":"IPHONE 16 PRO MAX. WHITE TITANIUM. 256GB. 97%","PHONE NUMBER":2348166860603,"DEAL LOCATION":"","INTERNAL NOTE":"","EXPENSE AMOUNT":"","CALCULATED PROFIT":"","EXPENSE DESCRIPTION":"","IMEI FOR SWAPPED DEAL":""}</t>
  </si>
  <si>
    <t>13ae069d66ed19ea733261eead9ce71d85edef45b437ef0ab4bd82e004cff110</t>
  </si>
  <si>
    <t>{"in":"","DATE":"3/27/2026","IMEI":356483109107191,"NAME":"RAYMOND","TIME":"","PRICE":"\u20a6140,000.00","STATUS":"returned","PAID DATE":"","RECORD_ID":"4a7b28976f52423095cf4b5c576038ec","Amount paid":"","DESCRIPTION":"ERED IPHONE SE 2ND GEN. 76%","PHONE NUMBER":2349161048040,"DEAL LOCATION":"","INTERNAL NOTE":"","EXPENSE AMOUNT":"","CALCULATED PROFIT":"","EXPENSE DESCRIPTION":"","IMEI FOR SWAPPED DEAL":""}</t>
  </si>
  <si>
    <t>91c9d52a75634c5b43d4f29e838728ce2dc03c0173d054f04e83e35c3b141952</t>
  </si>
  <si>
    <t>{"in":"","DATE":"3/27/2026","IMEI":"","NAME":"BABAWALE","TIME":"","PRICE":"\u20a65,000.00","STATUS":"PAID","PAID DATE":"","RECORD_ID":"243677d205514b5fb83fd9b9ead31327","Amount paid":"\u20a65,000.00","DESCRIPTION":"ICLOUD OPENING NIGERIA","PHONE NUMBER":"","DEAL LOCATION":"","INTERNAL NOTE":"","EXPENSE AMOUNT":"","CALCULATED PROFIT":"","EXPENSE DESCRIPTION":"","IMEI FOR SWAPPED DEAL":""}</t>
  </si>
  <si>
    <t>1f985f3359ec3f04eef5b87a71ee9f586d71757bd088ac0535c5a4bf9f5fbae0</t>
  </si>
  <si>
    <t>{"in":"","DATE":"3/27/2026","IMEI":"","NAME":"SEYIFUNMI","TIME":"","PRICE":"\u20a62,500.00","STATUS":"PAID","PAID DATE":"","RECORD_ID":"21dd6a64ea0645a38f6ad3bb844071c3","Amount paid":"\u20a62,500.00","DESCRIPTION":"WHITE IPHONE 16 PLUS IOS UPDATE","PHONE NUMBER":2347065500068,"DEAL LOCATION":"","INTERNAL NOTE":"","EXPENSE AMOUNT":"","CALCULATED PROFIT":"","EXPENSE DESCRIPTION":"","IMEI FOR SWAPPED DEAL":""}</t>
  </si>
  <si>
    <t>ec9264a979905859678f0b30bf0144d2081342451f3b147b57a87c469dbb595b</t>
  </si>
  <si>
    <t>{"in":"","DATE":"3/27/2026","IMEI":"","NAME":"DON","TIME":"","PRICE":"\u20a65,000.00","STATUS":"PAID","PAID DATE":"","RECORD_ID":"d072e3e5c9cd4ebaa73dbd866d2960ef","Amount paid":"","DESCRIPTION":"ICLOUD OPENING NIGERIA","PHONE NUMBER":2348137676322,"DEAL LOCATION":"","INTERNAL NOTE":"","EXPENSE AMOUNT":"","CALCULATED PROFIT":"","EXPENSE DESCRIPTION":"","IMEI FOR SWAPPED DEAL":""}</t>
  </si>
  <si>
    <t>79d3c6703a3a079ffc17286b5db6cad143f23f49f8a3d602de98150ce00be45c</t>
  </si>
  <si>
    <t>{"in":"","DATE":"3/27/2026","IMEI":350359740006958,"NAME":"JT GADGET","TIME":"","PRICE":"\u20a6230,000.00","STATUS":"PAID","PAID DATE":"","RECORD_ID":"d7e3605ef3b84893927b791227624cd6","Amount paid":"\u20a6230,000.00","DESCRIPTION":"SAMSUNG GALAXY S21 8GB + 256GB","PHONE NUMBER":"","DEAL LOCATION":"","INTERNAL NOTE":"","EXPENSE AMOUNT":"","CALCULATED PROFIT":"","EXPENSE DESCRIPTION":"","IMEI FOR SWAPPED DEAL":""}</t>
  </si>
  <si>
    <t>a0d3a0c22f34fc341d8b867a71c35482c5e3da9e5d698bd8d8a5507768e87640</t>
  </si>
  <si>
    <t>{"in":"","DATE":"3/27/2026","IMEI":"","NAME":"STAR BUSSY","TIME":"","PRICE":"\u20a65,000.00","STATUS":"PAID","PAID DATE":"","RECORD_ID":"0339347f89284a81aa96003708acd8fc","Amount paid":"\u20a65,000.00","DESCRIPTION":"ICLOUD OPENING NIGERIA","PHONE NUMBER":2348127738411,"DEAL LOCATION":"","INTERNAL NOTE":"","EXPENSE AMOUNT":"","CALCULATED PROFIT":"","EXPENSE DESCRIPTION":"","IMEI FOR SWAPPED DEAL":""}</t>
  </si>
  <si>
    <t>e4e6b1f7bdfbaec3c641fa91121d7e684b99452c4a1a5dbc58266c16fbde194e</t>
  </si>
  <si>
    <t>{"in":"","DATE":"3/27/2026","IMEI":"","NAME":"KOLAWOLE","TIME":"","PRICE":"\u20a65,000.00","STATUS":"PAID","PAID DATE":"","RECORD_ID":"5a89b740d5a04c30ab54d62bbe34aa7c","Amount paid":"","DESCRIPTION":"ICLOUD OPENING NIGERIA","PHONE NUMBER":"","DEAL LOCATION":"","INTERNAL NOTE":"","EXPENSE AMOUNT":"","CALCULATED PROFIT":"","EXPENSE DESCRIPTION":"","IMEI FOR SWAPPED DEAL":""}</t>
  </si>
  <si>
    <t>196e0e2965a5eff05669a60ebdee903694b5da7b7c4b6a9b36c0c42efa10d8e3</t>
  </si>
  <si>
    <t>{"in":"","DATE":"3/27/2026","IMEI":"","NAME":"MD GADGS","TIME":"","PRICE":"\u20a6630,000.00","STATUS":"paid","PAID DATE":"","RECORD_ID":"2d4313a61c2e428b9d9fd396434298ca","Amount paid":"\u20a6630,000.00","DESCRIPTION":"IPHONE 14 PRO PHYSICAL + ESIM. GOLD. 90%","PHONE NUMBER":2348166860603,"DEAL LOCATION":"","INTERNAL NOTE":"","EXPENSE AMOUNT":"","CALCULATED PROFIT":"","EXPENSE DESCRIPTION":"","IMEI FOR SWAPPED DEAL":""}</t>
  </si>
  <si>
    <t>a1bcdf3e20cec3e1b6c0d235dbc18af56478355b6409dca8d49bbdece140e550</t>
  </si>
  <si>
    <t>{"in":"","DATE":"3/27/2026","IMEI":"","NAME":"OGLEVEL","TIME":"","PRICE":"\u20a618,000.00","STATUS":"PAID","PAID DATE":"","RECORD_ID":"a8e7be5f81564f23aaa029415d49de88","Amount paid":"","DESCRIPTION":"IPHONE 11 PRO MAX CHIP UNLOCK","PHONE NUMBER":"","DEAL LOCATION":"","INTERNAL NOTE":"","EXPENSE AMOUNT":"","CALCULATED PROFIT":"","EXPENSE DESCRIPTION":"","IMEI FOR SWAPPED DEAL":""}</t>
  </si>
  <si>
    <t>1529e0349822ec611d7dea4cbce69e1340985ef8e06f55a07c518170e9c18913</t>
  </si>
  <si>
    <t>{"in":"","DATE":"....","IMEI":"...","NAME":"....","TIME":"","PRICE":"....","STATUS":"..","PAID DATE":"","RECORD_ID":"a472a16558144eb8b961decd777ed6bb","Amount paid":"","DESCRIPTION":"...","PHONE NUMBER":"","DEAL LOCATION":"","INTERNAL NOTE":"","EXPENSE AMOUNT":"","CALCULATED PROFIT":"","EXPENSE DESCRIPTION":"","IMEI FOR SWAPPED DEAL":""}</t>
  </si>
  <si>
    <t>bbc18f52dc94e7abb24961f74896e3b3ad90a8cc334da0403e313abe0661036a</t>
  </si>
  <si>
    <t>{"in":"","DATE":"....","IMEI":"...","NAME":"....","TIME":"","PRICE":"....","STATUS":"..","PAID DATE":"","RECORD_ID":"99f47ad37b634b5ca0907514d3f212d5","Amount paid":"","DESCRIPTION":"...","PHONE NUMBER":"","DEAL LOCATION":"","INTERNAL NOTE":"","EXPENSE AMOUNT":"","CALCULATED PROFIT":"","EXPENSE DESCRIPTION":"","IMEI FOR SWAPPED DEAL":""}</t>
  </si>
  <si>
    <t>29e4105df28c3a22ccf17d1fae22346bfd98c7588807e82c35240cfecdeda023</t>
  </si>
  <si>
    <t>{"in":"","DATE":"....","IMEI":"...","NAME":"....","TIME":"","PRICE":"....","STATUS":"..","PAID DATE":"","RECORD_ID":"ab0195ad31684808a5b24f484bfb081c","Amount paid":"","DESCRIPTION":"...","PHONE NUMBER":"","DEAL LOCATION":"","INTERNAL NOTE":"","EXPENSE AMOUNT":"","CALCULATED PROFIT":"","EXPENSE DESCRIPTION":"","IMEI FOR SWAPPED DEAL":""}</t>
  </si>
  <si>
    <t>023bb40144632ffc518ff07cff5ed086e5065f4c0689e6d9e78900776d5a303b</t>
  </si>
  <si>
    <t>{"in":"","DATE":"3/28/2026","IMEI":"","NAME":"CH4","TIME":"","PRICE":"\u20a62,500.00","STATUS":"PAID","PAID DATE":"","RECORD_ID":"2114a3f0d7e34dcd8896783dd2e51880","Amount paid":"","DESCRIPTION":"iPhone XS Max Space Gray 64GB IOS UPDATE","PHONE NUMBER":2348131941406,"DEAL LOCATION":"","INTERNAL NOTE":"","EXPENSE AMOUNT":"","CALCULATED PROFIT":"","EXPENSE DESCRIPTION":"","IMEI FOR SWAPPED DEAL":""}</t>
  </si>
  <si>
    <t>3964182cacbd651357d394f16b8b9022d7c097f7032c23e57797375c5f4e97a7</t>
  </si>
  <si>
    <t>2026-03-29T00:00:00+01:00</t>
  </si>
  <si>
    <t>{"in":"","DATE":"3/29/2026","IMEI":"VD7V676WT3","NAME":"MILLITANTPLAY","TIME":"","PRICE":"\u20a6170,000.00","STATUS":"PAID","PAID DATE":"","RECORD_ID":"4295db3c458a4383860cb4dc9069c31c","Amount paid":"\u20a6170,000.00","DESCRIPTION":"SERIES 7 ","PHONE NUMBER":"","DEAL LOCATION":"","INTERNAL NOTE":"","EXPENSE AMOUNT":"","CALCULATED PROFIT":"","EXPENSE DESCRIPTION":"","IMEI FOR SWAPPED DEAL":""}</t>
  </si>
  <si>
    <t>131f4362d1efbc34492ea8e31160ece956c455ce23d4548dcfb035cf3e4e7f08</t>
  </si>
  <si>
    <t>{"in":"","DATE":"3/28/2026","IMEI":"","NAME":"DAH UNIQUE","TIME":"","PRICE":"\u20a62,500.00","STATUS":"PAID","PAID DATE":"","RECORD_ID":"5c479322f3e64ef68689faa36c30dcbd","Amount paid":"\u20a62,500.00","DESCRIPTION":"BLACK 14 PRO IOS UPDATE","PHONE NUMBER":2349070536253,"DEAL LOCATION":"","INTERNAL NOTE":"","EXPENSE AMOUNT":"","CALCULATED PROFIT":"","EXPENSE DESCRIPTION":"","IMEI FOR SWAPPED DEAL":""}</t>
  </si>
  <si>
    <t>a99645b3f6ff3d604c31bf5ee48fd969b8a4577550e760a724702d87ef9621e1</t>
  </si>
  <si>
    <t>{"in":"","DATE":"3/28/2026","IMEI":"","NAME":"CH4","TIME":"","PRICE":"\u20a62,500.00","STATUS":"PAID","PAID DATE":"","RECORD_ID":"4d6d0528192646648a0add57e97594b1","Amount paid":"\u20a62,500.00","DESCRIPTION":"BLACK XR IOS UPDATE","PHONE NUMBER":2348131941406,"DEAL LOCATION":"","INTERNAL NOTE":"","EXPENSE AMOUNT":"","CALCULATED PROFIT":"","EXPENSE DESCRIPTION":"","IMEI FOR SWAPPED DEAL":""}</t>
  </si>
  <si>
    <t>4d3f8a19863b4f80a2d0cd8903a35b0415281afe8af6e1c3a69d0d8072cb3725</t>
  </si>
  <si>
    <t>{"in":"","DATE":"3/28/2026","IMEI":"","NAME":"0LUSOLA ADESIDA","TIME":"","PRICE":"\u20a680,000.00","STATUS":"PAID","PAID DATE":"","RECORD_ID":"26f7797486da4047a604b244e14a3d96","Amount paid":"","DESCRIPTION":"IPHONE XR RED. NFID. 74%","PHONE NUMBER":"","DEAL LOCATION":"","INTERNAL NOTE":"","EXPENSE AMOUNT":"","CALCULATED PROFIT":"","EXPENSE DESCRIPTION":"","IMEI FOR SWAPPED DEAL":""}</t>
  </si>
  <si>
    <t>b411b5318f24928dc4ee8fea286e63d4b9dd1a64045f537fbba835034e140285</t>
  </si>
  <si>
    <t>{"in":"","DATE":"3/28/2026","IMEI":"","NAME":"MULLAR GADGET","TIME":"","PRICE":"\u20a6140,000.00","STATUS":"PAID","PAID DATE":"","RECORD_ID":"85e56e5531874e9281604cc45f40727d","Amount paid":"","DESCRIPTION":"IPHONE SE 2ND GEN. RED. 76%","PHONE NUMBER":2348165523297,"DEAL LOCATION":"","INTERNAL NOTE":"","EXPENSE AMOUNT":"","CALCULATED PROFIT":"","EXPENSE DESCRIPTION":"","IMEI FOR SWAPPED DEAL":""}</t>
  </si>
  <si>
    <t>fb09b33191d68e7b42885fbacabe63f0b335d8b9896b393b72ecd366a1bf49df</t>
  </si>
  <si>
    <t>{"in":"","DATE":"3/29/2026","IMEI":"","NAME":"DAPPER","TIME":"","PRICE":"\u20a62,500.00","STATUS":"PAID","PAID DATE":"","RECORD_ID":"0f9e0ab987344bb1a261ce6fae96c186","Amount paid":"\u20a62,500.00","DESCRIPTION":"iPhone 13 Pro Sierra Blue 128GB IOS UPDATE","PHONE NUMBER":2349166394378,"DEAL LOCATION":"","INTERNAL NOTE":"","EXPENSE AMOUNT":"","CALCULATED PROFIT":"","EXPENSE DESCRIPTION":"","IMEI FOR SWAPPED DEAL":""}</t>
  </si>
  <si>
    <t>86f7fea47c33827e0c13b5a074a6dac6ac17bf808016941af2f95414ff66072e</t>
  </si>
  <si>
    <t>{"in":"","DATE":"3/28/2026","IMEI":"","NAME":"IPRO GADGET","TIME":"","PRICE":"\u20a62,500.00","STATUS":"PAID","PAID DATE":"","RECORD_ID":"799339156e164f6386edf866f05e5e50","Amount paid":"\u20a62,500.00","DESCRIPTION":"ULTRAMARINE BLUE IPHONE 16 IOS UPDATE","PHONE NUMBER":2348109344663,"DEAL LOCATION":"","INTERNAL NOTE":"","EXPENSE AMOUNT":"","CALCULATED PROFIT":"","EXPENSE DESCRIPTION":"","IMEI FOR SWAPPED DEAL":""}</t>
  </si>
  <si>
    <t>09e827ca67c0fe5eb62db20090dcd417997381f4d37ef3ff37f18b50d9450966</t>
  </si>
  <si>
    <t>{"in":"","DATE":"3/28/2026","IMEI":"","NAME":"DEMEX","TIME":"","PRICE":"\u20a62,500.00","STATUS":"UNPAID","PAID DATE":"","RECORD_ID":"41462fb4611049dba78e733245390f81","Amount paid":"","DESCRIPTION":"IPHONE 16 PRO DESERT TITIANIM IOS UPDATE","PHONE NUMBER":2347067462101,"DEAL LOCATION":"","INTERNAL NOTE":"","EXPENSE AMOUNT":"","CALCULATED PROFIT":"","EXPENSE DESCRIPTION":"","IMEI FOR SWAPPED DEAL":""}</t>
  </si>
  <si>
    <t>af9a34bb1b3625efb65e5726519b0c025731c9790548302fef8566a807957feb</t>
  </si>
  <si>
    <t>{"in":"","DATE":"3/29/2026","IMEI":"","NAME":"STARBOX","TIME":"","PRICE":"\u20a62,500.00","STATUS":"PAID","PAID DATE":"","RECORD_ID":"630fc808dcfc4a8097e59a23f120c57a","Amount paid":"\u20a62,500.00","DESCRIPTION":"IPHONE 12 PRO IOS UPDATE","PHONE NUMBER":2349063620334,"DEAL LOCATION":"","INTERNAL NOTE":"","EXPENSE AMOUNT":"","CALCULATED PROFIT":"","EXPENSE DESCRIPTION":"","IMEI FOR SWAPPED DEAL":""}</t>
  </si>
  <si>
    <t>ad87049b95e32ec61717294bd8c59195db30de56a52dedcb3bee5e0ad1e98540</t>
  </si>
  <si>
    <t>{"in":"","DATE":"3/29/2026","IMEI":"","NAME":"ANOINTED WEALTH","TIME":"","PRICE":"\u20a6750,000.00","STATUS":"PAID","PAID DATE":"","RECORD_ID":"e88afd7ed77742a19b65b4e01edfb887","Amount paid":"","DESCRIPTION":"ULTRAMARINE 16 ESIM UNLOCKED. 91%","PHONE NUMBER":2348137226383,"DEAL LOCATION":"","INTERNAL NOTE":"","EXPENSE AMOUNT":"","CALCULATED PROFIT":"","EXPENSE DESCRIPTION":"","IMEI FOR SWAPPED DEAL":""}</t>
  </si>
  <si>
    <t>29eed19de69fa29b87fa840b1b5ec47de557b69e9585f2b426b44aabe87f817c</t>
  </si>
  <si>
    <t>{"in":"","DATE":"3/28/2026","IMEI":"","NAME":"MD GADGS","TIME":"","PRICE":"\u20a610,000.00","STATUS":"paid","PAID DATE":"","RECORD_ID":"d5535c86952c4b16a77e3f64fafec2d1","Amount paid":"\u20a610,000.00","DESCRIPTION":"PROFIT ON IPHONE 14 PRO. OPENED BOX. 128GB. GOLD. DEAL","PHONE NUMBER":2348166860603,"DEAL LOCATION":"","INTERNAL NOTE":"","EXPENSE AMOUNT":"","CALCULATED PROFIT":"","EXPENSE DESCRIPTION":"","IMEI FOR SWAPPED DEAL":""}</t>
  </si>
  <si>
    <t>710aaf9f15dddf4219d882c74603b8b246bb4f918bdaefdc822fce0b8889e322</t>
  </si>
  <si>
    <t>{"in":"","DATE":"....","IMEI":"...","NAME":"....","TIME":"","PRICE":"....","STATUS":"..","PAID DATE":"","RECORD_ID":"8678a242b5d7489796de9c2b997b8d4d","Amount paid":"","DESCRIPTION":"...","PHONE NUMBER":"","DEAL LOCATION":"","INTERNAL NOTE":"","EXPENSE AMOUNT":"","CALCULATED PROFIT":"","EXPENSE DESCRIPTION":"","IMEI FOR SWAPPED DEAL":""}</t>
  </si>
  <si>
    <t>0d32f79939b9df0827acadf63c9ddf9b96b7cd55138e865e8b1492412ff3f8ff</t>
  </si>
  <si>
    <t>{"in":"","DATE":"....","IMEI":"...","NAME":"....","TIME":"","PRICE":"....","STATUS":"..","PAID DATE":"","RECORD_ID":"33d6df42fd1f4ca8a4dde7e4847af2c3","Amount paid":"","DESCRIPTION":"...","PHONE NUMBER":"","DEAL LOCATION":"","INTERNAL NOTE":"","EXPENSE AMOUNT":"","CALCULATED PROFIT":"","EXPENSE DESCRIPTION":"","IMEI FOR SWAPPED DEAL":""}</t>
  </si>
  <si>
    <t>6a1d1615502a0bb9d9dfdeb2036e1339f8f93d8b8726321edd95c0a2ff76b8c6</t>
  </si>
  <si>
    <t>{"in":"","DATE":"....","IMEI":"...","NAME":"....","TIME":"","PRICE":"....","STATUS":"..","PAID DATE":"","RECORD_ID":"e9dceb49b00042159548914854ea99ff","Amount paid":"","DESCRIPTION":"...","PHONE NUMBER":"","DEAL LOCATION":"","INTERNAL NOTE":"","EXPENSE AMOUNT":"","CALCULATED PROFIT":"","EXPENSE DESCRIPTION":"","IMEI FOR SWAPPED DEAL":""}</t>
  </si>
  <si>
    <t>546f841c058c76f312ef031dd6e22bf069c0f212a050bda5641cab54d62da81e</t>
  </si>
  <si>
    <t>{"in":"","DATE":"3/29/2026","IMEI":351935566554418,"NAME":"THANKGOD","TIME":"","PRICE":"\u20a6760,000.00","STATUS":"PAID","PAID DATE":"","RECORD_ID":"7d189e286d304811942825eda1717700","Amount paid":"\u20a6760,000.00","DESCRIPTION":"IPHONE 16. 128GB. 92%. ULTRAMATINE BLUE","PHONE NUMBER":"","DEAL LOCATION":"","INTERNAL NOTE":"","EXPENSE AMOUNT":"","CALCULATED PROFIT":"","EXPENSE DESCRIPTION":"","IMEI FOR SWAPPED DEAL":""}</t>
  </si>
  <si>
    <t>112032e9941bda8fb1025b6cb957120f922da6a7c52500df830ca4d464ff747d</t>
  </si>
  <si>
    <t>{"in":"","DATE":"....","IMEI":"...","NAME":"....","TIME":"","PRICE":"....","STATUS":"..","PAID DATE":"","RECORD_ID":"679106e772854671af4a7ebb44c4bec6","Amount paid":"","DESCRIPTION":"...","PHONE NUMBER":"","DEAL LOCATION":"","INTERNAL NOTE":"","EXPENSE AMOUNT":"","CALCULATED PROFIT":"","EXPENSE DESCRIPTION":"","IMEI FOR SWAPPED DEAL":""}</t>
  </si>
  <si>
    <t>cebb83f3aaa6df7725d079623a283ed881b1dbf3665af4b45e93b90fa8020841</t>
  </si>
  <si>
    <t>{"in":"","DATE":"....","IMEI":"...","NAME":"....","TIME":"","PRICE":"....","STATUS":"..","PAID DATE":"","RECORD_ID":"906014f600f649f39dda66167939d893","Amount paid":"","DESCRIPTION":"...","PHONE NUMBER":"","DEAL LOCATION":"","INTERNAL NOTE":"","EXPENSE AMOUNT":"","CALCULATED PROFIT":"","EXPENSE DESCRIPTION":"","IMEI FOR SWAPPED DEAL":""}</t>
  </si>
  <si>
    <t>70d1b47bf6227fc8782c9f570bdecc63cdfc4f48f80ff1a0a88615240e907947</t>
  </si>
  <si>
    <t>{"in":"","DATE":"....","IMEI":"...","NAME":"....","TIME":"","PRICE":"....","STATUS":"..","PAID DATE":"","RECORD_ID":"9ba37992f07d40b388fd5373301d867a","Amount paid":"","DESCRIPTION":"...","PHONE NUMBER":"","DEAL LOCATION":"","INTERNAL NOTE":"","EXPENSE AMOUNT":"","CALCULATED PROFIT":"","EXPENSE DESCRIPTION":"","IMEI FOR SWAPPED DEAL":""}</t>
  </si>
  <si>
    <t>dee78cec2d1672b5a7307010193c56dffd3f36baf50801eb5b15eaf8316f9a9f</t>
  </si>
  <si>
    <t>{"in":"","DATE":"....","IMEI":"...","NAME":"....","TIME":"","PRICE":"....","STATUS":"..","PAID DATE":"","RECORD_ID":"3025d532e02b4807b4e7686d38374726","Amount paid":"","DESCRIPTION":"...","PHONE NUMBER":"","DEAL LOCATION":"","INTERNAL NOTE":"","EXPENSE AMOUNT":"","CALCULATED PROFIT":"","EXPENSE DESCRIPTION":"","IMEI FOR SWAPPED DEAL":""}</t>
  </si>
  <si>
    <t>732f0c731d88b460d808208fc6d8d64559f2a62667e31f6256b1028252e87e5c</t>
  </si>
  <si>
    <t>2026-03-31T00:00:00+01:00</t>
  </si>
  <si>
    <t>{"in":"","DATE":"3/31/2026","IMEI":"","NAME":"SEAN GADGETS","TIME":"","PRICE":"\u20a63,000.00","STATUS":"PAID","PAID DATE":"","RECORD_ID":"2806a547adca446594cc8762b05c6a91","Amount paid":"\u20a63,000.00","DESCRIPTION":"iPhone 17 Pro Cosmic Orange 256GB IOS UPDATE","PHONE NUMBER":"","DEAL LOCATION":"","INTERNAL NOTE":"","EXPENSE AMOUNT":"","CALCULATED PROFIT":"","EXPENSE DESCRIPTION":"","IMEI FOR SWAPPED DEAL":""}</t>
  </si>
  <si>
    <t>f1a0e8729f88c946d3aad4a64754d8e4bc4997abdbc7e3bb9fe753d2cf47486c</t>
  </si>
  <si>
    <t>2026-03-30T00:00:00+01:00</t>
  </si>
  <si>
    <t>{"in":"","DATE":"3/30/2026","IMEI":"","NAME":"XPIFF","TIME":"","PRICE":"\u20a62,500.00","STATUS":"PAID","PAID DATE":"","RECORD_ID":"ac493b5551b2450db41ed8e49ad22925","Amount paid":"\u20a62,500.00","DESCRIPTION":"IPHONE 12 PRO MAX IOS UPDATE. PACIFIC BLUE","PHONE NUMBER":2348164388087,"DEAL LOCATION":"","INTERNAL NOTE":"","EXPENSE AMOUNT":"","CALCULATED PROFIT":"","EXPENSE DESCRIPTION":"","IMEI FOR SWAPPED DEAL":""}</t>
  </si>
  <si>
    <t>40c37f38773de7ca3ed474397e048cc953c4e53dcf60597030ce113b579d928b</t>
  </si>
  <si>
    <t>{"in":"","DATE":"3/30/2026","IMEI":"","NAME":"HOLLAH GADGET","TIME":"","PRICE":"\u20a62,500.00","STATUS":"PAID","PAID DATE":"","RECORD_ID":"dd3ac049473c419881c5a7d1c3dff016","Amount paid":"\u20a62,500.00","DESCRIPTION":"RED IPHONE 12 IOS UPDATE","PHONE NUMBER":7041440724,"DEAL LOCATION":"","INTERNAL NOTE":"","EXPENSE AMOUNT":"","CALCULATED PROFIT":"","EXPENSE DESCRIPTION":"","IMEI FOR SWAPPED DEAL":""}</t>
  </si>
  <si>
    <t>6cc9d3df2bf60194053132cade74bbbc2b2368d874bbba41a2181e1c85fb08ee</t>
  </si>
  <si>
    <t>{"in":"","DATE":"3/30/2026","IMEI":"","NAME":"SEAN GADGETS","TIME":"","PRICE":"\u20a64,000.00","STATUS":"PAID","PAID DATE":"","RECORD_ID":"27bbbda4a8a943df931dc9084540fffa","Amount paid":"","DESCRIPTION":"MTN ESIM QR CODE GENERATION","PHONE NUMBER":"","DEAL LOCATION":"","INTERNAL NOTE":"","EXPENSE AMOUNT":"","CALCULATED PROFIT":"","EXPENSE DESCRIPTION":"","IMEI FOR SWAPPED DEAL":""}</t>
  </si>
  <si>
    <t>00359ff01fca3a7f077eabebc4432824f206d78247dd13f2f08fd57d3733894b</t>
  </si>
  <si>
    <t>{"in":"","DATE":"3/30/2026","IMEI":359702375154869,"NAME":"JOZMAT COMPUTERS","TIME":"","PRICE":"\u20a6600,000.00","STATUS":"RETURNED","PAID DATE":"","RECORD_ID":"9a9702bdeaca4e08a8a038384cc46563","Amount paid":"","DESCRIPTION":"IPHONE 14 PRO MAX. 128GB. ESIM UNLOCKED. 82%","PHONE NUMBER":"","DEAL LOCATION":"","INTERNAL NOTE":"","EXPENSE AMOUNT":"","CALCULATED PROFIT":"","EXPENSE DESCRIPTION":"","IMEI FOR SWAPPED DEAL":""}</t>
  </si>
  <si>
    <t>167fd7cc4648eeb0103ba1d7113ed479956235e90e0f0208d504f94b2d1e5f01</t>
  </si>
  <si>
    <t>{"in":"","DATE":"3/30/2026","IMEI":"","NAME":"TUNDE BABZ","TIME":"","PRICE":"\u20a62,500.00","STATUS":"PAID","PAID DATE":"","RECORD_ID":"eff5c44c86e34373b69c29395bdf892e","Amount paid":"\u20a62,500.00","DESCRIPTION":"STARLIGHT. IPHONE 13 IOS UPDATE","PHONE NUMBER":2348130793960,"DEAL LOCATION":"","INTERNAL NOTE":"","EXPENSE AMOUNT":"","CALCULATED PROFIT":"","EXPENSE DESCRIPTION":"","IMEI FOR SWAPPED DEAL":""}</t>
  </si>
  <si>
    <t>063f04016d79ecd8809a6bffd2fd61d31bdaec7919f7737ca155d1cfe93a5384</t>
  </si>
  <si>
    <t>{"in":"","DATE":"3/30/2026","IMEI":"","NAME":"DAMBOX","TIME":"","PRICE":"\u20a615,000.00","STATUS":"PAID","PAID DATE":"","RECORD_ID":"410e648630d04cbc95c7c2d4c44727d9","Amount paid":"\u20a615,000.00","DESCRIPTION":"IPHONE 14 PRO. GOLD. MDM BYPASS","PHONE NUMBER":9040943517,"DEAL LOCATION":"","INTERNAL NOTE":"","EXPENSE AMOUNT":"","CALCULATED PROFIT":"","EXPENSE DESCRIPTION":"","IMEI FOR SWAPPED DEAL":""}</t>
  </si>
  <si>
    <t>daa58c8dd4452cfa5f9ddaee9fa45e022cdd6d03266c9f5d7e3303fd130b5b66</t>
  </si>
  <si>
    <t>{"in":"","DATE":"3/30/2026","IMEI":"","NAME":"STAR BUSSY","TIME":"","PRICE":"\u20a670,000.00","STATUS":"PAID","PAID DATE":"","RECORD_ID":"0be3840503e14af3bd5648a3f28f2205","Amount paid":"\u20a670,000.00","DESCRIPTION":"USA NUMBER 3 MONTHS","PHONE NUMBER":2348127738411,"DEAL LOCATION":"","INTERNAL NOTE":"","EXPENSE AMOUNT":"","CALCULATED PROFIT":"","EXPENSE DESCRIPTION":"","IMEI FOR SWAPPED DEAL":""}</t>
  </si>
  <si>
    <t>a30d6727be29a6b34bfb28da6b8a4ad55e384342356732507f3caec825d24198</t>
  </si>
  <si>
    <t>{"in":"","DATE":"3/30/2026","IMEI":"","NAME":"PANKYGEE","TIME":"","PRICE":"\u20a628,000.00","STATUS":"paid","PAID DATE":"","RECORD_ID":"8416aaa5d94b4ebd808c69605c577396","Amount paid":"\u20a628,000.00","DESCRIPTION":"CHIP FOR IPHONE 12 PRO MAX. PACIFIC BLUE","PHONE NUMBER":2347052247397,"DEAL LOCATION":"","INTERNAL NOTE":"","EXPENSE AMOUNT":"","CALCULATED PROFIT":"","EXPENSE DESCRIPTION":"","IMEI FOR SWAPPED DEAL":""}</t>
  </si>
  <si>
    <t>15639f5b1ff581bbb0cdb6842cd6fcf2c2b25b915eaa3ebaf9a4466b660479ac</t>
  </si>
  <si>
    <t>{"in":"","DATE":"3/30/2026","IMEI":"","NAME":"DAMBOX","TIME":"","PRICE":"\u20a68,000.00","STATUS":"PAID","PAID DATE":"","RECORD_ID":"4b11ea34a16a43d7a9ed022e99f36793","Amount paid":"\u20a68,000.00","DESCRIPTION":"MDM DEVICE FILE TRANSFER","PHONE NUMBER":9040943517,"DEAL LOCATION":"","INTERNAL NOTE":"","EXPENSE AMOUNT":"","CALCULATED PROFIT":"","EXPENSE DESCRIPTION":"","IMEI FOR SWAPPED DEAL":""}</t>
  </si>
  <si>
    <t>b7f972a5fe816128f7e77dc95e677faee6c6d274937207c20ee54dc5f294d1a8</t>
  </si>
  <si>
    <t>{"in":"","DATE":"..","IMEI":"..","NAME":"...","TIME":"","PRICE":"..","STATUS":"..","PAID DATE":"","RECORD_ID":"3ca6defdbd774578aaf4b1fc1f9c6c22","Amount paid":"","DESCRIPTION":"..","PHONE NUMBER":"","DEAL LOCATION":"","INTERNAL NOTE":"","EXPENSE AMOUNT":"","CALCULATED PROFIT":"","EXPENSE DESCRIPTION":"","IMEI FOR SWAPPED DEAL":""}</t>
  </si>
  <si>
    <t>6430de42454684ee17e588fffe380686a54e06eb4bf42041c1391fbfabf8e894</t>
  </si>
  <si>
    <t>{"in":"","DATE":"..","IMEI":"..","NAME":"..","TIME":"","PRICE":"...","STATUS":"..","PAID DATE":"","RECORD_ID":"7aed2e6f9540414c89cfa1fc66e629d7","Amount paid":"","DESCRIPTION":"..","PHONE NUMBER":"","DEAL LOCATION":"","INTERNAL NOTE":"","EXPENSE AMOUNT":"","CALCULATED PROFIT":"","EXPENSE DESCRIPTION":"","IMEI FOR SWAPPED DEAL":""}</t>
  </si>
  <si>
    <t>c94ba0c45943ab582194a95d36f78f436e156aa0f258e9dea5ae8b06341082ac</t>
  </si>
  <si>
    <t>{"in":"","DATE":"..","IMEI":"..","NAME":"..","TIME":"","PRICE":"..","STATUS":"..","PAID DATE":"","RECORD_ID":"6f5cc4facd2344458b6c3bfb321afcb2","Amount paid":"","DESCRIPTION":"..","PHONE NUMBER":"","DEAL LOCATION":"","INTERNAL NOTE":"","EXPENSE AMOUNT":"","CALCULATED PROFIT":"","EXPENSE DESCRIPTION":"","IMEI FOR SWAPPED DEAL":""}</t>
  </si>
  <si>
    <t>76ed9b16a67530a41331d8163e1d36195528688899f554c89f8750013ab301b2</t>
  </si>
  <si>
    <t>{"in":"","DATE":"3/31/2026","IMEI":"","NAME":"PANKYGEE","TIME":"","PRICE":"\u20a615,000.00","STATUS":"PAID","PAID DATE":"","RECORD_ID":"1369679f92dc48709a299c324e36dda2","Amount paid":"\u20a615,000.00","DESCRIPTION":"SILVER IPAD 10TH GEN MDM BYPASS","PHONE NUMBER":2347052247397,"DEAL LOCATION":"","INTERNAL NOTE":"","EXPENSE AMOUNT":"","CALCULATED PROFIT":"","EXPENSE DESCRIPTION":"","IMEI FOR SWAPPED DEAL":""}</t>
  </si>
  <si>
    <t>d6eaee344ebfdc34ce54f26858e40267a0947036023ce49c43b7408ab3c44216</t>
  </si>
  <si>
    <t>{"in":"","DATE":"3/31/2026","IMEI":"","NAME":"HOLLAH GADGET","TIME":"","PRICE":"\u20a62,500.00","STATUS":"PAID","PAID DATE":"","RECORD_ID":"69a7bab0496d44e1856e22d66f2e5a3e","Amount paid":"\u20a62,500.00","DESCRIPTION":"GRAPHITE IPHONE 13 PRO IOS UPDATE","PHONE NUMBER":7041440724,"DEAL LOCATION":"","INTERNAL NOTE":"","EXPENSE AMOUNT":"","CALCULATED PROFIT":"","EXPENSE DESCRIPTION":"","IMEI FOR SWAPPED DEAL":""}</t>
  </si>
  <si>
    <t>abe53fd3265f389f8329f7cc0af05dd7cfe7df926a9da8dcf015b467cadd773e</t>
  </si>
  <si>
    <t>{"in":"","DATE":"3/31/2026","IMEI":"","NAME":"OKIKI GADGET","TIME":"","PRICE":"\u20a6360,000.00","STATUS":"PAID","PAID DATE":"","RECORD_ID":"308ce91a310c45009b6481db44bf1905","Amount paid":"","DESCRIPTION":"IPHONE 16 E OPENED BOX","PHONE NUMBER":"","DEAL LOCATION":"","INTERNAL NOTE":"","EXPENSE AMOUNT":"","CALCULATED PROFIT":"","EXPENSE DESCRIPTION":"","IMEI FOR SWAPPED DEAL":""}</t>
  </si>
  <si>
    <t>43485953f25ccf6d85e414a4038e1aba1d4cf06618c80b2a1eacdea16f4ea0f3</t>
  </si>
  <si>
    <t>{"in":"","DATE":"3/31/2026","IMEI":"","NAME":"VERTEX","TIME":"","PRICE":"\u20a62,500.00","STATUS":"PAID","PAID DATE":"","RECORD_ID":"f7a669f300eb404896fb59ad407f9d8d","Amount paid":"","DESCRIPTION":"iPhone 16 Black 128GB IOS UPDATE","PHONE NUMBER":2348103663581,"DEAL LOCATION":"","INTERNAL NOTE":"","EXPENSE AMOUNT":"","CALCULATED PROFIT":"","EXPENSE DESCRIPTION":"","IMEI FOR SWAPPED DEAL":""}</t>
  </si>
  <si>
    <t>e8d26b82bd87a58a62897579f4c71ecc0956003ffe01aebea40cbffb768b4ab4</t>
  </si>
  <si>
    <t>{"in":"","DATE":"3/31/2026","IMEI":"","NAME":"ICE GAGDETS","TIME":"","PRICE":"\u20a63,000.00","STATUS":"paid","PAID DATE":"","RECORD_ID":"c7092e3a79264c06b9210df28a2b100a","Amount paid":"\u20a63,000.00","DESCRIPTION":"iPhone 12 Pro Graphite 128GB IOS UPDATE","PHONE NUMBER":"","DEAL LOCATION":"","INTERNAL NOTE":"","EXPENSE AMOUNT":"","CALCULATED PROFIT":"","EXPENSE DESCRIPTION":"","IMEI FOR SWAPPED DEAL":""}</t>
  </si>
  <si>
    <t>eaa6df731ff0e7e8abe55f9cb9c8cf0de3a4d3a1e419a3d3fc62e96ccabbce8a</t>
  </si>
  <si>
    <t>{"in":"","DATE":"..","IMEI":"..","NAME":"...","TIME":"","PRICE":"..","STATUS":"..","PAID DATE":"","RECORD_ID":"0684b2a123194e5ab6bdcda15cdd6dda","Amount paid":"","DESCRIPTION":"..","PHONE NUMBER":"","DEAL LOCATION":"","INTERNAL NOTE":"","EXPENSE AMOUNT":"","CALCULATED PROFIT":"","EXPENSE DESCRIPTION":"","IMEI FOR SWAPPED DEAL":""}</t>
  </si>
  <si>
    <t>602a8ede5229d347e35bc7eb6fbafa661f3a6dd554099100a0cd16b64e9b283d</t>
  </si>
  <si>
    <t>{"in":"","DATE":"..","IMEI":"..","NAME":"..","TIME":"","PRICE":"...","STATUS":"..","PAID DATE":"","RECORD_ID":"3b6d98d3dde14815b8f003292ff14d95","Amount paid":"","DESCRIPTION":"..","PHONE NUMBER":"","DEAL LOCATION":"","INTERNAL NOTE":"","EXPENSE AMOUNT":"","CALCULATED PROFIT":"","EXPENSE DESCRIPTION":"","IMEI FOR SWAPPED DEAL":""}</t>
  </si>
  <si>
    <t>67865163b83c552cf69f52280bab026d14103f031a9c73e805c04900e8cc4355</t>
  </si>
  <si>
    <t>{"in":"","DATE":"..","IMEI":"..","NAME":"..","TIME":"","PRICE":"..","STATUS":"..","PAID DATE":"","RECORD_ID":"827bd51db1224d63a61527092c479c81","Amount paid":"","DESCRIPTION":"..","PHONE NUMBER":"","DEAL LOCATION":"","INTERNAL NOTE":"","EXPENSE AMOUNT":"","CALCULATED PROFIT":"","EXPENSE DESCRIPTION":"","IMEI FOR SWAPPED DEAL":""}</t>
  </si>
  <si>
    <t>5b64387bddf51d8a36800c38c01b172a11f60c68e992d8b12f4e4c2a1d44fd2a</t>
  </si>
  <si>
    <t>2026-04-01T00:00:00+01:00</t>
  </si>
  <si>
    <t>{"in":"","DATE":"4/1/2026","IMEI":"","NAME":"MZEE","TIME":"","PRICE":"\u20a62,500.00","STATUS":"paid","PAID DATE":"","RECORD_ID":"aea3f915c060459db464f51b2ede4590","Amount paid":"","DESCRIPTION":"iPhone XR Black 64GB IOS UPDATE","PHONE NUMBER":2349038935833,"DEAL LOCATION":"","INTERNAL NOTE":"","EXPENSE AMOUNT":"","CALCULATED PROFIT":"","EXPENSE DESCRIPTION":"","IMEI FOR SWAPPED DEAL":""}</t>
  </si>
  <si>
    <t>602f188d877804746635d799b50c3fdd2eb005f1823f34cf7bccec7fcf86005d</t>
  </si>
  <si>
    <t>{"in":"","DATE":"4/1/2026","IMEI":"","NAME":"DAH UNIQUE","TIME":"","PRICE":"\u20a62,500.00","STATUS":"PAID","PAID DATE":"","RECORD_ID":"c58613578f4d4fd98d8928fbfad51719","Amount paid":"\u20a62,500.00","DESCRIPTION":"iPhone 16 Ultramarine IOS UPDATE","PHONE NUMBER":2349070536253,"DEAL LOCATION":"","INTERNAL NOTE":"","EXPENSE AMOUNT":"","CALCULATED PROFIT":"","EXPENSE DESCRIPTION":"","IMEI FOR SWAPPED DEAL":""}</t>
  </si>
  <si>
    <t>51fc222105414b7d7fb0cc8c4c26319011675f53364cdf1bb0e405ab52baf43b</t>
  </si>
  <si>
    <t>{"in":"","DATE":"4/1/2026","IMEI":"","NAME":"OLABTC","TIME":"","PRICE":"\u20a62,500.00","STATUS":"UNPAID","PAID DATE":"","RECORD_ID":"41468d23cb0843289335af4ab32ebdfc","Amount paid":"","DESCRIPTION":"IPHONE 15 PRO MAX IOS UPDATE","PHONE NUMBER":2347061613141,"DEAL LOCATION":"","INTERNAL NOTE":"","EXPENSE AMOUNT":"","CALCULATED PROFIT":"","EXPENSE DESCRIPTION":"","IMEI FOR SWAPPED DEAL":""}</t>
  </si>
  <si>
    <t>455a3e04ba5a42ca3227e9020143dd5b9771c1047cf83e6f327ee14b863bacdc</t>
  </si>
  <si>
    <t>{"in":"","DATE":"4/1/2026","IMEI":"","NAME":"ZEE TECH","TIME":"","PRICE":"\u20a62,500.00","STATUS":"PAID","PAID DATE":"","RECORD_ID":"5e46516e17fa45809a06281aadb336bd","Amount paid":"\u20a62,500.00","DESCRIPTION":"iPhone 13 Pro Max Sierra Blue IOS UPDATE","PHONE NUMBER":2349033724061,"DEAL LOCATION":"","INTERNAL NOTE":"","EXPENSE AMOUNT":"","CALCULATED PROFIT":"","EXPENSE DESCRIPTION":"","IMEI FOR SWAPPED DEAL":""}</t>
  </si>
  <si>
    <t>a788276dfbe3cab38604444072d674523e9541dbe1fbd73c9938c8013b5763a5</t>
  </si>
  <si>
    <t>{"in":"","DATE":"4/1/2026","IMEI":"","NAME":"KAYWISE","TIME":"","PRICE":"\u20a62,500.00","STATUS":"PAID","PAID DATE":"","RECORD_ID":"b2e9b4a287664b2d83e3d34a64a7d970","Amount paid":"\u20a62,500.00","DESCRIPTION":"iPhone 16 Pro Black Titanium IOS UPDATE","PHONE NUMBER":2349032614464,"DEAL LOCATION":"","INTERNAL NOTE":"","EXPENSE AMOUNT":"","CALCULATED PROFIT":"","EXPENSE DESCRIPTION":"","IMEI FOR SWAPPED DEAL":""}</t>
  </si>
  <si>
    <t>5329fbc8e6615ffa45bb15be6dcbe75c324899ec990eba4c5f0a19e3e33be3f6</t>
  </si>
  <si>
    <t>{"in":"","DATE":"4/1/2026","IMEI":"","NAME":"TEE BEST GADGET","TIME":"","PRICE":"\u20a62,500.00","STATUS":"UNPAID","PAID DATE":"","RECORD_ID":"826bf300b683424da78b569f4cecef52","Amount paid":"","DESCRIPTION":"iPhone 14 Pro Max Deep Purple 256GB UPGRADE","PHONE NUMBER":"0803 762 4066","DEAL LOCATION":"","INTERNAL NOTE":"","EXPENSE AMOUNT":"","CALCULATED PROFIT":"","EXPENSE DESCRIPTION":"","IMEI FOR SWAPPED DEAL":""}</t>
  </si>
  <si>
    <t>f3aa46f81d0e9f82cd182b9ce77a411016f9a2221fc28dbd79b312362b18aabd</t>
  </si>
  <si>
    <t>{"in":"","DATE":"4/1/2026","IMEI":"","NAME":"DAMBOX","TIME":"","PRICE":"\u20a62,500.00","STATUS":"PAID","PAID DATE":"","RECORD_ID":"c118f1faf4ce48e69abe432dce74b908","Amount paid":"\u20a62,500.00","DESCRIPTION":"iPhone 12 Blue 64GB IOS UPDATE","PHONE NUMBER":9040943517,"DEAL LOCATION":"","INTERNAL NOTE":"","EXPENSE AMOUNT":"","CALCULATED PROFIT":"","EXPENSE DESCRIPTION":"","IMEI FOR SWAPPED DEAL":""}</t>
  </si>
  <si>
    <t>9bf7fa4ad5850ecc8a41ea764476db28cc054f5a00351d3c9c9312708424f752</t>
  </si>
  <si>
    <t>{"in":"","DATE":"4/1/2026","IMEI":354273444015213,"NAME":"BAHMS","TIME":"","PRICE":"\u20a62,500.00","STATUS":"PAID","PAID DATE":"","RECORD_ID":"91712d5bb21b46589e6a967025fc5f80","Amount paid":"\u20a62,500.00","DESCRIPTION":"OPEN BOX FOLD 7","PHONE NUMBER":2349069477050,"DEAL LOCATION":"","INTERNAL NOTE":"","EXPENSE AMOUNT":"","CALCULATED PROFIT":"","EXPENSE DESCRIPTION":"","IMEI FOR SWAPPED DEAL":""}</t>
  </si>
  <si>
    <t>8819f327622915b11d4f83b0127ed75bd4954dee02509c60f1aabb04aee515f0</t>
  </si>
  <si>
    <t>{"in":"","DATE":"4/1/2026","IMEI":"","NAME":"ENGINEER JOHN","TIME":"","PRICE":"\u20a62,500.00","STATUS":"PAID","PAID DATE":"","RECORD_ID":"c0133265a46b4ecbab0a0b5aaa101e48","Amount paid":"\u20a62,500.00","DESCRIPTION":"BLACK IPHONE 16 PLUS IOS UPDATE","PHONE NUMBER":2347025185247,"DEAL LOCATION":"","INTERNAL NOTE":"","EXPENSE AMOUNT":"","CALCULATED PROFIT":"","EXPENSE DESCRIPTION":"","IMEI FOR SWAPPED DEAL":""}</t>
  </si>
  <si>
    <t>23f292587086cedc62b57a6bf7469d158c8df424993cb761766efa1c2f3b5d6b</t>
  </si>
  <si>
    <t>{"in":"","DATE":"4/1/2026","IMEI":"","NAME":"NURUDEEN","TIME":"","PRICE":"\u20a62,500.00","STATUS":"PAID","PAID DATE":"","RECORD_ID":"b1c831c3338f4dc9b11d65180409cef8","Amount paid":"\u20a62,500.00","DESCRIPTION":"WHITE TITANIUM. IPHONE 15 PRO IOS UPDATE","PHONE NUMBER":9122727950,"DEAL LOCATION":"","INTERNAL NOTE":"","EXPENSE AMOUNT":"","CALCULATED PROFIT":"","EXPENSE DESCRIPTION":"","IMEI FOR SWAPPED DEAL":""}</t>
  </si>
  <si>
    <t>c976b48333c1989833dd9406ed50b335f1f5af1f3b3901040dbc32ededbd561d</t>
  </si>
  <si>
    <t>{"in":"","DATE":"4/1/2026","IMEI":"","NAME":"PELUMI","TIME":"","PRICE":"\u20a63,000.00","STATUS":"PAID","PAID DATE":"","RECORD_ID":"246a6341ea75427bac283544c4157ab6","Amount paid":"\u20a63,000.00","DESCRIPTION":"iPhone 16 Pro Black Titanium 256GB IOS UPDATE","PHONE NUMBER":"","DEAL LOCATION":"","INTERNAL NOTE":"","EXPENSE AMOUNT":"","CALCULATED PROFIT":"","EXPENSE DESCRIPTION":"","IMEI FOR SWAPPED DEAL":""}</t>
  </si>
  <si>
    <t>7fa0207707f89220f899ec240a038155edb7648672676bb66e44225182ecaddb</t>
  </si>
  <si>
    <t>{"in":"","DATE":"4/1/2026","IMEI":"","NAME":"DENIS4WARD","TIME":"","PRICE":"\u20a6100,000.00","STATUS":"PAID","PAID DATE":"","RECORD_ID":"f57a095b6a3c43a9baf53f7552d0130c","Amount paid":"\u20a6100,000.00","DESCRIPTION":"USA NUMBER LIFELINE ESIM FOR ENGR AZ (DADDY). 100K","PHONE NUMBER":2348038551439,"DEAL LOCATION":"","INTERNAL NOTE":"","EXPENSE AMOUNT":"","CALCULATED PROFIT":"","EXPENSE DESCRIPTION":"","IMEI FOR SWAPPED DEAL":""}</t>
  </si>
  <si>
    <t>1c6118860bd36fa11333d233e0887599603c346c62b5f15fad66bb59dfd4564d</t>
  </si>
  <si>
    <t>{"in":"","DATE":"4/1/2026","IMEI":"","NAME":"DON","TIME":"","PRICE":"\u20a62,500.00","STATUS":"PAID","PAID DATE":"","RECORD_ID":"5003dbc3970949ca94c4ccf6739b3e30","Amount paid":"\u20a62,500.00","DESCRIPTION":"SIERRA BLUE. IPHONE 13 PRO IOS UPDATE","PHONE NUMBER":2348137676322,"DEAL LOCATION":"","INTERNAL NOTE":"","EXPENSE AMOUNT":"","CALCULATED PROFIT":"","EXPENSE DESCRIPTION":"","IMEI FOR SWAPPED DEAL":""}</t>
  </si>
  <si>
    <t>98b52149c19c10541ea2dad0529b30851b7b1dc9a3b78e02471708513d8cdcb3</t>
  </si>
  <si>
    <t>{"in":"","DATE":"..","IMEI":"..","NAME":"..","TIME":"","PRICE":"..","STATUS":"..","PAID DATE":"","RECORD_ID":"b260a6a9ed8c44a5beed1c5680031cca","Amount paid":"..","DESCRIPTION":"..","PHONE NUMBER":"","DEAL LOCATION":"","INTERNAL NOTE":"","EXPENSE AMOUNT":"","CALCULATED PROFIT":"","EXPENSE DESCRIPTION":"","IMEI FOR SWAPPED DEAL":""}</t>
  </si>
  <si>
    <t>3eb8ab928b5d61c173ab02228b60110328ab1d209aeb2ffa3c1f9d6bdbc2bf05</t>
  </si>
  <si>
    <t>{"in":"","DATE":"..","IMEI":"..","NAME":"...","TIME":"","PRICE":"..","STATUS":"..","PAID DATE":"","RECORD_ID":"6ecf3ef2d0e64739907638d443769192","Amount paid":"","DESCRIPTION":"..","PHONE NUMBER":"","DEAL LOCATION":"","INTERNAL NOTE":"","EXPENSE AMOUNT":"","CALCULATED PROFIT":"","EXPENSE DESCRIPTION":"","IMEI FOR SWAPPED DEAL":""}</t>
  </si>
  <si>
    <t>8df963278e41f74c98db98859822ec5b99e768e3b6b4d67da76853258b47d8ec</t>
  </si>
  <si>
    <t>{"in":"","DATE":"..","IMEI":"..","NAME":"..","TIME":"","PRICE":"...","STATUS":"..","PAID DATE":"","RECORD_ID":"1a2ac1711d97488083ed8df01c7ce2ea","Amount paid":"","DESCRIPTION":"..","PHONE NUMBER":"","DEAL LOCATION":"","INTERNAL NOTE":"","EXPENSE AMOUNT":"","CALCULATED PROFIT":"","EXPENSE DESCRIPTION":"","IMEI FOR SWAPPED DEAL":""}</t>
  </si>
  <si>
    <t>8ec5bbe33a7412fd66eb43fc421beebac19754aae7e69adb6635de63f20953b1</t>
  </si>
  <si>
    <t>{"in":"","DATE":"..","IMEI":"..","NAME":"..","TIME":"","PRICE":"..","STATUS":"..","PAID DATE":"","RECORD_ID":"10707018181d471993c6bb7e12b10c53","Amount paid":"","DESCRIPTION":"..","PHONE NUMBER":"","DEAL LOCATION":"","INTERNAL NOTE":"","EXPENSE AMOUNT":"","CALCULATED PROFIT":"","EXPENSE DESCRIPTION":"","IMEI FOR SWAPPED DEAL":""}</t>
  </si>
  <si>
    <t>cd3f6ea282df5539fc421d9d459333945b7714818445101149c45391730e7d19</t>
  </si>
  <si>
    <t>2026-04-02T00:00:00+01:00</t>
  </si>
  <si>
    <t>{"in":"","DATE":"4/2/2026","IMEI":"","NAME":"PRINZE GADGETS","TIME":"","PRICE":"\u20a65,000.00","STATUS":"PAID","PAID DATE":"","RECORD_ID":"e6752b6c3c7a444c9f4c6d17129ca47d","Amount paid":"\u20a65,000.00","DESCRIPTION":"S8 SAMSUNG BLACK FLASHING/ERASING","PHONE NUMBER":2348073229131,"DEAL LOCATION":"","INTERNAL NOTE":"","EXPENSE AMOUNT":"","CALCULATED PROFIT":"","EXPENSE DESCRIPTION":"","IMEI FOR SWAPPED DEAL":""}</t>
  </si>
  <si>
    <t>ba42b363cda2432ffb69084ef69088ee6580874c44b9085ae360fb174639aedc</t>
  </si>
  <si>
    <t>{"in":"","DATE":"4/2/2026","IMEI":"","NAME":"ZEE TECH","TIME":"","PRICE":"\u20a62,500.00","STATUS":"PAID","PAID DATE":"","RECORD_ID":"09514e17eeb94f4bbfe85f6e344e6bac","Amount paid":"\u20a62,500.00","DESCRIPTION":"IPHONE 14 PRO IOS UPDATE","PHONE NUMBER":2349033724061,"DEAL LOCATION":"","INTERNAL NOTE":"","EXPENSE AMOUNT":"","CALCULATED PROFIT":"","EXPENSE DESCRIPTION":"","IMEI FOR SWAPPED DEAL":""}</t>
  </si>
  <si>
    <t>a3a68543ab5818f846a777322b9a096fa0b3553a278e8e03f2b4ee9a04281e54</t>
  </si>
  <si>
    <t>{"in":"","DATE":"4/2/2026","IMEI":"","NAME":"SAMMY CONCEPT","TIME":"","PRICE":"\u20a650,000.00","STATUS":"RETURNED","PAID DATE":"","RECORD_ID":"bdbd12c0545e473eaa3b31a30baaf1c6","Amount paid":"\u20a60.00","DESCRIPTION":"50K ON IPHONE AIR. SNAP BAN SOLD TO KAYWISE","PHONE NUMBER":2349037002617,"DEAL LOCATION":"","INTERNAL NOTE":"","EXPENSE AMOUNT":"","CALCULATED PROFIT":"","EXPENSE DESCRIPTION":"","IMEI FOR SWAPPED DEAL":""}</t>
  </si>
  <si>
    <t>3dd48965e9c75f4bf6cf65838906a0160653d15d01360ebdeeeb20a80f2e00be</t>
  </si>
  <si>
    <t>{"in":"","DATE":"4/2/2026","IMEI":"","NAME":"OZ GADGET","TIME":"","PRICE":"\u20a62,500.00","STATUS":"PAID","PAID DATE":"","RECORD_ID":"4afd8cfbdde8429687bae0278920e334","Amount paid":"\u20a62,500.00","DESCRIPTION":"iPhone 14 Purple 128GB IOS UPDATE","PHONE NUMBER":2348106293924,"DEAL LOCATION":"","INTERNAL NOTE":"","EXPENSE AMOUNT":"","CALCULATED PROFIT":"","EXPENSE DESCRIPTION":"","IMEI FOR SWAPPED DEAL":""}</t>
  </si>
  <si>
    <t>6ee78ed5acc2985e1ea3f349a155bfda86524c3d012a3efe3d90a6caee9f21f1</t>
  </si>
  <si>
    <t>{"in":"","DATE":"4/2/2026","IMEI":353843242565410,"NAME":"DREY","TIME":"","PRICE":"\u20a6700,000.00","STATUS":"PAID","PAID DATE":"","RECORD_ID":"932b1df9effc437d82fefe80428cf4bb","Amount paid":"\u20a6700,000.00","DESCRIPTION":"IPHONE 14 PRO MAX. PHYSICAL + ESIM. GOLD. 87%","PHONE NUMBER":2349135770042,"DEAL LOCATION":"","INTERNAL NOTE":"","EXPENSE AMOUNT":"","CALCULATED PROFIT":"","EXPENSE DESCRIPTION":"","IMEI FOR SWAPPED DEAL":""}</t>
  </si>
  <si>
    <t>fdd304b5ec7ce5d05fe01ccfea99787f0cd86f0b190ca9d0c4953853071a4ef2</t>
  </si>
  <si>
    <t>{"in":"","DATE":"4/2/2026","IMEI":"","NAME":"CUSTOMER","TIME":"","PRICE":"\u20a65,000.00","STATUS":"PAID","PAID DATE":"","RECORD_ID":"e79c0fced4a045b7930c568365543b31","Amount paid":"\u20a65,000.00","DESCRIPTION":"ICLOUD OPENING. USA","PHONE NUMBER":2341234567890,"DEAL LOCATION":"","INTERNAL NOTE":"","EXPENSE AMOUNT":"","CALCULATED PROFIT":"","EXPENSE DESCRIPTION":"","IMEI FOR SWAPPED DEAL":""}</t>
  </si>
  <si>
    <t>cc1b784932421f473ea19532b9d59e06c94816b36cdfe851c30f7ea018d002e2</t>
  </si>
  <si>
    <t>{"in":"","DATE":"4/2/2026","IMEI":"","NAME":"OZ GADGET","TIME":"","PRICE":"\u20a62,500.00","STATUS":"PAID","PAID DATE":"","RECORD_ID":"61bd53cbbdbe4a8181ce751c0a6ee9c6","Amount paid":"\u20a62,500.00","DESCRIPTION":"PURPLE IPHONE 14 IOS UPDATE","PHONE NUMBER":2348106293924,"DEAL LOCATION":"","INTERNAL NOTE":"","EXPENSE AMOUNT":"","CALCULATED PROFIT":"","EXPENSE DESCRIPTION":"","IMEI FOR SWAPPED DEAL":""}</t>
  </si>
  <si>
    <t>8b28ffd848e5861af86c86cbaf5b2115b89bf2b7512aa3b56d68cbcf388c3501</t>
  </si>
  <si>
    <t>{"in":"","DATE":"4/2/2026","IMEI":"","NAME":"RAYMOND","TIME":"","PRICE":"\u20a65,000.00","STATUS":"PAID","PAID DATE":"","RECORD_ID":"1b53f168c880437197111561f0cc619c","Amount paid":"","DESCRIPTION":"SIGNAL TRANSFER","PHONE NUMBER":2349161048040,"DEAL LOCATION":"","INTERNAL NOTE":"","EXPENSE AMOUNT":"","CALCULATED PROFIT":"","EXPENSE DESCRIPTION":"","IMEI FOR SWAPPED DEAL":""}</t>
  </si>
  <si>
    <t>cc9b71bc24a457fe36bc84c24ff0bbfd42d5f44a961ffa73d042727ac25d4988</t>
  </si>
  <si>
    <t>{"in":"","DATE":"4/2/2026","IMEI":"","NAME":"SEVILEN AUTOS","TIME":"","PRICE":"\u20a63,000.00","STATUS":"PAID","PAID DATE":"","RECORD_ID":"64d9813b322b4949a4dc1ffffc96ec4b","Amount paid":"\u20a63,000.00","DESCRIPTION":"IPHONE 17 PRO DEEP BLUE IOS UPDATE","PHONE NUMBER":2349052936918,"DEAL LOCATION":"","INTERNAL NOTE":"","EXPENSE AMOUNT":"","CALCULATED PROFIT":"","EXPENSE DESCRIPTION":"","IMEI FOR SWAPPED DEAL":""}</t>
  </si>
  <si>
    <t>225e61429dc473a9f26b94edef66bcaa924ec69f4557189b56d5a42a0cb937f0</t>
  </si>
  <si>
    <t>{"in":"","DATE":"4/2/2026","IMEI":"","NAME":"EMMEX","TIME":"","PRICE":"\u20a62,500.00","STATUS":"PAID","PAID DATE":"","RECORD_ID":"c13d2c927e0d40d193a25e1b630b3cc7","Amount paid":"\u20a62,500.00","DESCRIPTION":"IPHONE 13 IOS UPDATE. MIDNIGHT COLOR","PHONE NUMBER":2349065944787,"DEAL LOCATION":"","INTERNAL NOTE":"","EXPENSE AMOUNT":"","CALCULATED PROFIT":"","EXPENSE DESCRIPTION":"","IMEI FOR SWAPPED DEAL":""}</t>
  </si>
  <si>
    <t>9441de7f02db1ed05dfee820bcc5bca8ca0262916ce95694441243921ea5bacc</t>
  </si>
  <si>
    <t>{"in":"","DATE":"4/2/2026","IMEI":"","NAME":"MARVY FCG","TIME":"","PRICE":"\u20a62,500.00","STATUS":"..","PAID DATE":"","RECORD_ID":"fdccbe8980f741f89294c1909987fe03","Amount paid":"\u20a62,500.00","DESCRIPTION":"iPhone 16 White 128GB IOS UPDATE","PHONE NUMBER":2348138375326,"DEAL LOCATION":"","INTERNAL NOTE":"","EXPENSE AMOUNT":"","CALCULATED PROFIT":"","EXPENSE DESCRIPTION":"","IMEI FOR SWAPPED DEAL":"29ae32ba8ad84e60849c6cc375feaea3"}</t>
  </si>
  <si>
    <t>787cd005796e1e19a0f5dbde3e801d3cae65f01f7ee0a09af9384a8ac9ea4f08</t>
  </si>
  <si>
    <t>{"in":"","DATE":"4/2/2026","IMEI":357293372803775,"NAME":"OREZZY GADGET","TIME":"","PRICE":"\u20a6260,000.00","STATUS":"..","PAID DATE":"","RECORD_ID":"06d4433d777840ed84070bbddf055520","Amount paid":"\u20a6260,000.00","DESCRIPTION":"IPHONE 11 128GB. BLACK. 94%","PHONE NUMBER":"","DEAL LOCATION":"","INTERNAL NOTE":"","EXPENSE AMOUNT":"","CALCULATED PROFIT":"","EXPENSE DESCRIPTION":"","IMEI FOR SWAPPED DEAL":"d2b7b42fc4df4a18acc3d4d6fb4ee4b1"}</t>
  </si>
  <si>
    <t>bdd66d3fb279bc692e06aa31b8c9f2772384ea0b5613921db03a86f58077cf41</t>
  </si>
  <si>
    <t>{"in":"","DATE":"4/2/2026","IMEI":"","NAME":"TUNDE BABZ","TIME":"","PRICE":"\u20a62,000.00","STATUS":"..","PAID DATE":"","RECORD_ID":"a24cbeea9ace4d2d92be6a8e25d212fa","Amount paid":"\u20a62,000.00","DESCRIPTION":"14 PRO MAX WHITE IOS UPDATE","PHONE NUMBER":2348130793960,"DEAL LOCATION":"","INTERNAL NOTE":"","EXPENSE AMOUNT":"","CALCULATED PROFIT":"","EXPENSE DESCRIPTION":"","IMEI FOR SWAPPED DEAL":"8e5cb71417f44750aabfffd6e6993872"}</t>
  </si>
  <si>
    <t>a3de9079cf02ad8c0005307d122e06ee2675e9a544f1bb411b81be18833f4a21</t>
  </si>
  <si>
    <t>{"in":"","DATE":"4/2/2026","IMEI":"","NAME":"CUSTOMER","TIME":"","PRICE":"\u20a65,000.00","STATUS":"PAID","PAID DATE":"","RECORD_ID":"9ce405ad3cca42719e6c686428118be5","Amount paid":"","DESCRIPTION":"IPHONE 12 ESIM TRANSFER TO 14 PRO ","PHONE NUMBER":2341234567890,"DEAL LOCATION":"","INTERNAL NOTE":"","EXPENSE AMOUNT":"","CALCULATED PROFIT":"","EXPENSE DESCRIPTION":"","IMEI FOR SWAPPED DEAL":""}</t>
  </si>
  <si>
    <t>be844495f6421812a57f9c341c904ffc4c139d9120a7f8a8c674400f4cc25582</t>
  </si>
  <si>
    <t>{"in":"","DATE":"4/2/2026","IMEI":"","NAME":"CUTOMER","TIME":"","PRICE":"\u20a65,000.00","STATUS":"PAID","PAID DATE":"","RECORD_ID":"0b352fb989f6467d8d5829e8c70b01ad","Amount paid":"","DESCRIPTION":"ICLOUD OPENING. NIGERIA","PHONE NUMBER":"","DEAL LOCATION":"","INTERNAL NOTE":"","EXPENSE AMOUNT":"","CALCULATED PROFIT":"","EXPENSE DESCRIPTION":"","IMEI FOR SWAPPED DEAL":""}</t>
  </si>
  <si>
    <t>e7028092f1dfa27c26ea0eaa5ac672508a15954b8b3b7a90169713f996674a8f</t>
  </si>
  <si>
    <t>{"in":"","DATE":"4/2/2026","IMEI":"","NAME":"DAMBOX","TIME":"","PRICE":"\u20a65,000.00","STATUS":"PAID","PAID DATE":"","RECORD_ID":"db0422e67b7f4432b6526858cbb7cc5c","Amount paid":"\u20a65,000.00","DESCRIPTION":"PURPLE IPHONE 14 PASSWORD FLASH","PHONE NUMBER":9040943517,"DEAL LOCATION":"","INTERNAL NOTE":"","EXPENSE AMOUNT":"","CALCULATED PROFIT":"","EXPENSE DESCRIPTION":"","IMEI FOR SWAPPED DEAL":""}</t>
  </si>
  <si>
    <t>de175e2d2aba6627e64209cdcdea3a5e7df9b7e27c055e7ab4a8ab3988b1157f</t>
  </si>
  <si>
    <t>{"in":"","DATE":"4/2/2026","IMEI":"","NAME":"DEE YHUNG GADGET","TIME":"","PRICE":"\u20a62,500.00","STATUS":"PAID","PAID DATE":"","RECORD_ID":"91d6bf0ef415442e86459fe67d879194","Amount paid":"","DESCRIPTION":"PURPLE IPHONE 14 PRO IOS UPDATE","PHONE NUMBER":"","DEAL LOCATION":"","INTERNAL NOTE":"","EXPENSE AMOUNT":"","CALCULATED PROFIT":"","EXPENSE DESCRIPTION":"","IMEI FOR SWAPPED DEAL":""}</t>
  </si>
  <si>
    <t>8458a22a7e50c64e2404a0ef9d4b7f6ad7ca1ff95503c9205b194cd95ac8a3ce</t>
  </si>
  <si>
    <t>2026-04-03T00:00:00+01:00</t>
  </si>
  <si>
    <t>{"in":"","DATE":"4/3/2026","IMEI":"","NAME":"NURUDEEN","TIME":"","PRICE":"\u20a62,500.00","STATUS":"PAID","PAID DATE":"","RECORD_ID":"2e1df6a7ced14a4aa113820424951c21","Amount paid":"\u20a62,500.00","DESCRIPTION":"BLUE IPHONE 12 BATTERY CALIBERATION","PHONE NUMBER":2349122727950,"DEAL LOCATION":"","INTERNAL NOTE":"","EXPENSE AMOUNT":"","CALCULATED PROFIT":"","EXPENSE DESCRIPTION":"","IMEI FOR SWAPPED DEAL":""}</t>
  </si>
  <si>
    <t>36724fb7b911385a7fcb5d50097cddfdc16965da0ec23c88617b5e7a74ce7c81</t>
  </si>
  <si>
    <t>{"in":"","DATE":"..","IMEI":"..","NAME":"...","TIME":"","PRICE":"..","STATUS":"..","PAID DATE":"","RECORD_ID":"038b1b9a18814b929c83337cf4d384a3","Amount paid":"..","DESCRIPTION":"..","PHONE NUMBER":"","DEAL LOCATION":"","INTERNAL NOTE":"","EXPENSE AMOUNT":"","CALCULATED PROFIT":"","EXPENSE DESCRIPTION":"","IMEI FOR SWAPPED DEAL":""}</t>
  </si>
  <si>
    <t>450f6cb72019f8f197c5a3dcf1e86cf3a9d021d134ae9e291a68b7b1ee4e744f</t>
  </si>
  <si>
    <t>{"in":"","DATE":"..","IMEI":"..","NAME":"..","TIME":"","PRICE":"...","STATUS":"..","PAID DATE":"","RECORD_ID":"1a4ec75d1372453b8bf4a9014d7b520a","Amount paid":"..","DESCRIPTION":"..","PHONE NUMBER":"","DEAL LOCATION":"","INTERNAL NOTE":"","EXPENSE AMOUNT":"","CALCULATED PROFIT":"","EXPENSE DESCRIPTION":"","IMEI FOR SWAPPED DEAL":""}</t>
  </si>
  <si>
    <t>8ae89d26749da10ac3ae75ebd12c51ea11f6e7d90af4169bc4a3eb8c28fece10</t>
  </si>
  <si>
    <t>{"in":"","DATE":"4/3/2026","IMEI":"MC872201734","NAME":"BAHMS","TIME":"10:30 AM","PRICE":"\u20a6230,000.00","STATUS":"RETURNED","PAID DATE":"","RECORD_ID":"0fd08c15dce84c1b84c38413878fb7d9","Amount paid":"","DESCRIPTION":"PS 4 SLIM COLOSE AND 2 PADS","PHONE NUMBER":2349069477050,"DEAL LOCATION":"","INTERNAL NOTE":"","EXPENSE AMOUNT":"","CALCULATED PROFIT":"","EXPENSE DESCRIPTION":"","IMEI FOR SWAPPED DEAL":""}</t>
  </si>
  <si>
    <t>d5a4eb984c9909e85fd415ba01a451c0821e7e591c4d4cd4603dd392311a2f87</t>
  </si>
  <si>
    <t>{"in":"","DATE":"4/3/2026","IMEI":"","NAME":"DAMBOX","TIME":"11:13:24 AM","PRICE":"\u20a63,000.00","STATUS":"PAID","PAID DATE":"","RECORD_ID":"08935953f0da425b845ad92f90904920","Amount paid":"\u20a63,000.00","DESCRIPTION":"DEEP BLUE 17 PRO IOS UPDATE","PHONE NUMBER":9040943517,"DEAL LOCATION":"","INTERNAL NOTE":"","EXPENSE AMOUNT":"","CALCULATED PROFIT":"","EXPENSE DESCRIPTION":"","IMEI FOR SWAPPED DEAL":""}</t>
  </si>
  <si>
    <t>d0c79cd8c2560cdb5fde22f38e8429377aecf92d58c707536b2f356d897e70c8</t>
  </si>
  <si>
    <t>{"in":"","DATE":"4/3/2026","IMEI":"","NAME":"CUSTOMER","TIME":"12:00:34 PM","PRICE":"\u20a65,000.00","STATUS":"PAID","PAID DATE":"","RECORD_ID":"53097c02613a44f683d969f69f1ce230","Amount paid":"","DESCRIPTION":"iPhone 12 Blue 128GB ICLOUD OPENING","PHONE NUMBER":2341234567890,"DEAL LOCATION":"","INTERNAL NOTE":"","EXPENSE AMOUNT":"","CALCULATED PROFIT":"","EXPENSE DESCRIPTION":"","IMEI FOR SWAPPED DEAL":""}</t>
  </si>
  <si>
    <t>0e4a5e9b692bf84ebc9085edda3edf72a9b62b8202ece321b9d4606b1ab38a46</t>
  </si>
  <si>
    <t>{"in":"","DATE":"4/3/2026","IMEI":"","NAME":"OZ GADGET","TIME":"12:29:13 PM","PRICE":"\u20a62,500.00","STATUS":"PAID","PAID DATE":"","RECORD_ID":"800103c76b064d3d9a5a87521ae1d29e","Amount paid":"\u20a62,500.00","DESCRIPTION":"PINK IPHONE 16 PLUS IOS UPDATE","PHONE NUMBER":2348106293924,"DEAL LOCATION":"","INTERNAL NOTE":"","EXPENSE AMOUNT":"","CALCULATED PROFIT":"","EXPENSE DESCRIPTION":"","IMEI FOR SWAPPED DEAL":""}</t>
  </si>
  <si>
    <t>2e74f4115bcb964ea2992861bfc73a7e7e604927ac9c9c13a95af661e76c8db7</t>
  </si>
  <si>
    <t>{"in":"","DATE":"4/3/2026","IMEI":"","NAME":"ZEE TECH","TIME":"12:38:44 PM","PRICE":"\u20a62,500.00","STATUS":"PAID","PAID DATE":"","RECORD_ID":"827b383f5cc14cdbbef47809f119819b","Amount paid":"\u20a62,500.00","DESCRIPTION":"IPHONE 12 BLACK 64 IOS UPDATE","PHONE NUMBER":2349033724061,"DEAL LOCATION":"","INTERNAL NOTE":"","EXPENSE AMOUNT":"","CALCULATED PROFIT":"","EXPENSE DESCRIPTION":"","IMEI FOR SWAPPED DEAL":""}</t>
  </si>
  <si>
    <t>2732f73b3c9d1c1bddbd769ca6247dc68de958543e97e0c57f4cc559e21e1e3f</t>
  </si>
  <si>
    <t>{"in":"","DATE":"4/3/2026","IMEI":"","NAME":"ZEE TECH","TIME":"1:23:07 PM","PRICE":"\u20a62,500.00","STATUS":"PAID","PAID DATE":"","RECORD_ID":"ae1410ff13d84da5954a07abb794ede4","Amount paid":"\u20a62,500.00","DESCRIPTION":"iPhone 16 Ultramarine 128GB IOS UPDATE","PHONE NUMBER":2349033724061,"DEAL LOCATION":"","INTERNAL NOTE":"","EXPENSE AMOUNT":"","CALCULATED PROFIT":"","EXPENSE DESCRIPTION":"","IMEI FOR SWAPPED DEAL":""}</t>
  </si>
  <si>
    <t>87c615d67cd7108ecfc4297318057377164bb6198472c968e6f7a2325849ee10</t>
  </si>
  <si>
    <t>{"in":"","DATE":"4/3/2026","IMEI":"","NAME":"DEMEX","TIME":"1:37:00 PM","PRICE":"\u20a62,000.00","STATUS":"UNPAID","PAID DATE":"","RECORD_ID":"1d3df01406484730b41bb1cb5eac7063","Amount paid":"","DESCRIPTION":"SILVER IPHONE 14 PRO MAX IOS UPDATE. THAT HAS ESIM","PHONE NUMBER":2347067462101,"DEAL LOCATION":"","INTERNAL NOTE":"","EXPENSE AMOUNT":"","CALCULATED PROFIT":"","EXPENSE DESCRIPTION":"","IMEI FOR SWAPPED DEAL":""}</t>
  </si>
  <si>
    <t>3a3170e772ad6627eaf0354694233771061e472c427e2712835b7b83975dc55c</t>
  </si>
  <si>
    <t>{"in":"","DATE":"4/3/2026","IMEI":"","NAME":"HOLLAH GADGET","TIME":"1:47:12 PM","PRICE":"\u20a62,500.00","STATUS":"PAID","PAID DATE":"","RECORD_ID":"c38f64ae17f04cf1a55f78928287f3f5","Amount paid":"\u20a62,500.00","DESCRIPTION":"iPhone XR Black 64GB IOS UPDATE","PHONE NUMBER":7041440724,"DEAL LOCATION":"","INTERNAL NOTE":"","EXPENSE AMOUNT":"","CALCULATED PROFIT":"","EXPENSE DESCRIPTION":"","IMEI FOR SWAPPED DEAL":""}</t>
  </si>
  <si>
    <t>8ed88ae5e1174396193313ee43eefa5e23d72198800d435cc9c98a48b7d85118</t>
  </si>
  <si>
    <t>{"in":"","DATE":"4/3/2026","IMEI":357344098486526,"NAME":"PANKYGEE","TIME":"2:03:44 PM","PRICE":"\u20a6190,000.00","STATUS":"PAID","PAID DATE":"","RECORD_ID":"12612b8828b548e4beffcc242cbdd099","Amount paid":"\u20a6190,000.00","DESCRIPTION":"IPHONE XR WHITE 128GB 100% BH","PHONE NUMBER":2347052247397,"DEAL LOCATION":"","INTERNAL NOTE":"","EXPENSE AMOUNT":"","CALCULATED PROFIT":"","EXPENSE DESCRIPTION":"","IMEI FOR SWAPPED DEAL":""}</t>
  </si>
  <si>
    <t>d6687404b315c2415561769c83901b818b3fb128d7165a481affe6f9340198af</t>
  </si>
  <si>
    <t>{"in":"","DATE":"4/3/2026","IMEI":"","NAME":"HORJOR","TIME":"2:07:10 PM","PRICE":"\u20a65,000.00","STATUS":"PAID","PAID DATE":"","RECORD_ID":"d029deaae69b4074a16f5bfa82c1337f","Amount paid":"\u20a65,000.00","DESCRIPTION":"5K OUTSTANDING","PHONE NUMBER":2347075152460,"DEAL LOCATION":"","INTERNAL NOTE":"","EXPENSE AMOUNT":"","CALCULATED PROFIT":"","EXPENSE DESCRIPTION":"","IMEI FOR SWAPPED DEAL":""}</t>
  </si>
  <si>
    <t>9e29ffb01504652b04dce6972d7549f5d185cccd84def499185bdabb153c5e0f</t>
  </si>
  <si>
    <t>{"in":"","DATE":"4/3/2026","IMEI":"JKH9GNP094","NAME":"ANOINTED WEALTH","TIME":"2:07:19 PM","PRICE":"\u20a6410,000.00","STATUS":"PAID","PAID DATE":"","RECORD_ID":"5b08670117b7495285de8b72317fb5f9","Amount paid":"\u20a6410,000.00","DESCRIPTION":"IWATCH SERIES 11","PHONE NUMBER":2348137226383,"DEAL LOCATION":"","INTERNAL NOTE":"","EXPENSE AMOUNT":"","CALCULATED PROFIT":"","EXPENSE DESCRIPTION":"","IMEI FOR SWAPPED DEAL":""}</t>
  </si>
  <si>
    <t>274933032bfea499d483779ec8c288b94701e6dfe205f6848aafad230c4b0d54</t>
  </si>
  <si>
    <t>{"in":"","DATE":"4/3/2026","IMEI":"","NAME":"TEE BEST GADGET","TIME":"2:39:05 PM","PRICE":"\u20a62,500.00","STATUS":"PAID","PAID DATE":"","RECORD_ID":"a9733cd6196d42ed905467591c81c1bc","Amount paid":"\u20a62,500.00","DESCRIPTION":"BLACK IPHONE 16 IOS UPDATE","PHONE NUMBER":2348037624066,"DEAL LOCATION":"","INTERNAL NOTE":"","EXPENSE AMOUNT":"","CALCULATED PROFIT":"","EXPENSE DESCRIPTION":"","IMEI FOR SWAPPED DEAL":""}</t>
  </si>
  <si>
    <t>eaae1f931b6ffbe232701c29cc757a8f0e1dbeebe47f8afe5c020f37b4a09f60</t>
  </si>
  <si>
    <t>{"in":"","DATE":"4/3/2026","IMEI":"","NAME":"AFRIKA","TIME":"3:36:49 PM","PRICE":"\u20a6580,000.00","STATUS":"PART PAYMENT","PAID DATE":"","RECORD_ID":"eb6b47c91e8e498599a30cf21c328c87","Amount paid":"\u20a6530,000.00","DESCRIPTION":"PURPLE IPHONE 14 PRO MAX. 82%. ESIM UNLOCKED","PHONE NUMBER":2349032711183,"DEAL LOCATION":"","INTERNAL NOTE":"","EXPENSE AMOUNT":"","CALCULATED PROFIT":"","EXPENSE DESCRIPTION":"","IMEI FOR SWAPPED DEAL":""}</t>
  </si>
  <si>
    <t>f17dcc698bb70e51bac9780b1ca2edc3762bc56ec341425744ef13a60e11e456</t>
  </si>
  <si>
    <t>{"in":"","DATE":"4/3/2026","IMEI":"","NAME":"PANKYGEE","TIME":"3:36:52 PM","PRICE":"\u20a62,500.00","STATUS":"PAID","PAID DATE":"","RECORD_ID":"e8f0fd68d0754e55880e08a283ac1cb2","Amount paid":"\u20a62,500.00","DESCRIPTION":"SILVER IPHONE 11 PRO FIX BATTERY FLASH","PHONE NUMBER":2347052247397,"DEAL LOCATION":"","INTERNAL NOTE":"","EXPENSE AMOUNT":"","CALCULATED PROFIT":"","EXPENSE DESCRIPTION":"","IMEI FOR SWAPPED DEAL":""}</t>
  </si>
  <si>
    <t>d69c56c1e8a5b33d077b6c79e6146558189bef1b69c40c1964094dbed577a59a</t>
  </si>
  <si>
    <t>{"in":"","DATE":"4/3/2026","IMEI":"","NAME":"VERTEX","TIME":"3:37:03 PM","PRICE":"\u20a62,500.00","STATUS":"PAID","PAID DATE":"","RECORD_ID":"f1e811e45ca14d9dba37ad1a65736f48","Amount paid":"\u20a62,500.00","DESCRIPTION":"iPhone 16 Pro Desert Titanium 128GB IOS UPDATE","PHONE NUMBER":2348103663581,"DEAL LOCATION":"","INTERNAL NOTE":"","EXPENSE AMOUNT":"","CALCULATED PROFIT":"","EXPENSE DESCRIPTION":"","IMEI FOR SWAPPED DEAL":""}</t>
  </si>
  <si>
    <t>106051ca53d2d4c4a10e4e30221a225db5e815146ed7b5c3b83397392bd3ce5d</t>
  </si>
  <si>
    <t>{"in":"","DATE":"4/3/2026","IMEI":"","NAME":"CUSTOMER","TIME":"3:38:33 PM","PRICE":"\u20a613,000.00","STATUS":"PAID","PAID DATE":"","RECORD_ID":"7980675ebcc0448fb74300e53e67050e","Amount paid":"\u20a613,000.00","DESCRIPTION":"USA ICLOUD OPENING &amp; LOCATION CHANGE","PHONE NUMBER":2341234567890,"DEAL LOCATION":"","INTERNAL NOTE":"","EXPENSE AMOUNT":"","CALCULATED PROFIT":"","EXPENSE DESCRIPTION":"","IMEI FOR SWAPPED DEAL":""}</t>
  </si>
  <si>
    <t>1eec21e3c4829ceb91c8fa0b677f3af6570028c02bae1d15a846afa6b6cfc4c5</t>
  </si>
  <si>
    <t>{"in":"","DATE":"4/3/2026","IMEI":"","NAME":"KAYWISE","TIME":"3:54:48 PM","PRICE":"\u20a62,500.00","STATUS":"PAID","PAID DATE":"","RECORD_ID":"0e47bb27a64b41e9b4dc077b9efd2e12","Amount paid":"\u20a62,500.00","DESCRIPTION":"iPhone Air Sky Blue 256GB IOS UPDATE","PHONE NUMBER":2349032614464,"DEAL LOCATION":"","INTERNAL NOTE":"","EXPENSE AMOUNT":"","CALCULATED PROFIT":"","EXPENSE DESCRIPTION":"","IMEI FOR SWAPPED DEAL":""}</t>
  </si>
  <si>
    <t>cc537f3978777a7b431b930f2f53b0d844257e22b82f7b0076cbf186d7a3ee03</t>
  </si>
  <si>
    <t>{"in":"","DATE":"4/3/2026","IMEI":"","NAME":"STAR BUSSY","TIME":"5:18:52 PM","PRICE":"\u20a62,500.00","STATUS":"PAID","PAID DATE":"","RECORD_ID":"f3a45374f7114570b2e0ab81e51541e8","Amount paid":"\u20a62,500.00","DESCRIPTION":"IPHONE 13 PINK IOS UPDATE","PHONE NUMBER":2348127738411,"DEAL LOCATION":"","INTERNAL NOTE":"","EXPENSE AMOUNT":"","CALCULATED PROFIT":"","EXPENSE DESCRIPTION":"","IMEI FOR SWAPPED DEAL":""}</t>
  </si>
  <si>
    <t>d224a96e93a58dea8c34a486940a7c6cc6a3e9917f4cc8aaf9bc95ab2eb5a8f2</t>
  </si>
  <si>
    <t>{"in":"","DATE":"4/3/2026","IMEI":"","NAME":"DAMBOX","TIME":"6:36:42 PM","PRICE":"\u20a68,000.00","STATUS":"PAID","PAID DATE":"","RECORD_ID":"39e438a14b6c4fda90d4344d12d278a1","Amount paid":"\u20a68,000.00","DESCRIPTION":"SAMSUNG TO SAMSUNG FILE TRANSFER","PHONE NUMBER":9040943517,"DEAL LOCATION":"","INTERNAL NOTE":"","EXPENSE AMOUNT":"","CALCULATED PROFIT":"","EXPENSE DESCRIPTION":"","IMEI FOR SWAPPED DEAL":""}</t>
  </si>
  <si>
    <t>92460e03c2a46c2f5fcc53cce8b1aed2a70e675ebc37b57615343c81b4ebe68a</t>
  </si>
  <si>
    <t>{"in":"","DATE":"4/3/2026","IMEI":"","NAME":"CLARK GADGETS","TIME":"10:33:28 PM","PRICE":"\u20a610,000.00","STATUS":"PAID","PAID DATE":"","RECORD_ID":"ff09bf07ebd749a485cdee940b395583","Amount paid":"","DESCRIPTION":"USA ICLOUD OPENING","PHONE NUMBER":2347064459910,"DEAL LOCATION":"","INTERNAL NOTE":"","EXPENSE AMOUNT":"","CALCULATED PROFIT":"","EXPENSE DESCRIPTION":"","IMEI FOR SWAPPED DEAL":""}</t>
  </si>
  <si>
    <t>b0f37e594ff7413b0e33e4adaa4e8bfc0ef7d3c1164b34645429416eac939a03</t>
  </si>
  <si>
    <t>{"in":"","DATE":"..","IMEI":"..","NAME":"...","TIME":"..","PRICE":"..","STATUS":"..","PAID DATE":"","RECORD_ID":"5d04649e7c964846b8dab614115a5854","Amount paid":"..","DESCRIPTION":"..","PHONE NUMBER":"..","DEAL LOCATION":"","INTERNAL NOTE":"","EXPENSE AMOUNT":"","CALCULATED PROFIT":"","EXPENSE DESCRIPTION":"","IMEI FOR SWAPPED DEAL":""}</t>
  </si>
  <si>
    <t>0bebd93adf61ae5425c80b8429362bf2a21084f252302cb97da5a7e434ac9c22</t>
  </si>
  <si>
    <t>{"in":"","DATE":"..","IMEI":"..","NAME":"..","TIME":"..","PRICE":"...","STATUS":"..","PAID DATE":"","RECORD_ID":"2b0eec17f1d34ccd8a0f8f518fd312e9","Amount paid":"..","DESCRIPTION":"..","PHONE NUMBER":"..","DEAL LOCATION":"","INTERNAL NOTE":"","EXPENSE AMOUNT":"","CALCULATED PROFIT":"","EXPENSE DESCRIPTION":"","IMEI FOR SWAPPED DEAL":""}</t>
  </si>
  <si>
    <t>f6ba63e8515cd10646adaa04d7d3ddaefc6b57499b89ba56ca70a7de91b946f7</t>
  </si>
  <si>
    <t>2026-04-04T00:00:00+01:00</t>
  </si>
  <si>
    <t>{"in":"","DATE":"4/4/2026","IMEI":"","NAME":"KAYWISE","TIME":"11:22:33 AM","PRICE":"\u20a65,000.00","STATUS":"PAID","PAID DATE":"","RECORD_ID":"5934c19ca4c44ddc8ae82e634193e478","Amount paid":"","DESCRIPTION":"IPHONE 11 TO XR DATA TRANSFER AND UPGRADE","PHONE NUMBER":2349032614464,"DEAL LOCATION":"","INTERNAL NOTE":"","EXPENSE AMOUNT":"","CALCULATED PROFIT":"","EXPENSE DESCRIPTION":"","IMEI FOR SWAPPED DEAL":""}</t>
  </si>
  <si>
    <t>9c8ae38998cf03574edbcaa86c171a05712faadeabf23393d9bfc54769535137</t>
  </si>
  <si>
    <t>{"in":"","DATE":"4/4/2026","IMEI":"","NAME":"RICHIE APPLE ID","TIME":"12:26:04 PM","PRICE":"\u20a6990,000.00","STATUS":"PAID","PAID DATE":"","RECORD_ID":"4c85856f8d7a46c0a880e73c46c426d4","Amount paid":"\u20a6990,000.00","DESCRIPTION":"IPHONE 16 PRO MAX SWAPPED TO IPHONE ","PHONE NUMBER":2349060362110,"DEAL LOCATION":"","INTERNAL NOTE":"","EXPENSE AMOUNT":"","CALCULATED PROFIT":"","EXPENSE DESCRIPTION":"","IMEI FOR SWAPPED DEAL":354661672109387}</t>
  </si>
  <si>
    <t>f5bcbf6b2fb1b07c3df887c0d7364ec36d8b7435b36cead5450d717774a6d2cf</t>
  </si>
  <si>
    <t>{"in":"","DATE":"4/4/2026","IMEI":"","NAME":"HONEYTEE","TIME":"1:01:58 PM","PRICE":"\u20a62,500.00","STATUS":"UNPAID","PAID DATE":"","RECORD_ID":"057ace36e9f5484cabdb364567f4ed01","Amount paid":"","DESCRIPTION":"IPHONE 12 64GB IOS UPDATE","PHONE NUMBER":2349125271770,"DEAL LOCATION":"","INTERNAL NOTE":"","EXPENSE AMOUNT":"","CALCULATED PROFIT":"","EXPENSE DESCRIPTION":"","IMEI FOR SWAPPED DEAL":""}</t>
  </si>
  <si>
    <t>17a4a290179a8c33511e54fefcefcb61c8812a40cab90c7305584991099ffaa8</t>
  </si>
  <si>
    <t>{"in":"","DATE":"4/4/2026","IMEI":352973351900768,"NAME":"KAYWISE","TIME":"1:18:54 PM","PRICE":"\u20a61,050,000.00","STATUS":"paid","PAID DATE":"","RECORD_ID":"c1bad99b5dc74a21b53f699b52ca8343","Amount paid":"\u20a61,050,000.00","DESCRIPTION":"IPHONE 16 PLUS PHYSICAL + ESIM. ULTRAMARINE BLUE. 91%","PHONE NUMBER":2349032614464,"DEAL LOCATION":"","INTERNAL NOTE":"","EXPENSE AMOUNT":"","CALCULATED PROFIT":"","EXPENSE DESCRIPTION":"","IMEI FOR SWAPPED DEAL":""}</t>
  </si>
  <si>
    <t>b5f2f4775feb7cb3f1e7292c789acab473f9b868ac71a2a4a21e9017d4cee72e</t>
  </si>
  <si>
    <t>{"in":"","DATE":"4/4/2026","IMEI":358915823120982,"NAME":"KAYWISE","TIME":"1:18:56 PM","PRICE":"\u20a6825,000.00","STATUS":"RETURNED","PAID DATE":"","RECORD_ID":"1d0924e083bc42debe707928440fc7e0","Amount paid":"","DESCRIPTION":"IPHONE 16 PLUS ESIM UNLOCKED. 97%. ULTRAMARINE BLUE","PHONE NUMBER":2349032614464,"DEAL LOCATION":"","INTERNAL NOTE":"","EXPENSE AMOUNT":"","CALCULATED PROFIT":"","EXPENSE DESCRIPTION":"","IMEI FOR SWAPPED DEAL":""}</t>
  </si>
  <si>
    <t>d01b0ffe0862e483ae1d811cd4b1cf6af2b70a3fb64e93a65e3e25ac5003510d</t>
  </si>
  <si>
    <t>{"in":"","DATE":"4/4/2026","IMEI":"","NAME":"DAMBOX","TIME":"1:40:44 PM","PRICE":"\u20a62,500.00","STATUS":"PAID","PAID DATE":"","RECORD_ID":"5bf6672c3dee41ecab8011b09538918f","Amount paid":"\u20a62,500.00","DESCRIPTION":"iPhone 11 Pro Max Silver 256GB IOS UPDATE","PHONE NUMBER":9040943517,"DEAL LOCATION":"","INTERNAL NOTE":"","EXPENSE AMOUNT":"","CALCULATED PROFIT":"","EXPENSE DESCRIPTION":"","IMEI FOR SWAPPED DEAL":""}</t>
  </si>
  <si>
    <t>dac9eedc432c5f6b9c76819109a0a3e808f909a455667ca3902b9989bd442e6a</t>
  </si>
  <si>
    <t>{"in":"","DATE":"4/4/2026","IMEI":357770206656735,"NAME":"MD GADGS","TIME":"1:45:30 PM","PRICE":"\u20a6555,000.00","STATUS":"PAID","PAID DATE":"","RECORD_ID":"049e75c623e44b0d87aea4e1b6452659","Amount paid":"\u20a6555,000.00","DESCRIPTION":"IPHONE 15 128GB. ESIM. 86%","PHONE NUMBER":2348166860603,"DEAL LOCATION":"","INTERNAL NOTE":"","EXPENSE AMOUNT":"","CALCULATED PROFIT":"","EXPENSE DESCRIPTION":"","IMEI FOR SWAPPED DEAL":""}</t>
  </si>
  <si>
    <t>bb74589789820327bcca5417544e5500f6cf804ccb8c10af66cb2d7ec18e34d8</t>
  </si>
  <si>
    <t>{"in":"","DATE":"4/4/2026","IMEI":358915823120982,"NAME":"BAHMS","TIME":"2:32:25 PM","PRICE":"\u20a6820,000.00","STATUS":"RETURNED","PAID DATE":"","RECORD_ID":"c26baa9308974ab2b247f177e14167ed","Amount paid":"","DESCRIPTION":"IPHONE 16 PLUS 128GB","PHONE NUMBER":2349069477050,"DEAL LOCATION":"","INTERNAL NOTE":"","EXPENSE AMOUNT":"","CALCULATED PROFIT":"","EXPENSE DESCRIPTION":"","IMEI FOR SWAPPED DEAL":""}</t>
  </si>
  <si>
    <t>fc4e44897b6ad522c5a71b1274d5508ee22a316ce51cafcc40b13302a31be81b</t>
  </si>
  <si>
    <t>{"in":"","DATE":"4/4/2026","IMEI":"","NAME":"HOLLAH GADGET","TIME":"3:45:39 PM","PRICE":"\u20a62,500.00","STATUS":"PAID","PAID DATE":"","RECORD_ID":"7fbdd9b0cd704338a18b5b485fc3329e","Amount paid":"\u20a62,500.00","DESCRIPTION":"iPhone 15 Pro Max Natural Titanium 256GB IOS UPDATE","PHONE NUMBER":7041440724,"DEAL LOCATION":"","INTERNAL NOTE":"","EXPENSE AMOUNT":"","CALCULATED PROFIT":"","EXPENSE DESCRIPTION":"","IMEI FOR SWAPPED DEAL":""}</t>
  </si>
  <si>
    <t>63fd598ea0a77650f7c3e70c6ce3ee2dbaeff920fd19fd606b097f42a11d2fa1</t>
  </si>
  <si>
    <t>{"in":"","DATE":"...","IMEI":"..","NAME":"..","TIME":"","PRICE":".","STATUS":".","PAID DATE":"","RECORD_ID":"cce7ff947d0e4485a42b0b4e226b8719","Amount paid":"","DESCRIPTION":"..","PHONE NUMBER":"","DEAL LOCATION":"","INTERNAL NOTE":"","EXPENSE AMOUNT":"","CALCULATED PROFIT":"","EXPENSE DESCRIPTION":"","IMEI FOR SWAPPED DEAL":""}</t>
  </si>
  <si>
    <t>fa47f60a8b7fbf3b79067e9d963ddb842b06f7f73a559f405717f9c12903c060</t>
  </si>
  <si>
    <t>{"in":"","DATE":"...","IMEI":"..","NAME":"..","TIME":"","PRICE":".","STATUS":".","PAID DATE":"","RECORD_ID":"6059293bb6394700a3cf152e51066834","Amount paid":"","DESCRIPTION":"..","PHONE NUMBER":"","DEAL LOCATION":"","INTERNAL NOTE":"","EXPENSE AMOUNT":"","CALCULATED PROFIT":"","EXPENSE DESCRIPTION":"","IMEI FOR SWAPPED DEAL":""}</t>
  </si>
  <si>
    <t>7ef2be2ccf62504b0a3379e3f0fae3263d12686679f878ef1dfe7ac861a74e80</t>
  </si>
  <si>
    <t>{"in":"","DATE":"...","IMEI":"..","NAME":"..","TIME":"","PRICE":"..","STATUS":"..","PAID DATE":"","RECORD_ID":"3f0771e560cc40c08baf57a2ff67de1a","Amount paid":"..","DESCRIPTION":"...","PHONE NUMBER":"..","DEAL LOCATION":"","INTERNAL NOTE":"","EXPENSE AMOUNT":"","CALCULATED PROFIT":"","EXPENSE DESCRIPTION":"","IMEI FOR SWAPPED DEAL":""}</t>
  </si>
  <si>
    <t>0ff04d13fed357f1aed92ce234d1a8207e6bb88ced19c5c08d7dff43019c58eb</t>
  </si>
  <si>
    <t>2026-04-05T00:00:00+01:00</t>
  </si>
  <si>
    <t>{"in":"","DATE":"4/5/2026","IMEI":354661672109387,"NAME":"TEE BEST GADGET","TIME":"","PRICE":"\u20a6730,000.00","STATUS":"PAID","PAID DATE":"","RECORD_ID":"77ce7b0a9e3248539659a014d29f5a1a","Amount paid":"\u20a6730,000.00","DESCRIPTION":"IPHONE 16 PRO MAX . LOCKED. OPENED BOX. 256GB. 92%. DESERT TITANIUM","PHONE NUMBER":2348037624066,"DEAL LOCATION":"","INTERNAL NOTE":"","EXPENSE AMOUNT":"","CALCULATED PROFIT":"","EXPENSE DESCRIPTION":"","IMEI FOR SWAPPED DEAL":""}</t>
  </si>
  <si>
    <t>c4adec52b92372550d0b5a06d24b06e82bfecd853c7c45883247fc03f303ad62</t>
  </si>
  <si>
    <t>{"in":"","DATE":"...","IMEI":"..","NAME":"..","TIME":"","PRICE":".","STATUS":"..","PAID DATE":"","RECORD_ID":"620e7b0f0a194f96b200130570666156","Amount paid":"","DESCRIPTION":"..","PHONE NUMBER":"","DEAL LOCATION":"","INTERNAL NOTE":"","EXPENSE AMOUNT":"","CALCULATED PROFIT":"","EXPENSE DESCRIPTION":"","IMEI FOR SWAPPED DEAL":""}</t>
  </si>
  <si>
    <t>7c6e17297bfe8ece3ebfdf8e3e9cf69ed866cfe766d785338b1e0bf39d627a67</t>
  </si>
  <si>
    <t>{"in":"","DATE":"...","IMEI":"..","NAME":"..","TIME":"","PRICE":".","STATUS":"..","PAID DATE":"","RECORD_ID":"ba36745386d743bb8ad29c1e63e2f48f","Amount paid":"","DESCRIPTION":"..","PHONE NUMBER":"","DEAL LOCATION":"","INTERNAL NOTE":"","EXPENSE AMOUNT":"","CALCULATED PROFIT":"","EXPENSE DESCRIPTION":"","IMEI FOR SWAPPED DEAL":""}</t>
  </si>
  <si>
    <t>e2d4fda8fceb8d1a3ea618ed0019cf37a9542ed9cfffce90b24e568c03e693cf</t>
  </si>
  <si>
    <t>{"in":"","DATE":"...","IMEI":"..","NAME":"..","TIME":"","PRICE":"..","STATUS":"...","PAID DATE":"","RECORD_ID":"2571d91ebac04e6eb3b9e6a65f3e5c80","Amount paid":"","DESCRIPTION":"...","PHONE NUMBER":"..","DEAL LOCATION":"","INTERNAL NOTE":"","EXPENSE AMOUNT":"","CALCULATED PROFIT":"","EXPENSE DESCRIPTION":"","IMEI FOR SWAPPED DEAL":""}</t>
  </si>
  <si>
    <t>d4e5f976585e6fbd2aab28b6796962d1f2ae72bcd9ac8daed63ee49b52f8a262</t>
  </si>
  <si>
    <t>2026-04-06T00:00:00+01:00</t>
  </si>
  <si>
    <t>{"in":"","DATE":"4/6/2026","IMEI":"","NAME":"SEYIFUNMI","TIME":"12:33:20 PM","PRICE":"\u20a62,500.00","STATUS":"PAID","PAID DATE":"","RECORD_ID":"86b2aefeef5240dcae8e694ee7517964","Amount paid":"\u20a62,500.00","DESCRIPTION":"iPhone 16 Pro Max Black Titanium 256GB IOS UPDATE","PHONE NUMBER":"234706 5500068","DEAL LOCATION":"","INTERNAL NOTE":"","EXPENSE AMOUNT":"","CALCULATED PROFIT":"","EXPENSE DESCRIPTION":"","IMEI FOR SWAPPED DEAL":""}</t>
  </si>
  <si>
    <t>cdf073ca6e0e9e6213864d7a41b181c4246f6c54fb1c58cb30d2cc2f064cc9ad</t>
  </si>
  <si>
    <t>{"in":"","DATE":"...","IMEI":"...","NAME":"...","TIME":"...","PRICE":"...","STATUS":"...","PAID DATE":"","RECORD_ID":"364cdca0c4ce4046959f4dd5437d988a","Amount paid":"...","DESCRIPTION":"...","PHONE NUMBER":"...","DEAL LOCATION":"","INTERNAL NOTE":"","EXPENSE AMOUNT":"","CALCULATED PROFIT":"","EXPENSE DESCRIPTION":"","IMEI FOR SWAPPED DEAL":""}</t>
  </si>
  <si>
    <t>60739fe57e4c76b05c8bfceb416fe7567009bc16c0671f4fab123c609f6dd09b</t>
  </si>
  <si>
    <t>{"in":"","DATE":"...","IMEI":"...","NAME":"...","TIME":"...","PRICE":"...","STATUS":"...","PAID DATE":"","RECORD_ID":"755b88953dfd44d297dce8c70285e4a2","Amount paid":"...","DESCRIPTION":"...","PHONE NUMBER":"...","DEAL LOCATION":"","INTERNAL NOTE":"","EXPENSE AMOUNT":"","CALCULATED PROFIT":"","EXPENSE DESCRIPTION":"","IMEI FOR SWAPPED DEAL":""}</t>
  </si>
  <si>
    <t>97adbeda397e8f2d67566f40da85c3a83eb5e94da8c2a9c3b70cc7ade6590cad</t>
  </si>
  <si>
    <t>{"in":"","DATE":"...","IMEI":"...","NAME":"...","TIME":"...","PRICE":"...","STATUS":"...","PAID DATE":"","RECORD_ID":"377032f520424ab289967b60ed637ccb","Amount paid":"...","DESCRIPTION":"...","PHONE NUMBER":"...","DEAL LOCATION":"","INTERNAL NOTE":"","EXPENSE AMOUNT":"","CALCULATED PROFIT":"","EXPENSE DESCRIPTION":"","IMEI FOR SWAPPED DEAL":""}</t>
  </si>
  <si>
    <t>88a7dd4a63c39992ea7608ebb03afcde3c3738b37a71b3b56f7d4af48a692f98</t>
  </si>
  <si>
    <t>{"in":"","DATE":"4/7/2026","IMEI":"","NAME":"ISAIAH BIKEMAN","TIME":"11:42:00 AM","PRICE":"\u20a62,000.00","STATUS":"UNPAID","PAID DATE":"","RECORD_ID":"b85cf33d25ea48ae8ee02929479ca376","Amount paid":"","DESCRIPTION":"iPhone 6s Rose Gold 16GB FLASHING","PHONE NUMBER":2347069975385,"DEAL LOCATION":"","INTERNAL NOTE":"","EXPENSE AMOUNT":"","CALCULATED PROFIT":"","EXPENSE DESCRIPTION":"","IMEI FOR SWAPPED DEAL":""}</t>
  </si>
  <si>
    <t>68a23e1ce3e2f5d82763ab4d6221b22971275006e592ac4074d048950c2bc965</t>
  </si>
  <si>
    <t>2026-04-07T00:00:00+01:00</t>
  </si>
  <si>
    <t>{"in":"","DATE":"4/7/2026","IMEI":353817900069121,"NAME":"TETE GADGET","TIME":"11:54:09 AM","PRICE":"\u20a6475,000.00","STATUS":"PAID","PAID DATE":"","RECORD_ID":"48e5d655254a42288e3a4d731a1b5bac","Amount paid":"","DESCRIPTION":"IPHONE 15 LOCKED WITH ACTIVE ESIM. 100%. LOCKED. BLACK","PHONE NUMBER":2348038551439,"DEAL LOCATION":"","INTERNAL NOTE":"","EXPENSE AMOUNT":"","CALCULATED PROFIT":"","EXPENSE DESCRIPTION":"","IMEI FOR SWAPPED DEAL":""}</t>
  </si>
  <si>
    <t>349a2930cf106ea7ab6b47ec86cd7bcde9b1b7660dc6e83a5afbce546e1543ad</t>
  </si>
  <si>
    <t>{"in":"","DATE":"4/7/2026","IMEI":"","NAME":"ADEYEYE","TIME":"1:12:41 PM","PRICE":"\u20a63,000.00","STATUS":"PAID","PAID DATE":"","RECORD_ID":"458f1b78ec524cf88a3f6b94c47460e9","Amount paid":"\u20a63,000.00","DESCRIPTION":"IPHONE 17 PRO MAX ORANGE COLOR IOS UPDATE","PHONE NUMBER":2347069117214,"DEAL LOCATION":"","INTERNAL NOTE":"","EXPENSE AMOUNT":"","CALCULATED PROFIT":"","EXPENSE DESCRIPTION":"","IMEI FOR SWAPPED DEAL":""}</t>
  </si>
  <si>
    <t>a4a066720be80d06c1882ae9da298a939191c88d931f6f7cfd0db4a426c0cacf</t>
  </si>
  <si>
    <t>{"in":"","DATE":"4/7/2026","IMEI":"","NAME":"DAMBOX","TIME":"2:01:46 PM","PRICE":"\u20a62,500.00","STATUS":"PAID","PAID DATE":"","RECORD_ID":"5d848bb03dc6485b91638dd201c11132","Amount paid":"\u20a62,500.00","DESCRIPTION":"CLOUD WHITE IPHONE AIR IOS UPDATE","PHONE NUMBER":9040943517,"DEAL LOCATION":"","INTERNAL NOTE":"","EXPENSE AMOUNT":"","CALCULATED PROFIT":"","EXPENSE DESCRIPTION":"","IMEI FOR SWAPPED DEAL":""}</t>
  </si>
  <si>
    <t>1611efe7f6d234fbfb52aed382109209b17adb925d55553c333bf5af1e5e9231</t>
  </si>
  <si>
    <t>{"in":"","DATE":"4/7/2026","IMEI":"MC872201734","NAME":"MULLAR GADGET","TIME":"2:03:31 PM","PRICE":"\u20a6230,000.00","STATUS":"PAID","PAID DATE":"","RECORD_ID":"aa62f54e0a904ee9befe3e429050c70b","Amount paid":"","DESCRIPTION":"PS 4 SLIM COLOSE AND 2 PADS","PHONE NUMBER":2348165523297,"DEAL LOCATION":"","INTERNAL NOTE":"","EXPENSE AMOUNT":"","CALCULATED PROFIT":"","EXPENSE DESCRIPTION":"","IMEI FOR SWAPPED DEAL":""}</t>
  </si>
  <si>
    <t>0077937e6133eb54726de490abc11e705421c5ae49e440d5ae5308b243a32f53</t>
  </si>
  <si>
    <t>{"in":"","DATE":"4/7/2026","IMEI":"","NAME":"IPRO GADGET","TIME":"2:22:38 PM","PRICE":"\u20a65,000.00","STATUS":"PAID","PAID DATE":"","RECORD_ID":"9342530c081d4e6aa53f92d92f2cfa4b","Amount paid":"","DESCRIPTION":"ICLOUD OPENING","PHONE NUMBER":"234 810 934 4663","DEAL LOCATION":"","INTERNAL NOTE":"","EXPENSE AMOUNT":"","CALCULATED PROFIT":"","EXPENSE DESCRIPTION":"","IMEI FOR SWAPPED DEAL":""}</t>
  </si>
  <si>
    <t>3e8d72f6c38a27b11048044cabf673dc59075d59dbfa49970439f9658bd05a4a</t>
  </si>
  <si>
    <t>{"in":"","DATE":"4/7/2026","IMEI":"","NAME":"BIG INVESTOR","TIME":"2:44:13 PM","PRICE":"\u20a64,000.00","STATUS":"PAID","PAID DATE":"","RECORD_ID":"df5cb0320ee142c49aaabb18a6da62d0","Amount paid":"","DESCRIPTION":"iPhone 13 Starlight 128GB LOCATION CHANGING","PHONE NUMBER":2349158627347,"DEAL LOCATION":"","INTERNAL NOTE":"","EXPENSE AMOUNT":"","CALCULATED PROFIT":"","EXPENSE DESCRIPTION":"","IMEI FOR SWAPPED DEAL":""}</t>
  </si>
  <si>
    <t>9daa4e63689a56e3c41c976b561dc98b78f221ef73dac0bb8d67187b0534429c</t>
  </si>
  <si>
    <t>{"in":"","DATE":"4/7/2026","IMEI":"","NAME":"HANSPHEEZY","TIME":"2:44:15 PM","PRICE":"\u20a65,000.00","STATUS":"PAID","PAID DATE":"","RECORD_ID":"1a87759d398d469eaab8a071f3f1490b","Amount paid":"\u20a65,000.00","DESCRIPTION":"IPHONE X FLASH","PHONE NUMBER":2349024734092,"DEAL LOCATION":"","INTERNAL NOTE":"","EXPENSE AMOUNT":"","CALCULATED PROFIT":"","EXPENSE DESCRIPTION":"","IMEI FOR SWAPPED DEAL":""}</t>
  </si>
  <si>
    <t>d3bb1ccc60361a01bc612a1d4c6cc7fb13e840aeb58aea4d54d9b7f4bc9d71dd</t>
  </si>
  <si>
    <t>{"in":"","DATE":"4/7/2026","IMEI":"","NAME":"RAYMOND","TIME":"2:50:20 PM","PRICE":"\u20a62,500.00","STATUS":"PAID","PAID DATE":"","RECORD_ID":"ec9f59dbc3a84ec7bb3a5f1787ed5e86","Amount paid":"","DESCRIPTION":"LIGHT GOLD IPHONE AIR IOS UPDATE","PHONE NUMBER":2349161048040,"DEAL LOCATION":"","INTERNAL NOTE":"","EXPENSE AMOUNT":"","CALCULATED PROFIT":"","EXPENSE DESCRIPTION":"","IMEI FOR SWAPPED DEAL":""}</t>
  </si>
  <si>
    <t>9efcc76184cbfd9e4f806029175d9a7d8d6e47c914eb6adcdfc56c6749d208cf</t>
  </si>
  <si>
    <t>{"in":"","DATE":"4/7/2026","IMEI":"","NAME":"DAMBOX","TIME":"4:57:25 PM","PRICE":"\u20a62,500.00","STATUS":"PAID","PAID DATE":"","RECORD_ID":"47671f1d639e43b98734f279781eb25b","Amount paid":"\u20a62,500.00","DESCRIPTION":"iPhone 16 Pro Desert Titanium 128GB IOS UPDATE","PHONE NUMBER":9040943517,"DEAL LOCATION":"","INTERNAL NOTE":"","EXPENSE AMOUNT":"","CALCULATED PROFIT":"","EXPENSE DESCRIPTION":"","IMEI FOR SWAPPED DEAL":""}</t>
  </si>
  <si>
    <t>d578cb898a38a8224c3df0ea31760c4875a53fca7aca4b51a7fab4d700a2a3a3</t>
  </si>
  <si>
    <t>{"in":"","DATE":"4/7/2026","IMEI":"","NAME":"DENIS4WARD","TIME":"6:07:26 PM","PRICE":"\u20a66,500.00","STATUS":"PAID","PAID DATE":"","RECORD_ID":"ba2c16891ded4285a660a369d55b8b6f","Amount paid":"\u20a66,500.00","DESCRIPTION":"FOR DARAVIT","PHONE NUMBER":2348038551439,"DEAL LOCATION":"","INTERNAL NOTE":"","EXPENSE AMOUNT":"","CALCULATED PROFIT":"","EXPENSE DESCRIPTION":"","IMEI FOR SWAPPED DEAL":""}</t>
  </si>
  <si>
    <t>469cd71859ef593dd41a2dabb4aed388a639a022f001222e0640834fc3c3a05f</t>
  </si>
  <si>
    <t>{"in":"","DATE":"4/7/2026","IMEI":358637620606720,"NAME":"ZINO","TIME":"6:30:05 PM","PRICE":"\u20a6770,000.00","STATUS":"PAID","PAID DATE":"","RECORD_ID":"bad49cdd027442f39caee3d1b408af3c","Amount paid":"\u20a6770,000.00","DESCRIPTION":"IPHONE 16 PRO MAX. NATURAL TITANIUM. LOCKED. 90%","PHONE NUMBER":9017635284,"DEAL LOCATION":"","INTERNAL NOTE":"","EXPENSE AMOUNT":"","CALCULATED PROFIT":"","EXPENSE DESCRIPTION":"","IMEI FOR SWAPPED DEAL":""}</t>
  </si>
  <si>
    <t>6a857e85317d70d5bff5d46e9c04343840f7d839730cd1227396641be74503b3</t>
  </si>
  <si>
    <t>{"in":"","DATE":"..","IMEI":"..","NAME":"..","TIME":"..","PRICE":"..","STATUS":"...","PAID DATE":"","RECORD_ID":"e934a648d222470fb67d39c7086cec22","Amount paid":"..","DESCRIPTION":"..","PHONE NUMBER":"..","DEAL LOCATION":"","INTERNAL NOTE":"","EXPENSE AMOUNT":"","CALCULATED PROFIT":"","EXPENSE DESCRIPTION":"","IMEI FOR SWAPPED DEAL":""}</t>
  </si>
  <si>
    <t>5ffdaa87ac3e90c37498968b7407dcb4b1638b9375c0d24ee71edd4130beb69d</t>
  </si>
  <si>
    <t>{"in":"","DATE":"..","IMEI":"..","NAME":"..","TIME":"..","PRICE":"..","STATUS":"...","PAID DATE":"","RECORD_ID":"55e693abd2da4082b134bf0aa55c2e53","Amount paid":"..","DESCRIPTION":"..","PHONE NUMBER":"..","DEAL LOCATION":"","INTERNAL NOTE":"","EXPENSE AMOUNT":"","CALCULATED PROFIT":"","EXPENSE DESCRIPTION":"","IMEI FOR SWAPPED DEAL":""}</t>
  </si>
  <si>
    <t>eaa37b04808e538e0a98ba6b324e4d1ad7a020f0cae224d1ac53880db0db3055</t>
  </si>
  <si>
    <t>{"in":"","DATE":"..","IMEI":"..","NAME":"..","TIME":"..","PRICE":"..","STATUS":"...","PAID DATE":"","RECORD_ID":"a9b6abe705a444fca78d958e9434b685","Amount paid":"..","DESCRIPTION":"..","PHONE NUMBER":"..","DEAL LOCATION":"","INTERNAL NOTE":"","EXPENSE AMOUNT":"","CALCULATED PROFIT":"","EXPENSE DESCRIPTION":"","IMEI FOR SWAPPED DEAL":""}</t>
  </si>
  <si>
    <t>077c592fa233e5eb50a99531822dfddd786ab947900fa9c022a6bfa39b86517b</t>
  </si>
  <si>
    <t>2026-04-08T00:00:00+01:00</t>
  </si>
  <si>
    <t>{"in":"","DATE":"4/8/2026","IMEI":353748537419738,"NAME":"BIGMO","TIME":"11:53:13 AM","PRICE":"\u20a61,150,000.00","STATUS":"PAID","PAID DATE":"","RECORD_ID":"2e34988d502c4daeb9726d9bf9d6dcee","Amount paid":"\u20a61,150,000.00","DESCRIPTION":"NEW IPHONE 17 PRO. AT&amp;T . 0CC","PHONE NUMBER":"0701 715 8374","DEAL LOCATION":"","INTERNAL NOTE":"","EXPENSE AMOUNT":"","CALCULATED PROFIT":"","EXPENSE DESCRIPTION":"","IMEI FOR SWAPPED DEAL":""}</t>
  </si>
  <si>
    <t>2d9b3dbaecac4b38186da2a3c7bc11b86d6031ab8fa5b6e343e220fa0cf174e0</t>
  </si>
  <si>
    <t>{"in":"","DATE":"4/8/2026","IMEI":"","NAME":"CUSTOMER","TIME":"11:56:02 AM","PRICE":"\u20a65,000.00","STATUS":"PAID","PAID DATE":"","RECORD_ID":"b8ea31d563e4465cb0ff84b6e23d0c46","Amount paid":"\u20a65,000.00","DESCRIPTION":"IPHONE 13 PRO MAX SIERRA BLUE FLASHING","PHONE NUMBER":2341234567890,"DEAL LOCATION":"","INTERNAL NOTE":"","EXPENSE AMOUNT":"","CALCULATED PROFIT":"","EXPENSE DESCRIPTION":"","IMEI FOR SWAPPED DEAL":""}</t>
  </si>
  <si>
    <t>4755e4b9c9a6bbce8bdf4593d23260f8e10aae56cc98a47935c98e7a37cdfc53</t>
  </si>
  <si>
    <t>{"in":"","DATE":"4/8/2026","IMEI":"","NAME":"HORJOR","TIME":"12:45:48 PM","PRICE":"\u20a63,000.00","STATUS":"PAID","PAID DATE":"","RECORD_ID":"cd703c69a76e4e05a27af62403cc9c92","Amount paid":"\u20a63,000.00","DESCRIPTION":"SAMSUNG S8 FLASH. ","PHONE NUMBER":2347075152460,"DEAL LOCATION":"","INTERNAL NOTE":"","EXPENSE AMOUNT":"","CALCULATED PROFIT":"","EXPENSE DESCRIPTION":"","IMEI FOR SWAPPED DEAL":""}</t>
  </si>
  <si>
    <t>bf538bc7ad5beb620e8ea84be92da055a6a24e0caf12b5f57e74c1686bbd7065</t>
  </si>
  <si>
    <t>{"in":"","DATE":"4/8/2026","IMEI":"","NAME":"RAYMOND","TIME":"1:27:53 PM","PRICE":"\u20a63,500.00","STATUS":"UNPAID","PAID DATE":"","RECORD_ID":"f8a0ffb2b7904c0fb1a1aba4f89246f9","Amount paid":"","DESCRIPTION":"IPHONE XR YELLOW BATTERY FIXING","PHONE NUMBER":"234 916 104 8040","DEAL LOCATION":"","INTERNAL NOTE":"","EXPENSE AMOUNT":"","CALCULATED PROFIT":"","EXPENSE DESCRIPTION":"","IMEI FOR SWAPPED DEAL":""}</t>
  </si>
  <si>
    <t>ea1d05f7922435c1ab3b5886fb5d249429cd4d1ed2825948a2e9bd2c368f58aa</t>
  </si>
  <si>
    <t>{"in":"","DATE":"4/8/2026","IMEI":358915823120982,"NAME":"DAMBOX","TIME":"","PRICE":"\u20a6820,000.00","STATUS":"PAID","PAID DATE":"","RECORD_ID":"ff49c76302c3466c92265957d965cbef","Amount paid":"\u20a6820,000.00","DESCRIPTION":"IPHONE 16 PLUS 128GB ULTRAMARINE","PHONE NUMBER":9040943517,"DEAL LOCATION":"","INTERNAL NOTE":"","EXPENSE AMOUNT":"","CALCULATED PROFIT":"","EXPENSE DESCRIPTION":"","IMEI FOR SWAPPED DEAL":""}</t>
  </si>
  <si>
    <t>e309061afce33e860078d3360b10fca710f022e9522173305384c85d8099cc81</t>
  </si>
  <si>
    <t>{"in":"","DATE":"4/8/2026","IMEI":356478843889559,"NAME":"NURUDEEN","TIME":"","PRICE":"\u20a6350,000.00","STATUS":"returned","PAID DATE":"","RECORD_ID":"dac2dadf9589483c970fcad9fe1f1e89","Amount paid":"","DESCRIPTION":"IPHONE 12 PRO. GRAPHITE. 90%. 128GB","PHONE NUMBER":9122727950,"DEAL LOCATION":"","INTERNAL NOTE":"","EXPENSE AMOUNT":"","CALCULATED PROFIT":"","EXPENSE DESCRIPTION":"","IMEI FOR SWAPPED DEAL":""}</t>
  </si>
  <si>
    <t>698a0a2365caf1efc16f57ae51a059a02d87885ff29cbec7ccaa9b2e1526c6d6</t>
  </si>
  <si>
    <t>{"in":"","DATE":"4/8/2026","IMEI":"","NAME":"DAMBOX","TIME":"","PRICE":"\u20a65,000.00","STATUS":"PAID","PAID DATE":"","RECORD_ID":"9f7d6eae3c464d11815667a657d60d08","Amount paid":"\u20a65,000.00","DESCRIPTION":"S22 FLASH","PHONE NUMBER":9040943517,"DEAL LOCATION":"","INTERNAL NOTE":"","EXPENSE AMOUNT":"","CALCULATED PROFIT":"","EXPENSE DESCRIPTION":"","IMEI FOR SWAPPED DEAL":""}</t>
  </si>
  <si>
    <t>a8f2d67681c59aa6f48eaae52459a11aa67df5cca41c446648de2cea206b74c9</t>
  </si>
  <si>
    <t>{"in":"","DATE":"4/8/2026","IMEI":"","NAME":"ZEE TECH","TIME":"4:07:41 PM","PRICE":"\u20a62,500.00","STATUS":"PAID","PAID DATE":"","RECORD_ID":"fda5cf28ac454e09a0df64f25119d5b5","Amount paid":"\u20a62,500.00","DESCRIPTION":"IPHONE 14 PRO MAX IOS UPDATE","PHONE NUMBER":2349033724061,"DEAL LOCATION":"","INTERNAL NOTE":"","EXPENSE AMOUNT":"","CALCULATED PROFIT":"","EXPENSE DESCRIPTION":"","IMEI FOR SWAPPED DEAL":""}</t>
  </si>
  <si>
    <t>276a7989ec59b66366a3eda788feb6d5ddddd83e5cc9bcf27e77825fd9751488</t>
  </si>
  <si>
    <t>{"in":"","DATE":"4/8/2026","IMEI":"","NAME":"new customer","TIME":"","PRICE":"","STATUS":"returned","PAID DATE":"","RECORD_ID":"95035cdf0b15461e9bfdd04216d13557","Amount paid":"","DESCRIPTION":"testing","PHONE NUMBER":"","DEAL LOCATION":"","INTERNAL NOTE":"","EXPENSE AMOUNT":"","CALCULATED PROFIT":"","EXPENSE DESCRIPTION":"","IMEI FOR SWAPPED DEAL":""}</t>
  </si>
  <si>
    <t>035f1b3b8859d45faa3494177bbd2e30fef13ce828e351247a51ef661c1e8eb2</t>
  </si>
  <si>
    <t>{"in":"","DATE":"..","IMEI":"..","NAME":"..","TIME":"..","PRICE":"..","STATUS":"...","PAID DATE":"","RECORD_ID":"06f3ed987d49449cba13951b5926d950","Amount paid":"..","DESCRIPTION":"..","PHONE NUMBER":"..","DEAL LOCATION":"","INTERNAL NOTE":"","EXPENSE AMOUNT":"","CALCULATED PROFIT":"","EXPENSE DESCRIPTION":"","IMEI FOR SWAPPED DEAL":""}</t>
  </si>
  <si>
    <t>7d74357c77e6f8ad01c017e0248ecc83120f54d800067eed98d2aa718edd5abe</t>
  </si>
  <si>
    <t>{"in":"","DATE":"..","IMEI":"..","NAME":"..","TIME":"..","PRICE":"..","STATUS":"...","PAID DATE":"","RECORD_ID":"1c264c46f4924d25841296645b57580c","Amount paid":"..","DESCRIPTION":"..","PHONE NUMBER":"..","DEAL LOCATION":"","INTERNAL NOTE":"","EXPENSE AMOUNT":"","CALCULATED PROFIT":"","EXPENSE DESCRIPTION":"","IMEI FOR SWAPPED DEAL":""}</t>
  </si>
  <si>
    <t>9ffdfc4d0b310926c90ad79db0e33fb053689677156277e5ce508f9b58aaf083</t>
  </si>
  <si>
    <t>{"in":"","DATE":"..","IMEI":"..","NAME":"..","TIME":"..","PRICE":"..","STATUS":"...","PAID DATE":"","RECORD_ID":"518916508760437b90e1126010f5e949","Amount paid":"..","DESCRIPTION":"..","PHONE NUMBER":"..","DEAL LOCATION":"","INTERNAL NOTE":"","EXPENSE AMOUNT":"","CALCULATED PROFIT":"","EXPENSE DESCRIPTION":"","IMEI FOR SWAPPED DEAL":""}</t>
  </si>
  <si>
    <t>05d47df99ed357d2f80ae67fdb38db82aa09df807196ee39926116563e274829</t>
  </si>
  <si>
    <t>2026-04-09T00:00:00+01:00</t>
  </si>
  <si>
    <t>{"in":"","DATE":"4/9/2026","IMEI":"","NAME":"OZ GADGET","TIME":"11:03:45 AM","PRICE":"\u20a62,500.00","STATUS":"PAID","PAID DATE":"","RECORD_ID":"eb4e1cb2b19f43edb8bd290948c9135c","Amount paid":"\u20a62,500.00","DESCRIPTION":"iPhone Air Sky Blue 256GB IOS UPDATE","PHONE NUMBER":"234 810 629 3924","DEAL LOCATION":"","INTERNAL NOTE":"","EXPENSE AMOUNT":"","CALCULATED PROFIT":"","EXPENSE DESCRIPTION":"","IMEI FOR SWAPPED DEAL":""}</t>
  </si>
  <si>
    <t>ffb29efdbf225c20a13079e7caf525496143a15acc246824c34175c2c5891b8b</t>
  </si>
  <si>
    <t>{"in":"","DATE":"4/9/2026","IMEI":"","NAME":"OZ GADGET","TIME":"12:39:06 PM","PRICE":"\u20a65,000.00","STATUS":"PAID","PAID DATE":"","RECORD_ID":"076cc83f44514d0cb17d85cef86882f7","Amount paid":"\u20a65,000.00","DESCRIPTION":"IPHONE 16 ULTRA MARINE SDP FLASH","PHONE NUMBER":"234 810 629 3924","DEAL LOCATION":"","INTERNAL NOTE":"","EXPENSE AMOUNT":"","CALCULATED PROFIT":"","EXPENSE DESCRIPTION":"","IMEI FOR SWAPPED DEAL":""}</t>
  </si>
  <si>
    <t>39694628798926129890539cffb3434555309c64dc0817892cb68f7b568b8d56</t>
  </si>
  <si>
    <t>{"in":"","DATE":"4/9/2026","IMEI":"","NAME":"HOLLAH GADGET","TIME":"12:47:39 PM","PRICE":"\u20a62,500.00","STATUS":"PAID","PAID DATE":"","RECORD_ID":"010cb88e69614fdbb05e1be41f323c9d","Amount paid":"\u20a62,500.00","DESCRIPTION":"iPhone 15 Pro Max Black Titanium IOS UPDATE","PHONE NUMBER":2347041440724,"DEAL LOCATION":"","INTERNAL NOTE":"","EXPENSE AMOUNT":"","CALCULATED PROFIT":"","EXPENSE DESCRIPTION":"","IMEI FOR SWAPPED DEAL":""}</t>
  </si>
  <si>
    <t>09f268c447402a7b4916083e9faeda05ed818b49422411ea1b2c691d70d3e866</t>
  </si>
  <si>
    <t>{"in":"","DATE":"4/9/2026","IMEI":"","NAME":"SALVAGE YARD","TIME":"1:48:46 PM","PRICE":"\u20a65,000.00","STATUS":"PAID","PAID DATE":"","RECORD_ID":"34fccaf2652449dd977f8e51a656b053","Amount paid":"\u20a65,000.00","DESCRIPTION":"LOCATION CHANGING","PHONE NUMBER":2348115308158,"DEAL LOCATION":"","INTERNAL NOTE":"","EXPENSE AMOUNT":"","CALCULATED PROFIT":"","EXPENSE DESCRIPTION":"","IMEI FOR SWAPPED DEAL":""}</t>
  </si>
  <si>
    <t>fb37b42e7d66918e3156d2c967e90b314f722423da15d91660c1d670a2b0ca83</t>
  </si>
  <si>
    <t>{"in":"","DATE":"4/9/2026","IMEI":"","NAME":"SAMTOP GADGETS","TIME":"2:13:59 PM","PRICE":"\u20a630,000.00","STATUS":"PAID","PAID DATE":"","RECORD_ID":"e245cdd14cfc4f7f96f3f692f28a9920","Amount paid":"\u20a630,000.00","DESCRIPTION":"CHIP FOR IPHONE 14 PRO MAX","PHONE NUMBER":7040339641,"DEAL LOCATION":"","INTERNAL NOTE":"","EXPENSE AMOUNT":"","CALCULATED PROFIT":"","EXPENSE DESCRIPTION":"","IMEI FOR SWAPPED DEAL":""}</t>
  </si>
  <si>
    <t>6324c8b0d122eb7236dd961df382a4f50cba1185bc37dd06fb6f2f451be8f59f</t>
  </si>
  <si>
    <t>{"in":"","DATE":"4/9/2026","IMEI":"","NAME":"TEE BEST GADGET","TIME":"4:36:32 PM","PRICE":"\u20a62,500.00","STATUS":"UNPAID","PAID DATE":"","RECORD_ID":"dfdc4623ab6d4d8886960e12cfd750c6","Amount paid":"","DESCRIPTION":"IPHONE 16 PRO MAX. DESERT TITANIUM IOS UPDATE","PHONE NUMBER":2348037624066,"DEAL LOCATION":"","INTERNAL NOTE":"","EXPENSE AMOUNT":"","CALCULATED PROFIT":"","EXPENSE DESCRIPTION":"","IMEI FOR SWAPPED DEAL":""}</t>
  </si>
  <si>
    <t>3a54cc179f9e6a651a0dd5274d8f023b3c86f8941894a5bb61ce0f324b880a6b</t>
  </si>
  <si>
    <t>{"in":"","DATE":"4/9/2026","IMEI":"","NAME":"XPIFF","TIME":"4:37:31 PM","PRICE":"\u20a63,000.00","STATUS":"PAID","PAID DATE":"","RECORD_ID":"7fccee83a8e345048f6f49884ad73b29","Amount paid":"\u20a63,000.00","DESCRIPTION":"IPHONE 17 PRO. SILVER COLOR. IOS UPDATE","PHONE NUMBER":2348164388087,"DEAL LOCATION":"","INTERNAL NOTE":"","EXPENSE AMOUNT":"","CALCULATED PROFIT":"","EXPENSE DESCRIPTION":"","IMEI FOR SWAPPED DEAL":""}</t>
  </si>
  <si>
    <t>db0cae3704b62dfa80ebdab4c68e10321a1fcff40aaf17cab862af3469e80411</t>
  </si>
  <si>
    <t>{"in":"","DATE":"4/9/2026","IMEI":"","NAME":"DEMEX","TIME":"4:40:46 PM","PRICE":"\u20a61,750,000.00","STATUS":"RETURNED","PAID DATE":"","RECORD_ID":"a58ee2cbcbd344efa631afa5ca631a5f","Amount paid":"\u20a60.00","DESCRIPTION":"FOLD 7. 512GB. OPENED. BOX","PHONE NUMBER":2347067462101,"DEAL LOCATION":"","INTERNAL NOTE":"","EXPENSE AMOUNT":"","CALCULATED PROFIT":"","EXPENSE DESCRIPTION":"","IMEI FOR SWAPPED DEAL":""}</t>
  </si>
  <si>
    <t>88c57efe9cade777d82d122d8faa0f4b76ae37443f85b00f344fefd9697354e8</t>
  </si>
  <si>
    <t>{"in":"","DATE":"4/9/2026","IMEI":"","NAME":"ENGINEER JOHN","TIME":"4:50:13 PM","PRICE":"\u20a62,500.00","STATUS":"PAID","PAID DATE":"","RECORD_ID":"7632d435d3464b5aba86669904cb4a18","Amount paid":"\u20a62,500.00","DESCRIPTION":"IPHONE 13 PRO MAX. ALPINE GREEN FLASH","PHONE NUMBER":2347025185247,"DEAL LOCATION":"","INTERNAL NOTE":"","EXPENSE AMOUNT":"","CALCULATED PROFIT":"","EXPENSE DESCRIPTION":"","IMEI FOR SWAPPED DEAL":""}</t>
  </si>
  <si>
    <t>f3a05a430e29253305b3a520bdd1a2fa274badf5df0f501c3c9f1b6fd9a3be4c</t>
  </si>
  <si>
    <t>{"in":"","DATE":"4/9/2026","IMEI":"","NAME":"BAYESH","TIME":"6:10:36 PM","PRICE":"\u20a62,500.00","STATUS":"PAID","PAID DATE":"","RECORD_ID":"ae895b77818c4144a911cbdd4e7bb767","Amount paid":"\u20a62,500.00","DESCRIPTION":"BLACK IPHONE XR BATTERY FIX FLASH","PHONE NUMBER":"0813 627 6066","DEAL LOCATION":"","INTERNAL NOTE":"","EXPENSE AMOUNT":"","CALCULATED PROFIT":"","EXPENSE DESCRIPTION":"","IMEI FOR SWAPPED DEAL":""}</t>
  </si>
  <si>
    <t>473e9d0784447e2b4917080298e89266b9e1b20e389fe788f7e108ec76ae3f43</t>
  </si>
  <si>
    <t>{"in":"","DATE":"..","IMEI":"..","NAME":"..","TIME":"..","PRICE":"..","STATUS":"..","PAID DATE":"","RECORD_ID":"2e9246fd35e048b0a722a9a5360b8c6d","Amount paid":"..","DESCRIPTION":"..","PHONE NUMBER":"..","DEAL LOCATION":"","INTERNAL NOTE":"","EXPENSE AMOUNT":"","CALCULATED PROFIT":"","EXPENSE DESCRIPTION":"","IMEI FOR SWAPPED DEAL":""}</t>
  </si>
  <si>
    <t>66d137168931c1b31fcabd78bf027beb52c5f11ce6811af9effcf8ef7c23f5f3</t>
  </si>
  <si>
    <t>{"in":"","DATE":"..","IMEI":"..","NAME":"..","TIME":"..","PRICE":"..","STATUS":"..","PAID DATE":"","RECORD_ID":"31f8c14beed446c9b1f58d3c1b5dc484","Amount paid":"..","DESCRIPTION":"..","PHONE NUMBER":"..","DEAL LOCATION":"","INTERNAL NOTE":"","EXPENSE AMOUNT":"","CALCULATED PROFIT":"","EXPENSE DESCRIPTION":"","IMEI FOR SWAPPED DEAL":""}</t>
  </si>
  <si>
    <t>337eacda4ad4061954c079293ed2ce8214e7f83141afc658cf604bbb17e5d3f5</t>
  </si>
  <si>
    <t>{"in":"","DATE":"..","IMEI":"..","NAME":"..","TIME":"..","PRICE":"..","STATUS":"..","PAID DATE":"","RECORD_ID":"035a0aa7b17c436c84a23454159ea2d9","Amount paid":"..","DESCRIPTION":"..","PHONE NUMBER":"..","DEAL LOCATION":"","INTERNAL NOTE":"","EXPENSE AMOUNT":"","CALCULATED PROFIT":"","EXPENSE DESCRIPTION":"","IMEI FOR SWAPPED DEAL":""}</t>
  </si>
  <si>
    <t>53713f1b0a6523459545bc471001d04e11f4b9442663b5c7b7942c2f24b1d738</t>
  </si>
  <si>
    <t>{"in":"","DATE":"..","IMEI":"..","NAME":"..","TIME":"..","PRICE":"..","STATUS":"..","PAID DATE":"","RECORD_ID":"82180f45b96f44218d04bad744b01819","Amount paid":"..","DESCRIPTION":"..","PHONE NUMBER":"..","DEAL LOCATION":"","INTERNAL NOTE":"","EXPENSE AMOUNT":"","CALCULATED PROFIT":"","EXPENSE DESCRIPTION":"","IMEI FOR SWAPPED DEAL":""}</t>
  </si>
  <si>
    <t>dadb216e614bc9ec89f24369bb86c9674e48bc801c6e8387d14ad916e6e3c734</t>
  </si>
  <si>
    <t>2026-04-10T00:00:00+01:00</t>
  </si>
  <si>
    <t>{"in":"","DATE":"4/10/2026","IMEI":"","NAME":"STARBOX","TIME":"10:35:53 AM","PRICE":"\u20a63,000.00","STATUS":"PAID","PAID DATE":"","RECORD_ID":"cb207201e703433ebf67c27e8dde353e","Amount paid":"\u20a63,000.00","DESCRIPTION":"IPAD 10TH GEN PINK PASSWORD FLASH","PHONE NUMBER":9063620334,"DEAL LOCATION":"","INTERNAL NOTE":"","EXPENSE AMOUNT":"","CALCULATED PROFIT":"","EXPENSE DESCRIPTION":"","IMEI FOR SWAPPED DEAL":""}</t>
  </si>
  <si>
    <t>faf32114c7dca5a32bbaaa011fd4dc1ce9b4713150e1ab932321cbcc9318f97d</t>
  </si>
  <si>
    <t>{"in":"","DATE":"4/10/2026","IMEI":"","NAME":"CH4","TIME":"10:47:48 AM","PRICE":"\u20a62,500.00","STATUS":"PAID","PAID DATE":"","RECORD_ID":"c9aa5ea3770841dd9056b4ae1b5f7f74","Amount paid":"\u20a62,500.00","DESCRIPTION":"RED IPHONE XR BATTERY FLASH","PHONE NUMBER":2348131941406,"DEAL LOCATION":"","INTERNAL NOTE":"","EXPENSE AMOUNT":"","CALCULATED PROFIT":"","EXPENSE DESCRIPTION":"","IMEI FOR SWAPPED DEAL":""}</t>
  </si>
  <si>
    <t>88aa25d5606a3c5ed7f6d96f5b2f707335ed8f748fc4d049e0d1fc86c2605df5</t>
  </si>
  <si>
    <t>{"in":"","DATE":"4/10/2026","IMEI":"","NAME":"STAR BUSSY","TIME":"10:57:02 AM","PRICE":"\u20a62,500.00","STATUS":"PAID","PAID DATE":"","RECORD_ID":"fadf2bd9cf1d424fa9b272aee680286e","Amount paid":"\u20a62,500.00","DESCRIPTION":"IPHONE AIR. SPACE BLACK IOS UPDATE","PHONE NUMBER":2348127738411,"DEAL LOCATION":"","INTERNAL NOTE":"","EXPENSE AMOUNT":"","CALCULATED PROFIT":"","EXPENSE DESCRIPTION":"","IMEI FOR SWAPPED DEAL":""}</t>
  </si>
  <si>
    <t>8e2b09acae62f1304af1fb572353f7d955d2e370f89d7b83d5098ba11c565351</t>
  </si>
  <si>
    <t>{"in":"","DATE":"4/10/2026","IMEI":"","NAME":"WIZZY","TIME":"11:30:02 AM","PRICE":"\u20a62,500.00","STATUS":"UNPAID","PAID DATE":"","RECORD_ID":"3acd430f557c43b9993ce69b1fe74b80","Amount paid":"","DESCRIPTION":"ULTRAMARINE BLUE. IPHONE 16 IOS UPDATE","PHONE NUMBER":2348108686713,"DEAL LOCATION":"","INTERNAL NOTE":"","EXPENSE AMOUNT":"","CALCULATED PROFIT":"","EXPENSE DESCRIPTION":"","IMEI FOR SWAPPED DEAL":""}</t>
  </si>
  <si>
    <t>4b2345e83aa49d42e8ceca62dab8f30ca0377780b835bfcc7afc7f245d7db46c</t>
  </si>
  <si>
    <t>{"in":"","DATE":"4/10/2026","IMEI":"","NAME":"ZEE TECH","TIME":"12:56:31 PM","PRICE":"\u20a62,500.00","STATUS":"PAID","PAID DATE":"","RECORD_ID":"9c115977b1254fd9804cf0a0b47888df","Amount paid":"\u20a62,500.00","DESCRIPTION":"CLOUD WHITE IPHONE AIR IOS UPDATE","PHONE NUMBER":2349033724061,"DEAL LOCATION":"","INTERNAL NOTE":"","EXPENSE AMOUNT":"","CALCULATED PROFIT":"","EXPENSE DESCRIPTION":"","IMEI FOR SWAPPED DEAL":""}</t>
  </si>
  <si>
    <t>66b25f6751c8b3f75fad37779a8be3eae478d0f09e1586fa7e95194126f22ed4</t>
  </si>
  <si>
    <t>{"in":"","DATE":"04/10/2026","IMEI":"","NAME":"RAYMOND","TIME":"3:02:11 PM","PRICE":"\u20a63,000.00","STATUS":"PAID","PAID DATE":"","RECORD_ID":"24bb479c21064b02a47a953cc13cc1ef","Amount paid":"\u20a63,000.00","DESCRIPTION":"IPhone 17 pro. Deep Purple IOS UPDATE","PHONE NUMBER":"234 916 104 8040","DEAL LOCATION":"","INTERNAL NOTE":"","EXPENSE AMOUNT":"","CALCULATED PROFIT":"","EXPENSE DESCRIPTION":"","IMEI FOR SWAPPED DEAL":""}</t>
  </si>
  <si>
    <t>4f1726c1af11f746157a0ab366d2554c93e3b694b343742cc90a44cb959dff9e</t>
  </si>
  <si>
    <t>{"in":"","DATE":"04/10/2026","IMEI":"","NAME":"STAR BUSSY","TIME":"15:49","PRICE":"\u20a62,500.00","STATUS":"PAID","PAID DATE":"","RECORD_ID":"73293e6b7b144d13a9c1b54cc83ce19b","Amount paid":"\u20a62,500.00","DESCRIPTION":"CORAL COLOR IPHONE XR BATTERY FIX","PHONE NUMBER":2348127738411,"DEAL LOCATION":"","INTERNAL NOTE":"","EXPENSE AMOUNT":"","CALCULATED PROFIT":"","EXPENSE DESCRIPTION":"","IMEI FOR SWAPPED DEAL":""}</t>
  </si>
  <si>
    <t>5c5e33399de48dc5f152e4935f16c219829732fff95be3b49dd0fc838f3d54ff</t>
  </si>
  <si>
    <t>{"in":"","DATE":"04/10/2026","IMEI":350991541697468,"NAME":"JONAH","TIME":"15:57","PRICE":"\u20a60.00","STATUS":"RETURNED","PAID DATE":"","RECORD_ID":"b9bdefcbc79943cd8a7b0ff1012eac2b","Amount paid":"\u20a60.00","DESCRIPTION":"IPHONE 16 PLUS","PHONE NUMBER":2348106265881,"DEAL LOCATION":"","INTERNAL NOTE":"","EXPENSE AMOUNT":"","CALCULATED PROFIT":"","EXPENSE DESCRIPTION":"","IMEI FOR SWAPPED DEAL":""}</t>
  </si>
  <si>
    <t>7760f4a317d477d242ac445548e54cac351f1a0c35f6415812042480155dffcb</t>
  </si>
  <si>
    <t>{"in":"","DATE":"04/10/2026","IMEI":"","NAME":"IGEE","TIME":"16:00","PRICE":"\u20a65,000.00","STATUS":"PAID","PAID DATE":"","RECORD_ID":"f43eaff3e2f048c6aec54b6086839e0f","Amount paid":"\u20a65,000.00","DESCRIPTION":"NIGERIA ICLOUD OPENING","PHONE NUMBER":2347071736488,"DEAL LOCATION":"","INTERNAL NOTE":"","EXPENSE AMOUNT":"","CALCULATED PROFIT":"","EXPENSE DESCRIPTION":"","IMEI FOR SWAPPED DEAL":""}</t>
  </si>
  <si>
    <t>6902b3d8588542542c9096f1bdf9614918cba107b5f91f2e0a98317417730ac1</t>
  </si>
  <si>
    <t>{"in":"","DATE":"04/10/2026","IMEI":351284087033812,"NAME":"DEMIGLOBAL MULTISERVICE","TIME":"17:17","PRICE":"\u20a6580,000.00","STATUS":"RETURNED","PAID DATE":"","RECORD_ID":"7fd23ffbef8649ed9d165088366bc6b0","Amount paid":"","DESCRIPTION":"IPHONE 14 PRO ESIM","PHONE NUMBER":2349066720385,"DEAL LOCATION":"","INTERNAL NOTE":"","EXPENSE AMOUNT":"","CALCULATED PROFIT":"","EXPENSE DESCRIPTION":"","IMEI FOR SWAPPED DEAL":""}</t>
  </si>
  <si>
    <t>49ab72f0eb3366b238f5946cd20f202444d8a69d5db333f6d392d07559bbee2c</t>
  </si>
  <si>
    <t>{"in":"","DATE":"04/10/2026","IMEI":"","NAME":"SAMMY CONCEPT","TIME":"17:58","PRICE":"\u20a62,500.00","STATUS":"UNPAID","PAID DATE":"","RECORD_ID":"228c11c01f3a4ed58eb3f069108f600e","Amount paid":"\u20a60.00","DESCRIPTION":"IPHONE 15 PRO MAX IOS UPDATE. BLUE TITANIUM","PHONE NUMBER":2349037002617,"DEAL LOCATION":"","INTERNAL NOTE":"","EXPENSE AMOUNT":"","CALCULATED PROFIT":"","EXPENSE DESCRIPTION":"","IMEI FOR SWAPPED DEAL":""}</t>
  </si>
  <si>
    <t>501a7683f3b524cfdd6ddfebaa3db8ee5dea42c978cf4793f149c8c205b6aec4</t>
  </si>
  <si>
    <t>{"in":"","DATE":"04/10/2026","IMEI":358838941045446,"NAME":"PROTECH GADGET","TIME":"18:44","PRICE":"\u20a61,000,000.00","STATUS":"PAID","PAID DATE":"","RECORD_ID":"8b92574d5c8549e58e94d325d699ca33","Amount paid":"\u20a61,000,000.00","DESCRIPTION":"IPHONE AIR","PHONE NUMBER":2348102522960,"DEAL LOCATION":"","INTERNAL NOTE":"","EXPENSE AMOUNT":"","CALCULATED PROFIT":"","EXPENSE DESCRIPTION":"","IMEI FOR SWAPPED DEAL":""}</t>
  </si>
  <si>
    <t>4c77b6a9957daa93ceeec8aa26da232b7c44ae751bdbf55edc5012f234a39240</t>
  </si>
  <si>
    <t>{"in":"","DATE":"...","IMEI":"...","NAME":"...","TIME":"","PRICE":"...","STATUS":"...","PAID DATE":"","RECORD_ID":"e133615516ba4495aefe2d4f21f9bd21","Amount paid":"...","DESCRIPTION":"...","PHONE NUMBER":"...","DEAL LOCATION":"","INTERNAL NOTE":"","EXPENSE AMOUNT":"","CALCULATED PROFIT":"","EXPENSE DESCRIPTION":"","IMEI FOR SWAPPED DEAL":""}</t>
  </si>
  <si>
    <t>48cf23d9e21f0b5c36ba283a0d0589a774512c929adad6d07b5a21ad278d9198</t>
  </si>
  <si>
    <t>{"in":"","DATE":"...","IMEI":"...","NAME":"...","TIME":"","PRICE":"...","STATUS":"...","PAID DATE":"","RECORD_ID":"3ce398e9493e417d985f8c8550d6413e","Amount paid":"...","DESCRIPTION":"...","PHONE NUMBER":"...","DEAL LOCATION":"","INTERNAL NOTE":"","EXPENSE AMOUNT":"","CALCULATED PROFIT":"","EXPENSE DESCRIPTION":"","IMEI FOR SWAPPED DEAL":""}</t>
  </si>
  <si>
    <t>eac8e864c5454a474490251b16107fcd83972257f066f6e01e5833af020d4446</t>
  </si>
  <si>
    <t>2026-04-11T00:00:00+01:00</t>
  </si>
  <si>
    <t>{"in":"","DATE":"4/11/2026","IMEI":"","NAME":"MZEE","TIME":"10:47:04 AM","PRICE":"\u20a6120,000.00","STATUS":"PAID","PAID DATE":"","RECORD_ID":"b49e441c21574e8b8600769907fe7916","Amount paid":"\u20a6120,000.00","DESCRIPTION":"LIFE LINE ESIM ","PHONE NUMBER":"234 903 893 5833","DEAL LOCATION":"","INTERNAL NOTE":"","EXPENSE AMOUNT":"","CALCULATED PROFIT":"","EXPENSE DESCRIPTION":"","IMEI FOR SWAPPED DEAL":""}</t>
  </si>
  <si>
    <t>7ba55fb85adfc1a3303f25c8bf59451405895985d579047a88b795a73582d441</t>
  </si>
  <si>
    <t>{"in":"","DATE":"4/11/2026","IMEI":"","NAME":"CUSTOMER","TIME":"11:00:44 AM","PRICE":"\u20a62,000.00","STATUS":"PAID","PAID DATE":"","RECORD_ID":"00fc96c9b34c44878425e1163f9a1156","Amount paid":"\u20a62,000.00","DESCRIPTION":"LOCATION CHANGING","PHONE NUMBER":2341234567890,"DEAL LOCATION":"","INTERNAL NOTE":"","EXPENSE AMOUNT":"","CALCULATED PROFIT":"","EXPENSE DESCRIPTION":"","IMEI FOR SWAPPED DEAL":""}</t>
  </si>
  <si>
    <t>6092d10590b75edfdeeada67f0a949b810b0e1f8bf2037a2f0667373b333d7b2</t>
  </si>
  <si>
    <t>{"in":"","DATE":"04/11/2026","IMEI":"","NAME":"TEST","TIME":"10:23","PRICE":"\u20a65,666.00","STATUS":"RETURNED","PAID DATE":"","RECORD_ID":"987e8abead804a5ca7c3315221806c26","Amount paid":"\u20a60.00","DESCRIPTION":"yyy","PHONE NUMBER":23479831273842938,"DEAL LOCATION":"","INTERNAL NOTE":"","EXPENSE AMOUNT":"","CALCULATED PROFIT":"","EXPENSE DESCRIPTION":"","IMEI FOR SWAPPED DEAL":""}</t>
  </si>
  <si>
    <t>456dd8bbe2f79d229cd18c6b31fee15ca6b5101a8b53342e40dd17a11ef63563</t>
  </si>
  <si>
    <t>{"in":"","DATE":"04/11/2026","IMEI":"","NAME":"DARQUIZ","TIME":"10:24","PRICE":"\u20a6100,000,000,000.00","STATUS":"RETURNED","PAID DATE":"","RECORD_ID":"a9a30519e8d24899835e5e8717e06002","Amount paid":"\u20a60.00","DESCRIPTION":"Money laundering","PHONE NUMBER":23412345698708,"DEAL LOCATION":"","INTERNAL NOTE":"","EXPENSE AMOUNT":"","CALCULATED PROFIT":"","EXPENSE DESCRIPTION":"","IMEI FOR SWAPPED DEAL":""}</t>
  </si>
  <si>
    <t>908ac201716f4997d2feeaa773e30aed37a26efa7e7da3b9512025910d54a22e</t>
  </si>
  <si>
    <t>{"in":"","DATE":"04/11/2026","IMEI":"","NAME":"OSAMA","TIME":"10:52","PRICE":"\u20a63,000.00","STATUS":"UNPAID","PAID DATE":"","RECORD_ID":"e3b40f534e3c4fc8b7874cf97f7690be","Amount paid":"\u20a60.00","DESCRIPTION":"BLACK IPHONE XR FIX BATTERY FLASH","PHONE NUMBER":2348140672915,"DEAL LOCATION":"","INTERNAL NOTE":"","EXPENSE AMOUNT":"","CALCULATED PROFIT":"","EXPENSE DESCRIPTION":"","IMEI FOR SWAPPED DEAL":""}</t>
  </si>
  <si>
    <t>07a6017a695d9b6653897943ff806ab906065e05f8907d1fb626a74876e84e4d</t>
  </si>
  <si>
    <t>{"in":"","DATE":"04/11/2026","IMEI":"","NAME":"TEST","TIME":"11:48","PRICE":"\u20a6187,383.00","STATUS":"RETURNED","PAID DATE":"","RECORD_ID":"cbc0ae70290a43858b7afaef04bd53ab","Amount paid":"\u20a60.00","DESCRIPTION":"JUST TO TEST","PHONE NUMBER":23479831273842938,"DEAL LOCATION":"","INTERNAL NOTE":"","EXPENSE AMOUNT":"","CALCULATED PROFIT":"","EXPENSE DESCRIPTION":"","IMEI FOR SWAPPED DEAL":""}</t>
  </si>
  <si>
    <t>a7a9443b7f83e35c853c0c1f96789e580eb60c9228962697ce7b1ca47e11c4c9</t>
  </si>
  <si>
    <t>{"in":"","DATE":"04/11/2026","IMEI":"","NAME":"IFEM GADGETS","TIME":"12:31","PRICE":"\u20a63,000.00","STATUS":"PAID","PAID DATE":"","RECORD_ID":"3dd9960ec5684cd597635c1fa4ef9069","Amount paid":"\u20a63,000.00","DESCRIPTION":"iPhone 15 pro 128gb silver iOS UPDATE","PHONE NUMBER":2349069198610,"DEAL LOCATION":"","INTERNAL NOTE":"","EXPENSE AMOUNT":"","CALCULATED PROFIT":"","EXPENSE DESCRIPTION":"","IMEI FOR SWAPPED DEAL":""}</t>
  </si>
  <si>
    <t>b59f06d3a0c4aaa8dd5f032781ab51bfbbf29e2f164eca6d0a71c41a906ae9dd</t>
  </si>
  <si>
    <t>{"in":"","DATE":"04/11/2026","IMEI":"","NAME":"OLAJIRE","TIME":"12:33","PRICE":"\u20a63,000.00","STATUS":"PAID","PAID DATE":"","RECORD_ID":"e27fb13382284372ae97f4ebea40528b","Amount paid":"\u20a63,000.00","DESCRIPTION":"DESERT TITANIUM IPHONE 16 IOS UPDATE","PHONE NUMBER":2348146725021,"DEAL LOCATION":"","INTERNAL NOTE":"","EXPENSE AMOUNT":"","CALCULATED PROFIT":"","EXPENSE DESCRIPTION":"","IMEI FOR SWAPPED DEAL":""}</t>
  </si>
  <si>
    <t>bc72630de16fb7e3d51a9515d6aa8074af8ac8803e08dc9a8d08e5c40dd2671e</t>
  </si>
  <si>
    <t>{"in":"","DATE":"04/11/2026","IMEI":"","NAME":"ANNIE","TIME":"12:38","PRICE":"\u20a62,500.00","STATUS":"PAID","PAID DATE":"","RECORD_ID":"57382e28aff3485088b23df1d6ca9914","Amount paid":"\u20a62,500.00","DESCRIPTION":"SPACE BLACK IPHONE AIR IOS UPDATE","PHONE NUMBER":2348141375361,"DEAL LOCATION":"","INTERNAL NOTE":"","EXPENSE AMOUNT":"","CALCULATED PROFIT":"","EXPENSE DESCRIPTION":"","IMEI FOR SWAPPED DEAL":""}</t>
  </si>
  <si>
    <t>777b7a789bdb6dc5fb1f1cadcf4696371968325784491f311a812c4cba9cf3b7</t>
  </si>
  <si>
    <t>{"in":"","DATE":"04/11/2026","IMEI":356473104213474,"NAME":"MZEE","TIME":"13:10","PRICE":"\u20a6125,000.00","STATUS":"PAID","PAID DATE":"","RECORD_ID":"78215473a43447a2869d4268c5f305b5","Amount paid":"\u20a6125,000.00","DESCRIPTION":"IPHONE SE 2","PHONE NUMBER":2349038935833,"DEAL LOCATION":"","INTERNAL NOTE":"","EXPENSE AMOUNT":"","CALCULATED PROFIT":"","EXPENSE DESCRIPTION":"","IMEI FOR SWAPPED DEAL":""}</t>
  </si>
  <si>
    <t>01f632272f2295f4e4dc132061b93927f5d5f7b119b50c775f24d9bd4447b24c</t>
  </si>
  <si>
    <t>{"in":"","DATE":"04/11/2026","IMEI":358178370957021,"NAME":"GLORY BOMA","TIME":"14:25","PRICE":"\u20a6610,000.00","STATUS":"PAID","PAID DATE":"","RECORD_ID":"7c055da70460479a8d0978f3e231c8e4","Amount paid":"\u20a6610,000.00","DESCRIPTION":"IPHONE 15","PHONE NUMBER":2348163305240,"DEAL LOCATION":"","INTERNAL NOTE":"","EXPENSE AMOUNT":"","CALCULATED PROFIT":"","EXPENSE DESCRIPTION":"","IMEI FOR SWAPPED DEAL":""}</t>
  </si>
  <si>
    <t>584bb42fb35d31c6a2ccb325bf89e506340764fdad26c9d87818d9e88f8a13df</t>
  </si>
  <si>
    <t>{"in":"","DATE":"04/11/2026","IMEI":"","NAME":"FORMULA","TIME":"14:55","PRICE":"\u20a65,000.00","STATUS":"RETURNED","PAID DATE":"","RECORD_ID":"3c1c3527c28f486b8e03159f965bbec9","Amount paid":"\u20a60.00","DESCRIPTION":"IPHONE 16 E FLASH","PHONE NUMBER":2347067612418,"DEAL LOCATION":"","INTERNAL NOTE":"","EXPENSE AMOUNT":"","CALCULATED PROFIT":"","EXPENSE DESCRIPTION":"","IMEI FOR SWAPPED DEAL":""}</t>
  </si>
  <si>
    <t>0c1da8172e0c70f66e8716ac06f0affcd2e95d09d1465930d30ff0fc69ec92b3</t>
  </si>
  <si>
    <t>{"in":"","DATE":"04/11/2026","IMEI":"","NAME":"FORMULA","TIME":"16:31","PRICE":"\u20a615,000.00","STATUS":"RETURNED","PAID DATE":"","RECORD_ID":"2fdcc7918fd84f399cb5d20ca9d33601","Amount paid":"\u20a615,000.00","DESCRIPTION":"MDM BYPASS FOR IPHONE 16 E","PHONE NUMBER":2347067612418,"DEAL LOCATION":"","INTERNAL NOTE":"","EXPENSE AMOUNT":"","CALCULATED PROFIT":"","EXPENSE DESCRIPTION":"","IMEI FOR SWAPPED DEAL":""}</t>
  </si>
  <si>
    <t>b8bb93c2737107143ba89f0fb4c92091b2f3f49d6e16aa44ac06328ae238e01b</t>
  </si>
  <si>
    <t>{"in":"","DATE":"04/11/2026","IMEI":"","NAME":"FORMULA","TIME":"16:32","PRICE":"\u20a65,000.00","STATUS":"RETURNED","PAID DATE":"","RECORD_ID":"cbd72b88b6a54e5bb7a656d2729a8cbc","Amount paid":"\u20a60.00","DESCRIPTION":"IPHONE 16 E FLASHING","PHONE NUMBER":2347067612418,"DEAL LOCATION":"","INTERNAL NOTE":"","EXPENSE AMOUNT":"","CALCULATED PROFIT":"","EXPENSE DESCRIPTION":"","IMEI FOR SWAPPED DEAL":""}</t>
  </si>
  <si>
    <t>60c609edec3375404519a36eede2978c174b2a5c4f59b1d8e92e6956e2df472a</t>
  </si>
  <si>
    <t>{"in":"","DATE":"04/11/2026","IMEI":"MG230529524","NAME":"ZINTO","TIME":"17:30","PRICE":"\u20a6245,000.00","STATUS":"PAID","PAID DATE":"","RECORD_ID":"91056475e46d4c338f501ffe31c85a34","Amount paid":"\u20a6245,000.00","DESCRIPTION":"PS4 SLIM AND 2 PADS","PHONE NUMBER":2349068103734,"DEAL LOCATION":"","INTERNAL NOTE":"","EXPENSE AMOUNT":"","CALCULATED PROFIT":"","EXPENSE DESCRIPTION":"","IMEI FOR SWAPPED DEAL":""}</t>
  </si>
  <si>
    <t>e58de9e7ff751633227c4b727a289fb882f1657733d7819025b4b063f120e058</t>
  </si>
  <si>
    <t>2026-04-12T00:00:00+01:00</t>
  </si>
  <si>
    <t>{"in":"","DATE":"04/12/2026","IMEI":"","NAME":"HAYOR GADGET","TIME":"13:36","PRICE":"\u20a610,000.00","STATUS":"PAID","PAID DATE":"","RECORD_ID":"32e396add4064af3ac9d5379cf848a8b","Amount paid":"\u20a610,000.00","DESCRIPTION":"2 X NIGERIA ICLOUD","PHONE NUMBER":2349067627889,"DEAL LOCATION":"","INTERNAL NOTE":"","EXPENSE AMOUNT":"","CALCULATED PROFIT":"","EXPENSE DESCRIPTION":"","IMEI FOR SWAPPED DEAL":""}</t>
  </si>
  <si>
    <t>7b38b3e33756b6e46a3942b016a6f0026563ab7912b0e14ddc0c3347459a8616</t>
  </si>
  <si>
    <t>{"in":"","DATE":"04/12/2026","IMEI":"","NAME":"ESTEEM GADGETS STORE AND MORE","TIME":"14:29","PRICE":"\u20a65,000.00","STATUS":"PAID","PAID DATE":"","RECORD_ID":"ccaa95add7754486b1667f289b37288a","Amount paid":"\u20a65,000.00","DESCRIPTION":"NIGERIA ICLOUD OPENING","PHONE NUMBER":2349066027066,"DEAL LOCATION":"","INTERNAL NOTE":"","EXPENSE AMOUNT":"","CALCULATED PROFIT":"","EXPENSE DESCRIPTION":"","IMEI FOR SWAPPED DEAL":""}</t>
  </si>
  <si>
    <t>2cb20d0812d8bdf2234f6868b6a65580c5244b5f803c79fe11e681dd7ae248c9</t>
  </si>
  <si>
    <t>2026-04-13T00:00:00+01:00</t>
  </si>
  <si>
    <t>{"in":"","DATE":"04/13/2026","IMEI":"","NAME":"MZEE","TIME":"10:04","PRICE":"\u20a62,500.00","STATUS":"PAID","PAID DATE":"","RECORD_ID":"601a69498cfa4c43b89ff5635fda7f96","Amount paid":"\u20a62,500.00","DESCRIPTION":"IPHONE 16 PRO MAX IOS UPDATE","PHONE NUMBER":2349038935833,"DEAL LOCATION":"","INTERNAL NOTE":"","EXPENSE AMOUNT":"","CALCULATED PROFIT":"","EXPENSE DESCRIPTION":"","IMEI FOR SWAPPED DEAL":""}</t>
  </si>
  <si>
    <t>6ae612542110fe617de7c7d0a443cbe650efb88f610211d4b5597c6db381ed92</t>
  </si>
  <si>
    <t>{"in":"","DATE":"04/13/2026","IMEI":"","NAME":"QAFFIF","TIME":"10:18","PRICE":"\u20a63,000.00","STATUS":"PAID","PAID DATE":"","RECORD_ID":"94f546a0992041919023b1740ef56a67","Amount paid":"\u20a63,000.00","DESCRIPTION":"IPHONE 17 PRO MAX IOS UPDATE","PHONE NUMBER":2349060724788,"DEAL LOCATION":"","INTERNAL NOTE":"","EXPENSE AMOUNT":"","CALCULATED PROFIT":"","EXPENSE DESCRIPTION":"","IMEI FOR SWAPPED DEAL":""}</t>
  </si>
  <si>
    <t>efc19944d3dfba90e0264cfa2bccb73123b4d003a47c258e82b88581d37d190b</t>
  </si>
  <si>
    <t>{"in":"","DATE":"04/13/2026","IMEI":"","NAME":"ANNIE","TIME":"12:09","PRICE":"\u20a63,000.00","STATUS":"PAID","PAID DATE":"","RECORD_ID":"b82820c5f7e6435592e29d39f5d8c30a","Amount paid":"\u20a63,000.00","DESCRIPTION":"IPHONE 15 IOS UPDATE WITH FILES","PHONE NUMBER":2348141375361,"DEAL LOCATION":"","INTERNAL NOTE":"","EXPENSE AMOUNT":"","CALCULATED PROFIT":"","EXPENSE DESCRIPTION":"","IMEI FOR SWAPPED DEAL":""}</t>
  </si>
  <si>
    <t>97c44a3eac4dd5345d98c558f469894ef9682a6e434928a1b2e32f373c53f817</t>
  </si>
  <si>
    <t>{"in":"","DATE":"04/13/2026","IMEI":356549102962491,"NAME":"IMISIOLUWA","TIME":"14:27","PRICE":"\u20a6270,000.00","STATUS":"PAID","PAID DATE":"","RECORD_ID":"93289ec5012c4903a2be4915cca668e2","Amount paid":"\u20a6270,000.00","DESCRIPTION":"iPhone 11","PHONE NUMBER":2347014473284,"DEAL LOCATION":"","INTERNAL NOTE":"","EXPENSE AMOUNT":"","CALCULATED PROFIT":"","EXPENSE DESCRIPTION":"","IMEI FOR SWAPPED DEAL":""}</t>
  </si>
  <si>
    <t>db3a5d592a1f02ecc68d877de27b1e5da9b32a0e8186e8d6622374ef69befb10</t>
  </si>
  <si>
    <t>{"in":"","DATE":"04/13/2026","IMEI":"","NAME":"SEYIFUNMI","TIME":"15:09","PRICE":"\u20a65,000.00","STATUS":"PAID","PAID DATE":"","RECORD_ID":"1dfeed6633cc44ac9ef4fb03d0b7f56d","Amount paid":"\u20a65,000.00","DESCRIPTION":"APPLE ID SIGN FIX ON IPHONE 16 PRO","PHONE NUMBER":2347065500068,"DEAL LOCATION":"","INTERNAL NOTE":"","EXPENSE AMOUNT":"","CALCULATED PROFIT":"","EXPENSE DESCRIPTION":"","IMEI FOR SWAPPED DEAL":""}</t>
  </si>
  <si>
    <t>b2a703ec536da29626f1f9e5839fb001bb1698fa1bf9f1844edb2216e2032a88</t>
  </si>
  <si>
    <t>{"in":"","DATE":"04/13/2026","IMEI":"","NAME":"CH4 REP","TIME":"16:24","PRICE":"\u20a62,500.00","STATUS":"PAID","PAID DATE":"","RECORD_ID":"767a737032444c0e8d7dacbaf08bffda","Amount paid":"\u20a62,500.00","DESCRIPTION":"IPHONE AIR IOS UPDATE","PHONE NUMBER":8109659193,"DEAL LOCATION":"","INTERNAL NOTE":"","EXPENSE AMOUNT":"","CALCULATED PROFIT":"","EXPENSE DESCRIPTION":"","IMEI FOR SWAPPED DEAL":""}</t>
  </si>
  <si>
    <t>533e138257856bbe046a6e6b0ba7c3097c9f0ddc8c8732c3ff50b7322e709475</t>
  </si>
  <si>
    <t>{"in":"","DATE":"04/13/2026","IMEI":"","NAME":"CH4","TIME":"16:31","PRICE":"\u20a62,500.00","STATUS":"PAID","PAID DATE":"","RECORD_ID":"e384dcc7a6464b0d85ec7bf48a094053","Amount paid":"\u20a62,500.00","DESCRIPTION":"RED IPHONE 13 IOS UPDATE","PHONE NUMBER":2348131941406,"DEAL LOCATION":"","INTERNAL NOTE":"","EXPENSE AMOUNT":"","CALCULATED PROFIT":"","EXPENSE DESCRIPTION":"","IMEI FOR SWAPPED DEAL":""}</t>
  </si>
  <si>
    <t>b4a640921f4611ee26833a2aba5f2b6c64deb3f6ce5bc60832fce1a0cd7c02e9</t>
  </si>
  <si>
    <t>{"in":"","DATE":"04/13/2026","IMEI":"","NAME":"CH4","TIME":"16:49","PRICE":"\u20a62,500.00","STATUS":"PAID","PAID DATE":"","RECORD_ID":"d754b53fb748449299de81cf3e904e38","Amount paid":"\u20a62,500.00","DESCRIPTION":"iPhone 16 Ultramarine IOS UPDATE","PHONE NUMBER":2348131941406,"DEAL LOCATION":"","INTERNAL NOTE":"","EXPENSE AMOUNT":"","CALCULATED PROFIT":"","EXPENSE DESCRIPTION":"","IMEI FOR SWAPPED DEAL":""}</t>
  </si>
  <si>
    <t>d5c8ce8298dad09ed56967d9dcd894fee6b4b14826fef1b1f8e0051f98484dc5</t>
  </si>
  <si>
    <t>{"in":"","DATE":"04/13/2026","IMEI":358838944190470,"NAME":"PAPPY TECH","TIME":"17:35","PRICE":"\u20a61,100,000.00","STATUS":"RETURNED","PAID DATE":"","RECORD_ID":"067067366ebc4488ac3d09e34224797a","Amount paid":"\u20a60.00","DESCRIPTION":"IPHONE AIR","PHONE NUMBER":2349064677372,"DEAL LOCATION":"","INTERNAL NOTE":"","EXPENSE AMOUNT":"","CALCULATED PROFIT":"","EXPENSE DESCRIPTION":"","IMEI FOR SWAPPED DEAL":""}</t>
  </si>
  <si>
    <t>c7c21ec7fdc08894758160e5588f2483ec36d1c41947703c592f7197c847f496</t>
  </si>
  <si>
    <t>{"in":"","DATE":"04/13/2026","IMEI":"","NAME":"OLA_BTC","TIME":"22:28","PRICE":"\u20a680,000.00","STATUS":"PAID","PAID DATE":"","RECORD_ID":"d1695041c5ae41c3a5d663f19b2e779b","Amount paid":"\u20a680,000.00","DESCRIPTION":"3 MONTHS USA ESIM PLAN","PHONE NUMBER":2348105053684,"DEAL LOCATION":"","INTERNAL NOTE":"","EXPENSE AMOUNT":"","CALCULATED PROFIT":"","EXPENSE DESCRIPTION":"","IMEI FOR SWAPPED DEAL":""}</t>
  </si>
  <si>
    <t>5ec955486f29126d08dfb258ab3b9ca65e20ae7172ca3921b6a7c6a51c001256</t>
  </si>
  <si>
    <t>2026-04-14T00:00:00+01:00</t>
  </si>
  <si>
    <t>{"in":"","DATE":"04/14/2026","IMEI":"","NAME":"PANKYGEE","TIME":"9:56","PRICE":"\u20a63,000.00","STATUS":"PAID","PAID DATE":"","RECORD_ID":"a5036469cfcb4a1e9188d78375f13915","Amount paid":"\u20a63,000.00","DESCRIPTION":"ORANGE IPHONE 17 PRO IOS UPDATE TO 26.4","PHONE NUMBER":2347052247397,"DEAL LOCATION":"","INTERNAL NOTE":"","EXPENSE AMOUNT":"","CALCULATED PROFIT":"","EXPENSE DESCRIPTION":"","IMEI FOR SWAPPED DEAL":""}</t>
  </si>
  <si>
    <t>7c5d1f213f7a20147527ccfb58088afbb472b365b43aa0a115274838e280fdc4</t>
  </si>
  <si>
    <t>{"in":"","DATE":"04/14/2026","IMEI":"","NAME":"GNF","TIME":"10:11","PRICE":"\u20a62,500.00","STATUS":"UNPAID","PAID DATE":"","RECORD_ID":"3dce363c0c444ba4a94b8bd3e2be8359","Amount paid":"\u20a60.00","DESCRIPTION":"TEAL COLOR IPHONE 16 IOS UPDATE","PHONE NUMBER":2348160373526,"DEAL LOCATION":"","INTERNAL NOTE":"","EXPENSE AMOUNT":"","CALCULATED PROFIT":"","EXPENSE DESCRIPTION":"","IMEI FOR SWAPPED DEAL":""}</t>
  </si>
  <si>
    <t>69ce005e7a5199d7ac9032fa63d656bf0485d1c9d94b992aa0f076d27a979af0</t>
  </si>
  <si>
    <t>{"in":"","DATE":"04/14/2026","IMEI":"","NAME":"ZEE TECH","TIME":"11:48","PRICE":"\u20a62,500.00","STATUS":"PAID","PAID DATE":"","RECORD_ID":"f8728e4077384b108522dcec9508b91f","Amount paid":"\u20a62,500.00","DESCRIPTION":"IPHONE 14 PRO GOLD IOS UPDATE","PHONE NUMBER":2349033724061,"DEAL LOCATION":"","INTERNAL NOTE":"","EXPENSE AMOUNT":"","CALCULATED PROFIT":"","EXPENSE DESCRIPTION":"","IMEI FOR SWAPPED DEAL":""}</t>
  </si>
  <si>
    <t>fd6857ec3639b6a2cb5494d05b789637a1605d39f6e6931f071c20ec79c32372</t>
  </si>
  <si>
    <t>{"in":"","DATE":"04/14/2026","IMEI":"","NAME":"CLEARIES GASGETS","TIME":"12:03","PRICE":"\u20a63,000.00","STATUS":"PAID","PAID DATE":"","RECORD_ID":"818adfddf68644b599901e0210849819","Amount paid":"\u20a63,000.00","DESCRIPTION":"GREEN IPHONE 12 FLASHING","PHONE NUMBER":2348142735624,"DEAL LOCATION":"","INTERNAL NOTE":"","EXPENSE AMOUNT":"","CALCULATED PROFIT":"","EXPENSE DESCRIPTION":"","IMEI FOR SWAPPED DEAL":""}</t>
  </si>
  <si>
    <t>0d0bc42d4769ba27bff7849634cfc08888680005e8853820dfb046603d6cef7a</t>
  </si>
  <si>
    <t>{"in":"","DATE":"04/14/2026","IMEI":"","NAME":"DAPPER","TIME":"12:15","PRICE":"\u20a62,500.00","STATUS":"PAID","PAID DATE":"","RECORD_ID":"f677c90cab954e76b93d7df0c3a3ac88","Amount paid":"\u20a62,500.00","DESCRIPTION":"NATURAL TITANIUM IPHONE 16 PRO IOS UPDATE","PHONE NUMBER":2349166394378,"DEAL LOCATION":"","INTERNAL NOTE":"","EXPENSE AMOUNT":"","CALCULATED PROFIT":"","EXPENSE DESCRIPTION":"","IMEI FOR SWAPPED DEAL":""}</t>
  </si>
  <si>
    <t>0a82b2334ea52a96db688191348c35ad853fe347f2b4861004fe180e5d674d00</t>
  </si>
  <si>
    <t>{"in":"","DATE":"04/14/2026","IMEI":"","NAME":"YUPPIE GADGETS","TIME":"12:26","PRICE":"\u20a610,000.00","STATUS":"RETURNED","PAID DATE":"","RECORD_ID":"3da2705ffddd4b1a8cf7b97494815078","Amount paid":"\u20a60.00","DESCRIPTION":"APPLE ID RECOVERY","PHONE NUMBER":2348138132811,"DEAL LOCATION":"","INTERNAL NOTE":"","EXPENSE AMOUNT":"","CALCULATED PROFIT":"","EXPENSE DESCRIPTION":"","IMEI FOR SWAPPED DEAL":""}</t>
  </si>
  <si>
    <t>358bc813ff3c4cf2957754e6a5a85d551365b5a82f0d722455cea9918420490d</t>
  </si>
  <si>
    <t>{"in":"","DATE":"04/14/2026","IMEI":"","NAME":"STARBOX","TIME":"12:46","PRICE":"\u20a6300,000.00","STATUS":"PAID","PAID DATE":"","RECORD_ID":"33bb5215cac0464f8f49cc4332d776a8","Amount paid":"\u20a6300,000.00","DESCRIPTION":"300K BORROWED","PHONE NUMBER":2349063620334,"DEAL LOCATION":"","INTERNAL NOTE":"","EXPENSE AMOUNT":"","CALCULATED PROFIT":"","EXPENSE DESCRIPTION":"","IMEI FOR SWAPPED DEAL":""}</t>
  </si>
  <si>
    <t>1a3dcdb7541b644c9f1740a820a7652ebe5e12bacf9043f81dcf2bc61eb6e707</t>
  </si>
  <si>
    <t>{"in":"","DATE":"04/14/2026","IMEI":358838944190470,"NAME":"PAPPY TECH","TIME":"13:30","PRICE":"\u20a60.00","STATUS":"RETURNED","PAID DATE":"","RECORD_ID":"b241627334f34c2d97483a74f971dfd7","Amount paid":"\u20a60.00","DESCRIPTION":"IPHONE AIR","PHONE NUMBER":2349064677372,"DEAL LOCATION":"","INTERNAL NOTE":"","EXPENSE AMOUNT":"","CALCULATED PROFIT":"","EXPENSE DESCRIPTION":"","IMEI FOR SWAPPED DEAL":""}</t>
  </si>
  <si>
    <t>1af38c895cc24a12937be25b04684e53f3793e0490ae4e317a454c7771465534</t>
  </si>
  <si>
    <t>{"in":"","DATE":"04/14/2026","IMEI":359608203806168,"NAME":"MULLAR GADGET","TIME":"14:19","PRICE":"\u20a6265,000.00","STATUS":"PAID","PAID DATE":"","RECORD_ID":"3545a29391344af4ac9b6f383e74bff2","Amount paid":"\u20a6265,000.00","DESCRIPTION":"iPhone 14 ","PHONE NUMBER":2348165523297,"DEAL LOCATION":"","INTERNAL NOTE":"","EXPENSE AMOUNT":"","CALCULATED PROFIT":"","EXPENSE DESCRIPTION":"","IMEI FOR SWAPPED DEAL":""}</t>
  </si>
  <si>
    <t>6fcae2e93395d3a135e69bf0b7727d5315055583a40322e3f8b3759087177d94</t>
  </si>
  <si>
    <t>{"in":"","DATE":"04/14/2026","IMEI":"","NAME":"OZ GADGET","TIME":"14:27","PRICE":"\u20a62,500.00","STATUS":"UNPAID","PAID DATE":"","RECORD_ID":"9367dd71aadf412c9f9159d9602fe151","Amount paid":"\u20a60.00","DESCRIPTION":"PINK IPHONE 15 PLUS IOS UPDATE","PHONE NUMBER":2348106293924,"DEAL LOCATION":"","INTERNAL NOTE":"","EXPENSE AMOUNT":"","CALCULATED PROFIT":"","EXPENSE DESCRIPTION":"","IMEI FOR SWAPPED DEAL":""}</t>
  </si>
  <si>
    <t>b3297cdb4da1f0f858d4edad1ddd0fbb88786c46d17d9ca848a4f9c3cb6722c2</t>
  </si>
  <si>
    <t>{"in":"","DATE":"04/14/2026","IMEI":"","NAME":"ZEE TECH","TIME":"14:51","PRICE":"\u20a62,500.00","STATUS":"PAID","PAID DATE":"","RECORD_ID":"d7869d532ebf463dba3272c13de8ee6a","Amount paid":"\u20a62,500.00","DESCRIPTION":"iPhone 15 Pro Max Black Titanium 256GB IOS UPDATE","PHONE NUMBER":2349033724061,"DEAL LOCATION":"","INTERNAL NOTE":"","EXPENSE AMOUNT":"","CALCULATED PROFIT":"","EXPENSE DESCRIPTION":"","IMEI FOR SWAPPED DEAL":""}</t>
  </si>
  <si>
    <t>2535318b09e1e6f9b3578ea3d6d694bd4ea57d42059d45e321ddef87a4adca51</t>
  </si>
  <si>
    <t>{"in":"","DATE":"04/14/2026","IMEI":"","NAME":"BAHMS","TIME":"17:19","PRICE":"\u20a62,500.00","STATUS":"PAID","PAID DATE":"","RECORD_ID":"51d96aa02a574bfabade01f06adf37bd","Amount paid":"\u20a62,500.00","DESCRIPTION":"iPhone 15 Plus Black 128GB IOS UPDATE","PHONE NUMBER":2349069477050,"DEAL LOCATION":"","INTERNAL NOTE":"","EXPENSE AMOUNT":"","CALCULATED PROFIT":"","EXPENSE DESCRIPTION":"","IMEI FOR SWAPPED DEAL":""}</t>
  </si>
  <si>
    <t>bcbb6beb43a1b0f6b0b41f2a5d39849a2b1ecc97262c4d75fec29e480e16a8d1</t>
  </si>
  <si>
    <t>2026-04-15T00:00:00+01:00</t>
  </si>
  <si>
    <t>{"in":"","DATE":"04/15/2026","IMEI":"","NAME":"BAHMS","TIME":"9:01","PRICE":"\u20a62,500.00","STATUS":"PAID","PAID DATE":"","RECORD_ID":"d5aeb08eebaa4663933062c3e1d9fc24","Amount paid":"\u20a62,500.00","DESCRIPTION":"IPHONE 15 PLUS PINK 128GB IOS UPDATE","PHONE NUMBER":2349069477050,"DEAL LOCATION":"","INTERNAL NOTE":"","EXPENSE AMOUNT":"","CALCULATED PROFIT":"","EXPENSE DESCRIPTION":"","IMEI FOR SWAPPED DEAL":""}</t>
  </si>
  <si>
    <t>86892b42caa6352e935e8a8a479c9eebeb0e9b0f8f6a45846808ca956cbd2751</t>
  </si>
  <si>
    <t>{"in":"","DATE":"04/15/2026","IMEI":"","NAME":"OLAOLUWA","TIME":"9:54","PRICE":"\u20a62,500.00","STATUS":"PAID","PAID DATE":"","RECORD_ID":"9f420d963f4e420ab497a7c21489423c","Amount paid":"\u20a625,000.00","DESCRIPTION":"iPhone 11 Green 64GB IOS UPDATE","PHONE NUMBER":2348104072407,"DEAL LOCATION":"","INTERNAL NOTE":"","EXPENSE AMOUNT":"","CALCULATED PROFIT":"","EXPENSE DESCRIPTION":"","IMEI FOR SWAPPED DEAL":""}</t>
  </si>
  <si>
    <t>ad902fb13279fe241e66d8c01e88a703c8e91e17a740e5e4875ec999d5740fc4</t>
  </si>
  <si>
    <t>{"in":"","DATE":"04/11/2026","IMEI":358355843220282,"NAME":"DEMIGLOBAL MULTISERVICE","TIME":"10:00","PRICE":"\u20a6600,000.00","STATUS":"RETURNED","PAID DATE":"","RECORD_ID":"4cc9267eb8f94f22846cea2fd50d1907","Amount paid":"\u20a60.00","DESCRIPTION":"IPHONE 15","PHONE NUMBER":2349066720385,"DEAL LOCATION":"","INTERNAL NOTE":"","EXPENSE AMOUNT":"","CALCULATED PROFIT":"","EXPENSE DESCRIPTION":"","IMEI FOR SWAPPED DEAL":""}</t>
  </si>
  <si>
    <t>9e4db260d89ddba2f93790251789bc73d8b3c1add20820cce151c14cd55b611f</t>
  </si>
  <si>
    <t>{"in":"","DATE":"04/15/2026","IMEI":"","NAME":"NUMBER TELLOS","TIME":"10:48","PRICE":"\u20a690,000.00","STATUS":"PAID","PAID DATE":"","RECORD_ID":"a2b62ebcbb4d4d96b4990caa0863121b","Amount paid":"\u20a690,000.00","DESCRIPTION":"3 Months esim plan","PHONE NUMBER":2348066173750,"DEAL LOCATION":"","INTERNAL NOTE":"","EXPENSE AMOUNT":"","CALCULATED PROFIT":"","EXPENSE DESCRIPTION":"","IMEI FOR SWAPPED DEAL":""}</t>
  </si>
  <si>
    <t>6e685016ba0bd97025113ac960e7bc22c77c5f5e272804ada037ae89984985d1</t>
  </si>
  <si>
    <t>{"in":"","DATE":"04/15/2026","IMEI":353352958920199,"NAME":"BAHMS","TIME":"11:18","PRICE":"\u20a6490,000.00","STATUS":"PAID","PAID DATE":"","RECORD_ID":"c9667d92cbd0411d8e6d289aed2a6164","Amount paid":"\u20a6490,000.00","DESCRIPTION":"IPHONE 15 PLUS","PHONE NUMBER":2349069477050,"DEAL LOCATION":"","INTERNAL NOTE":"","EXPENSE AMOUNT":"","CALCULATED PROFIT":"","EXPENSE DESCRIPTION":"","IMEI FOR SWAPPED DEAL":""}</t>
  </si>
  <si>
    <t>1eccecfad6bbca423f6c1ec5deb5449c1e9f2027ae15a697a44cbd5dd53aca9b</t>
  </si>
  <si>
    <t>{"in":"","DATE":"04/15/2026","IMEI":359012141800617,"NAME":"ACTIVE","TIME":"11:24","PRICE":"\u20a6850,000.00","STATUS":"RETURNED","PAID DATE":"","RECORD_ID":"f849d8fff6524deca66774c86d0bf69b","Amount paid":"\u20a60.00","DESCRIPTION":"iPhone 16 Plus","PHONE NUMBER":2348145310779,"DEAL LOCATION":"","INTERNAL NOTE":"","EXPENSE AMOUNT":"","CALCULATED PROFIT":"","EXPENSE DESCRIPTION":"","IMEI FOR SWAPPED DEAL":""}</t>
  </si>
  <si>
    <t>3b8cf8df1f8728c3020c9c10e47c6127aee37f2aa729e5db70cf386a064b2247</t>
  </si>
  <si>
    <t>{"in":"","DATE":"..","IMEI":"..","NAME":"....","TIME":"..","PRICE":".","STATUS":"...","PAID DATE":"","RECORD_ID":"7f5d5f93145f4fb09838dc66f4b687a9","Amount paid":"","DESCRIPTION":"...","PHONE NUMBER":"..","DEAL LOCATION":"","INTERNAL NOTE":"","EXPENSE AMOUNT":"","CALCULATED PROFIT":"","EXPENSE DESCRIPTION":"","IMEI FOR SWAPPED DEAL":""}</t>
  </si>
  <si>
    <t>e923d6537d90edd03521ac2fca82773893c251a56edf02100a2e9936d1f66403</t>
  </si>
  <si>
    <t>{"in":"","DATE":"..","IMEI":"..","NAME":"....","TIME":"..","PRICE":".","STATUS":"...","PAID DATE":"","RECORD_ID":"5ae21b03ed024beba6bb42eb30bc17e9","Amount paid":"","DESCRIPTION":"...","PHONE NUMBER":"..","DEAL LOCATION":"","INTERNAL NOTE":"","EXPENSE AMOUNT":"","CALCULATED PROFIT":"","EXPENSE DESCRIPTION":"","IMEI FOR SWAPPED DEAL":""}</t>
  </si>
  <si>
    <t>13ed6694b1a1d3a296a31dfbb95d8d59eb5ad18a7e63451d8430ef8f78a8bc53</t>
  </si>
  <si>
    <t>{"in":"","DATE":"..","IMEI":"..","NAME":"....","TIME":"..","PRICE":".","STATUS":"...","PAID DATE":"","RECORD_ID":"7eb03292681147038f309b4012c4f481","Amount paid":"","DESCRIPTION":"...","PHONE NUMBER":"..","DEAL LOCATION":"","INTERNAL NOTE":"","EXPENSE AMOUNT":"","CALCULATED PROFIT":"","EXPENSE DESCRIPTION":"","IMEI FOR SWAPPED DEAL":""}</t>
  </si>
  <si>
    <t>d30a530aeb6a0119f803de6fe8dc32818c8f627520038cd636d7ec57b96b85e7</t>
  </si>
  <si>
    <t>{"in":"","DATE":"..","IMEI":"..","NAME":"....","TIME":"..","PRICE":".","STATUS":"...","PAID DATE":"","RECORD_ID":"35961bfd1d064bfbb7fd1c4e6a3a4fe4","Amount paid":"","DESCRIPTION":"...","PHONE NUMBER":"..","DEAL LOCATION":"","INTERNAL NOTE":"","EXPENSE AMOUNT":"","CALCULATED PROFIT":"","EXPENSE DESCRIPTION":"","IMEI FOR SWAPPED DEAL":""}</t>
  </si>
  <si>
    <t>bb86f1eb3acf41ac6fdce5cfcb2a5987fafeeb37e695156a6684f28bc144a789</t>
  </si>
  <si>
    <t>{"in":"","DATE":"04/15/2026","IMEI":"","NAME":"KAYWISE","TIME":"14:17","PRICE":"\u20a62,000.00","STATUS":"PAID","PAID DATE":"","RECORD_ID":"5a247bd484be42d9b4664627fe63f448","Amount paid":"\u20a62,000.00","DESCRIPTION":"ORANGE IPHONE 17 PRO MAX IOS UPDATE","PHONE NUMBER":2349032614464,"DEAL LOCATION":"","INTERNAL NOTE":"","EXPENSE AMOUNT":"","CALCULATED PROFIT":"","EXPENSE DESCRIPTION":"","IMEI FOR SWAPPED DEAL":""}</t>
  </si>
  <si>
    <t>617040043cce724b085c8f35bd1283f5efadb21cb466cfb4b80e037b30354b5a</t>
  </si>
  <si>
    <t>{"in":"","DATE":"04/15/2026","IMEI":"","NAME":"STAR BUSSY","TIME":"15:01","PRICE":"\u20a65,000.00","STATUS":"PAID","PAID DATE":"","RECORD_ID":"8675d1063cb841fca82da4e8ce39eb3e","Amount paid":"\u20a65,000.00","DESCRIPTION":"APPLE ID OPENING / ICLOUD","PHONE NUMBER":2348127738411,"DEAL LOCATION":"","INTERNAL NOTE":"","EXPENSE AMOUNT":"","CALCULATED PROFIT":"","EXPENSE DESCRIPTION":"","IMEI FOR SWAPPED DEAL":""}</t>
  </si>
  <si>
    <t>710a606a5cc399adfe0f2a16b20492172d2a86efb6b135c9927751ef1856c27b</t>
  </si>
  <si>
    <t>{"in":"","DATE":"04/15/2026","IMEI":"","NAME":"NURUDEEN","TIME":"15:14","PRICE":"\u20a63,000.00","STATUS":"PAID","PAID DATE":"","RECORD_ID":"daaf007e570c4421b55c2240cd861e3b","Amount paid":"\u20a63,000.00","DESCRIPTION":"PIC BACKUP AND RESTORE","PHONE NUMBER":2349122727950,"DEAL LOCATION":"","INTERNAL NOTE":"","EXPENSE AMOUNT":"","CALCULATED PROFIT":"","EXPENSE DESCRIPTION":"","IMEI FOR SWAPPED DEAL":""}</t>
  </si>
  <si>
    <t>1be408e4f9981122b8edec7d8f3d9f84880ba093ffaaba94097d181b017dd850</t>
  </si>
  <si>
    <t>{"in":"","DATE":"04/15/2026","IMEI":355845080208761,"NAME":"KUNLEX COMMUNICATION","TIME":"15:40","PRICE":"\u20a670,000.00","STATUS":"PAID","PAID DATE":"","RECORD_ID":"684074eace0c49cb8d274c1b5f272a13","Amount paid":"\u20a670,000.00","DESCRIPTION":"IPHONE 7","PHONE NUMBER":2347076133809,"DEAL LOCATION":"","INTERNAL NOTE":"","EXPENSE AMOUNT":"","CALCULATED PROFIT":"","EXPENSE DESCRIPTION":"","IMEI FOR SWAPPED DEAL":""}</t>
  </si>
  <si>
    <t>24d57f3dd027b96db576f220cc1a5230d99ac2a48917f2737b91469f9b1fb04a</t>
  </si>
  <si>
    <t>{"in":"","DATE":"04/15/2026","IMEI":"","NAME":"IPRO GADGET","TIME":"16:00","PRICE":"\u20a68,000.00","STATUS":"PAID","PAID DATE":"","RECORD_ID":"833eee907abe4d789c617caf2cd938a7","Amount paid":"\u20a68,000.00","DESCRIPTION":"IPAD APPLE ID REACTIVATION","PHONE NUMBER":2348109344663,"DEAL LOCATION":"","INTERNAL NOTE":"","EXPENSE AMOUNT":"","CALCULATED PROFIT":"","EXPENSE DESCRIPTION":"","IMEI FOR SWAPPED DEAL":""}</t>
  </si>
  <si>
    <t>05c5bd8a945c237a4ab02218afdb9ca90e9c2a7981c669da69eed5e83f1dfdb9</t>
  </si>
  <si>
    <t>{"in":"","DATE":"04/15/2026","IMEI":"","NAME":"HONEYTEE","TIME":"16:22","PRICE":"\u20a62,500.00","STATUS":"PAID","PAID DATE":"","RECORD_ID":"8220a4db66184bd2b17695c89d8b05e4","Amount paid":"\u20a62,500.00","DESCRIPTION":"GOLD IPHONE 14 PRO IOS UPDATE","PHONE NUMBER":2349125271770,"DEAL LOCATION":"","INTERNAL NOTE":"","EXPENSE AMOUNT":"","CALCULATED PROFIT":"","EXPENSE DESCRIPTION":"","IMEI FOR SWAPPED DEAL":""}</t>
  </si>
  <si>
    <t>7ee2f47d00bb0144e04fbf278a7f9d90816c1fd7b613ce4e7d87fdba9449ce57</t>
  </si>
  <si>
    <t>{"in":"","DATE":"04/15/2026","IMEI":"","NAME":"NURUDEEN","TIME":"16:34","PRICE":"\u20a61,000.00","STATUS":"PAID","PAID DATE":"","RECORD_ID":"5f2f403c73644a88bcb461949fa19fbb","Amount paid":"\u20a61,000.00","DESCRIPTION":"1K CASH","PHONE NUMBER":2349122727950,"DEAL LOCATION":"","INTERNAL NOTE":"","EXPENSE AMOUNT":"","CALCULATED PROFIT":"","EXPENSE DESCRIPTION":"","IMEI FOR SWAPPED DEAL":""}</t>
  </si>
  <si>
    <t>a730b8ba23cc006bad64c682c6563aafc10b658ac2ce247d65ba6e418ae8bb0d</t>
  </si>
  <si>
    <t>{"in":"","DATE":"04/15/2026","IMEI":"","NAME":"SEGUN DISPATCH","TIME":"16:52","PRICE":"\u20a65,000.00","STATUS":"PAID","PAID DATE":"","RECORD_ID":"78f9499e9c0c426ba109ff6649b951ae","Amount paid":"\u20a65,000.00","DESCRIPTION":"SAMSUNG TO SAMSUNG FILE TRANSFER","PHONE NUMBER":2347032686144,"DEAL LOCATION":"","INTERNAL NOTE":"","EXPENSE AMOUNT":"","CALCULATED PROFIT":"","EXPENSE DESCRIPTION":"","IMEI FOR SWAPPED DEAL":""}</t>
  </si>
  <si>
    <t>bdb71437b38ae39967224093caebcfe41313790bfdb0404d0b3421b647fd8810</t>
  </si>
  <si>
    <t>{"in":"","DATE":"04/15/2026","IMEI":"","NAME":"KUDA GADGET","TIME":"17:05","PRICE":"\u20a62,500.00","STATUS":"PAID","PAID DATE":"","RECORD_ID":"11d08edae220448a87d81c419a25d2c8","Amount paid":"\u20a62,500.00","DESCRIPTION":"MIDNIGHT IPHONE 14 IOS UPDATE","PHONE NUMBER":2348137604798,"DEAL LOCATION":"","INTERNAL NOTE":"","EXPENSE AMOUNT":"","CALCULATED PROFIT":"","EXPENSE DESCRIPTION":"","IMEI FOR SWAPPED DEAL":""}</t>
  </si>
  <si>
    <t>a5eec65b389fde82ee1ac94e575c0f11f4cbfbe5e99e6ac89b3ba4cd177eafdc</t>
  </si>
  <si>
    <t>{"in":"","DATE":"04/16/2026","IMEI":355300183605562,"NAME":"SAD BOI","TIME":"7:16","PRICE":"\u20a60.00","STATUS":"RETURNED","PAID DATE":"","RECORD_ID":"e07a94f7556a4dedafa76afb7eddaadd","Amount paid":"\u20a60.00","DESCRIPTION":"IPHONE 16 PRO MAX","PHONE NUMBER":"","DEAL LOCATION":"","INTERNAL NOTE":"","EXPENSE AMOUNT":"","CALCULATED PROFIT":"","EXPENSE DESCRIPTION":"","IMEI FOR SWAPPED DEAL":""}</t>
  </si>
  <si>
    <t>74980815b5fdb6ac9a9fd496992041ba82522b66793af8a6c8468424570795e1</t>
  </si>
  <si>
    <t>{"in":"","DATE":"04/16/2026","IMEI":"","NAME":"TEST","TIME":"11:42","PRICE":"\u20a6333.00","STATUS":"RETURNED","PAID DATE":"","RECORD_ID":"4e87bb98849643869098a339822cffc6","Amount paid":"\u20a60.00","DESCRIPTION":"TEST","PHONE NUMBER":23479831273842938,"DEAL LOCATION":"","INTERNAL NOTE":"","EXPENSE AMOUNT":"","CALCULATED PROFIT":"","EXPENSE DESCRIPTION":"","IMEI FOR SWAPPED DEAL":""}</t>
  </si>
  <si>
    <t>8d70f5537a9e6f215318619c340164835a384f37a4fee97c1fbea6595cf17282</t>
  </si>
  <si>
    <t>2026-04-16T00:00:00+01:00</t>
  </si>
  <si>
    <t>{"in":"","DATE":"04/16/2026","IMEI":"","NAME":"ACTIVE","TIME":"12:40","PRICE":"\u20a62,500.00","STATUS":"PAID","PAID DATE":"","RECORD_ID":"91043adf7a9e40cfbe3ec6d8ab69562c","Amount paid":"\u20a62,500.00","DESCRIPTION":"IPHONE 11 BATTERY FIX","PHONE NUMBER":2348145310779,"DEAL LOCATION":"","INTERNAL NOTE":"","EXPENSE AMOUNT":"","CALCULATED PROFIT":"","EXPENSE DESCRIPTION":"","IMEI FOR SWAPPED DEAL":""}</t>
  </si>
  <si>
    <t>6203f4b32c22addbdf8e42cd00bb47ffb5f3433ae55077f64f70ec4dd4b667cd</t>
  </si>
  <si>
    <t>{"in":"","DATE":"04/16/2026","IMEI":"","NAME":"ACTIVE","TIME":"12:40","PRICE":"\u20a65,000.00","STATUS":"PAID","PAID DATE":"","RECORD_ID":"718863e2e9fb4535b4e37131713d45bb","Amount paid":"\u20a65,000.00","DESCRIPTION":"USA ESIM ACTIATION ON IPHONE 16 PLUS","PHONE NUMBER":2348145310779,"DEAL LOCATION":"","INTERNAL NOTE":"","EXPENSE AMOUNT":"","CALCULATED PROFIT":"","EXPENSE DESCRIPTION":"","IMEI FOR SWAPPED DEAL":""}</t>
  </si>
  <si>
    <t>9636adf7ac581927f79a52fa2b6130a7757a26eabd2675eb382d39db3e3bb6a8</t>
  </si>
  <si>
    <t>{"in":"","DATE":"04/16/2026","IMEI":"","NAME":"DON","TIME":"12:51","PRICE":"\u20a62,500.00","STATUS":"PAID","PAID DATE":"","RECORD_ID":"49417eae4b7445f9b18ffe6b56c78279","Amount paid":"\u20a62,500.00","DESCRIPTION":"PURPLE IPHONE 14 PRO IOS UPDATE","PHONE NUMBER":2348137676322,"DEAL LOCATION":"","INTERNAL NOTE":"","EXPENSE AMOUNT":"","CALCULATED PROFIT":"","EXPENSE DESCRIPTION":"","IMEI FOR SWAPPED DEAL":""}</t>
  </si>
  <si>
    <t>1471392ee495795b2581e94367a7456e2fada98392b3af429bb6bd8e32bfe9c2</t>
  </si>
  <si>
    <t>{"in":"","DATE":"04/16/2026","IMEI":"","NAME":"ACTIVE","TIME":"13:54","PRICE":"\u20a62,500.00","STATUS":"PAID","PAID DATE":"","RECORD_ID":"6b01fd1ff74e423e8ae6ced4df32d4aa","Amount paid":"\u20a62,500.00","DESCRIPTION":"WHITE IPHONE 16 PLUS IOS UPDATE","PHONE NUMBER":2348145310779,"DEAL LOCATION":"","INTERNAL NOTE":"","EXPENSE AMOUNT":"","CALCULATED PROFIT":"","EXPENSE DESCRIPTION":"","IMEI FOR SWAPPED DEAL":""}</t>
  </si>
  <si>
    <t>d28542f06c1fe15f7638fa9dac8aaf44c8c685b362c6da8f2b3b8e80d1f1c736</t>
  </si>
  <si>
    <t>{"in":"","DATE":"04/16/2026","IMEI":"","NAME":"FOLAKEMI","TIME":"14:05","PRICE":"\u20a62,500.00","STATUS":"PAID","PAID DATE":"","RECORD_ID":"304df9bd2247436289b202a0135aadce","Amount paid":"\u20a62,500.00","DESCRIPTION":"IPHONE 14 PRO IOS UPDATE GOLD","PHONE NUMBER":2349075624207,"DEAL LOCATION":"","INTERNAL NOTE":"","EXPENSE AMOUNT":"","CALCULATED PROFIT":"","EXPENSE DESCRIPTION":"","IMEI FOR SWAPPED DEAL":""}</t>
  </si>
  <si>
    <t>e149764d96a3b9c58687d910f779a27915e92db65f456a5a02c791a2e3b4b79d</t>
  </si>
  <si>
    <t>{"in":"","DATE":"04/16/2026","IMEI":"","NAME":"SEVILEN AUTOS","TIME":"16:15","PRICE":"\u20a63,000.00","STATUS":"PAID","PAID DATE":"","RECORD_ID":"20999e937e3646b0affb8244c48bdd6d","Amount paid":"\u20a63,000.00","DESCRIPTION":"DESERT TITANIUM IPHONE 16 PRO MAX IOS UPDATE","PHONE NUMBER":2349052936918,"DEAL LOCATION":"","INTERNAL NOTE":"","EXPENSE AMOUNT":"","CALCULATED PROFIT":"","EXPENSE DESCRIPTION":"","IMEI FOR SWAPPED DEAL":""}</t>
  </si>
  <si>
    <t>216fb68fd35b30019572621c25e0cae50f7e99fdd6fa76ef0aac6336cfef9161</t>
  </si>
  <si>
    <t>{"in":"","DATE":"04/16/2026","IMEI":"","NAME":"BLESSING SOLOMON","TIME":"16:18","PRICE":"\u20a625,000.00","STATUS":"PAID","PAID DATE":"","RECORD_ID":"f80596a67e72480d8b4cb8a59f6090d2","Amount paid":"\u20a625,000.00","DESCRIPTION":"IPHONE 12 PRO CHIP UNLOCKING","PHONE NUMBER":2348101744522,"DEAL LOCATION":"","INTERNAL NOTE":"","EXPENSE AMOUNT":"","CALCULATED PROFIT":"","EXPENSE DESCRIPTION":"","IMEI FOR SWAPPED DEAL":""}</t>
  </si>
  <si>
    <t>936860b9fd1dcf181885b424f8ef7be403ebf1c7c6409bb93f2692d121e22954</t>
  </si>
  <si>
    <t>{"in":"","DATE":"04/16/2026","IMEI":"","NAME":"ZEE TECH","TIME":"16:18","PRICE":"\u20a62,500.00","STATUS":"PAID","PAID DATE":"","RECORD_ID":"ebaaec668461470f9f9ffb6648a4ffcd","Amount paid":"\u20a62,500.00","DESCRIPTION":"IPHONE 16 PRO IOS UPDATE","PHONE NUMBER":2349033724061,"DEAL LOCATION":"","INTERNAL NOTE":"","EXPENSE AMOUNT":"","CALCULATED PROFIT":"","EXPENSE DESCRIPTION":"","IMEI FOR SWAPPED DEAL":""}</t>
  </si>
  <si>
    <t>02015e3fd98b8e4ff9f67ab5a35a106a04ba5462c0834abc950c53782e2ffd20</t>
  </si>
  <si>
    <t>{"in":"","DATE":"04/16/2026","IMEI":"","NAME":"SHARK","TIME":"17:30","PRICE":"\u20a65,000.00","STATUS":"PAID","PAID DATE":"","RECORD_ID":"24bec4eff6834ea69bfee4cfb773b215","Amount paid":"\u20a65,000.00","DESCRIPTION":"ICLOUD OPENING","PHONE NUMBER":2349067394136,"DEAL LOCATION":"","INTERNAL NOTE":"","EXPENSE AMOUNT":"","CALCULATED PROFIT":"","EXPENSE DESCRIPTION":"","IMEI FOR SWAPPED DEAL":""}</t>
  </si>
  <si>
    <t>95cafab20516f5a1f9485bb0e193203fd960fb11ec3550540d38174d71c233a0</t>
  </si>
  <si>
    <t>{"in":"","DATE":"04/16/2026","IMEI":"","NAME":"STARBOX","TIME":"17:31","PRICE":"\u20a65,000.00","STATUS":"PAID","PAID DATE":"","RECORD_ID":"a59926d594d24ddc8022917223ea8ef1","Amount paid":"\u20a65,000.00","DESCRIPTION":"NIGERIA ICLOUD OPENING","PHONE NUMBER":2349063620334,"DEAL LOCATION":"","INTERNAL NOTE":"","EXPENSE AMOUNT":"","CALCULATED PROFIT":"","EXPENSE DESCRIPTION":"","IMEI FOR SWAPPED DEAL":""}</t>
  </si>
  <si>
    <t>db74aa0bed2e0c963621fd22efe7a9d3a3e8aaded2bcb57c4cb74d53b569241c</t>
  </si>
  <si>
    <t>{"in":"","DATE":"04/16/2026","IMEI":"","NAME":"KEKULE","TIME":"17:35","PRICE":"\u20a670,000.00","STATUS":"PAID","PAID DATE":"","RECORD_ID":"04c9e0ea111241b09bb08e61cabb4216","Amount paid":"\u20a670,000.00","DESCRIPTION":"USA NUMBER COLORADO","PHONE NUMBER":2347068389226,"DEAL LOCATION":"","INTERNAL NOTE":"","EXPENSE AMOUNT":"","CALCULATED PROFIT":"","EXPENSE DESCRIPTION":"","IMEI FOR SWAPPED DEAL":""}</t>
  </si>
  <si>
    <t>fc876123847511954690e5c8966bb12e1ecf4220a1c62c28e7e57b2d1b0e0dea</t>
  </si>
  <si>
    <t>2026-04-17T00:00:00+01:00</t>
  </si>
  <si>
    <t>{"in":"","DATE":"04/17/2026","IMEI":353263428082785,"NAME":"IPRO GADGET","TIME":"9:40","PRICE":"\u20a61,780,000.00","STATUS":"PAID","PAID DATE":"","RECORD_ID":"493760f70c2b4fb98f90575b5341b6ba","Amount paid":"\u20a61,780,000.00","DESCRIPTION":"SEALED IPHONE 17 PRO MAX","PHONE NUMBER":2348109344663,"DEAL LOCATION":"","INTERNAL NOTE":"","EXPENSE AMOUNT":"","CALCULATED PROFIT":"","EXPENSE DESCRIPTION":"","IMEI FOR SWAPPED DEAL":""}</t>
  </si>
  <si>
    <t>2c5f7ca92807d7e15c1db31e2ed68438f6b3303d3197f68d1d5de8ed038a60fe</t>
  </si>
  <si>
    <t>{"in":"","DATE":"04/17/2026","IMEI":356545108980057,"NAME":"CSGV","TIME":"9:40","PRICE":"\u20a6200,000.00","STATUS":"PAID","PAID DATE":"","RECORD_ID":"decfb44555e0419dade314527b8e88fc","Amount paid":"\u20a6200,000.00","DESCRIPTION":"iPhone 11","PHONE NUMBER":2348106125167,"DEAL LOCATION":"","INTERNAL NOTE":"","EXPENSE AMOUNT":"","CALCULATED PROFIT":"","EXPENSE DESCRIPTION":"","IMEI FOR SWAPPED DEAL":""}</t>
  </si>
  <si>
    <t>3435b643cc858a6a062ab6e0dfbfaaa73098eac748ab2a54994d4a6d52a52b55</t>
  </si>
  <si>
    <t>{"in":"","DATE":"04/17/2026","IMEI":"","NAME":"IPRO GADGET","TIME":"10:33","PRICE":"\u20a63,000.00","STATUS":"PAID","PAID DATE":"","RECORD_ID":"f9b8af4c68234ce5bf9a106ff9aa9ebc","Amount paid":"\u20a63,000.00","DESCRIPTION":"IPHONE 17 PRO MAX IOS UPDATE","PHONE NUMBER":2348109344663,"DEAL LOCATION":"","INTERNAL NOTE":"","EXPENSE AMOUNT":"","CALCULATED PROFIT":"","EXPENSE DESCRIPTION":"","IMEI FOR SWAPPED DEAL":""}</t>
  </si>
  <si>
    <t>c8cc078e643e1029fb80e691c034a82fbacd11181713d882f65028838cb9b0d7</t>
  </si>
  <si>
    <t>{"in":"","DATE":"04/17/2026","IMEI":"","NAME":"DAH UNIQUE","TIME":"11:25","PRICE":"\u20a62,500.00","STATUS":"UNPAID","PAID DATE":"","RECORD_ID":"bd5b3323167f4ce19294e8e03fe9503b","Amount paid":"\u20a60.00","DESCRIPTION":"IPHONE 13 BLUE IOS UPDATE","PHONE NUMBER":2349070536253,"DEAL LOCATION":"","INTERNAL NOTE":"","EXPENSE AMOUNT":"","CALCULATED PROFIT":"","EXPENSE DESCRIPTION":"","IMEI FOR SWAPPED DEAL":""}</t>
  </si>
  <si>
    <t>c395d2324395a335e86bc1f15d5e1e2a21286cacefc16088b7b272424382a705</t>
  </si>
  <si>
    <t>{"in":"","DATE":"04/17/2026","IMEI":"","NAME":"MARVITECH","TIME":"13:06","PRICE":"\u20a63,000.00","STATUS":"PAID","PAID DATE":"","RECORD_ID":"475fce9ffda64c9caf603db8ad492a0f","Amount paid":"\u20a63,000.00","DESCRIPTION":"IPHONE 17 PRO IOS UPDATE DEEP BLUE","PHONE NUMBER":2348106931715,"DEAL LOCATION":"","INTERNAL NOTE":"","EXPENSE AMOUNT":"","CALCULATED PROFIT":"","EXPENSE DESCRIPTION":"","IMEI FOR SWAPPED DEAL":""}</t>
  </si>
  <si>
    <t>70d5e00ccdd38a4ef5ffc52a7977032c880292a0c4022e44c18c580042a60d5d</t>
  </si>
  <si>
    <t>{"in":"","DATE":"04/17/2026","IMEI":"","NAME":"PANKYGEE","TIME":"13:08","PRICE":"\u20a62,500.00","STATUS":"PAID","PAID DATE":"","RECORD_ID":"9d319a457b3049a898b148e55c645852","Amount paid":"\u20a62,500.00","DESCRIPTION":"IPHONE 16 PRO MAX DESERT TITANIUM IOS UPDATE","PHONE NUMBER":2347052247397,"DEAL LOCATION":"","INTERNAL NOTE":"","EXPENSE AMOUNT":"","CALCULATED PROFIT":"","EXPENSE DESCRIPTION":"","IMEI FOR SWAPPED DEAL":""}</t>
  </si>
  <si>
    <t>8d8fc12ef35c3448750188270ee68f3a835a07af13ae8df0c5fdf2cce22e77f4</t>
  </si>
  <si>
    <t>{"in":"","DATE":"04/17/2026","IMEI":"","NAME":"PANKYGEE","TIME":"13:29","PRICE":"\u20a62,500.00","STATUS":"RETURNED","PAID DATE":"","RECORD_ID":"cc9f6e659daa4982b2be2602d18918a1","Amount paid":"\u20a60.00","DESCRIPTION":"IPHONE 16 PRO DESERT TITANIUM IOS UPDATE","PHONE NUMBER":2347052247397,"DEAL LOCATION":"","INTERNAL NOTE":"","EXPENSE AMOUNT":"","CALCULATED PROFIT":"","EXPENSE DESCRIPTION":"","IMEI FOR SWAPPED DEAL":""}</t>
  </si>
  <si>
    <t>f0f521e21b9da6f755126fc2afa5e284ab6948113aa5997a1625bcab0b5260bb</t>
  </si>
  <si>
    <t>{"in":"","DATE":"04/17/2026","IMEI":"","NAME":"HOLLAH GADGET","TIME":"14:18","PRICE":"\u20a62,500.00","STATUS":"UNPAID","PAID DATE":"","RECORD_ID":"eb19da0eb0024eb4b2dbd1cf410ddbb6","Amount paid":"\u20a60.00","DESCRIPTION":"IPHONE 16 PRO WHITE TITANIUM IOS UPDATE","PHONE NUMBER":2347041440724,"DEAL LOCATION":"","INTERNAL NOTE":"","EXPENSE AMOUNT":"","CALCULATED PROFIT":"","EXPENSE DESCRIPTION":"","IMEI FOR SWAPPED DEAL":""}</t>
  </si>
  <si>
    <t>3379a0c00232c053095d3999d4bc9e1cbc399ccbbeeff7c1ca5c0a730748be1d</t>
  </si>
  <si>
    <t>{"in":"","DATE":"04/17/2026","IMEI":359012141800617,"NAME":"ACTIVE","TIME":"15:20","PRICE":"\u20a60.00","STATUS":"RETURNED","PAID DATE":"","RECORD_ID":"053c4fb10ebb42e59d3b1205028c37a2","Amount paid":"\u20a60.00","DESCRIPTION":"iPhone 16 Plus","PHONE NUMBER":2348145310779,"DEAL LOCATION":"","INTERNAL NOTE":"","EXPENSE AMOUNT":"","CALCULATED PROFIT":"","EXPENSE DESCRIPTION":"","IMEI FOR SWAPPED DEAL":""}</t>
  </si>
  <si>
    <t>0c7176d5b87d6c18e5b2bf8b469ec46c62d39fc69adbf03f07d9f841703f9a06</t>
  </si>
  <si>
    <t>{"in":"","DATE":"04/17/2026","IMEI":"","NAME":"TECH JAR","TIME":"14:43","PRICE":"\u20a62,500.00","STATUS":"PAID","PAID DATE":"","RECORD_ID":"52ec4d59a6df4faf9a6fa04ac913e06c","Amount paid":"\u20a62,500.00","DESCRIPTION":"iPhone 15 Pro Max Blue Titanium 256GB IOS UPDATE","PHONE NUMBER":2347047512596,"DEAL LOCATION":"","INTERNAL NOTE":"","EXPENSE AMOUNT":"","CALCULATED PROFIT":"","EXPENSE DESCRIPTION":"","IMEI FOR SWAPPED DEAL":""}</t>
  </si>
  <si>
    <t>e087096706f42c1414ee6b8b1766c40bcdecf8581981714a53cb5edd59bab31c</t>
  </si>
  <si>
    <t>{"in":"","DATE":"04/17/2026","IMEI":"","NAME":"POSI","TIME":"17:12","PRICE":"\u20a63,000.00","STATUS":"PAID","PAID DATE":"","RECORD_ID":"efcf742d0ce0405a977be96c9c40fee5","Amount paid":"\u20a63,000.00","DESCRIPTION":"HP LAPTOP FIX","PHONE NUMBER":2348107041156,"DEAL LOCATION":"","INTERNAL NOTE":"","EXPENSE AMOUNT":"","CALCULATED PROFIT":"","EXPENSE DESCRIPTION":"","IMEI FOR SWAPPED DEAL":""}</t>
  </si>
  <si>
    <t>65acd914e8d920c97487a92dbdabded4337e5b90d658aa8f1b598ce0893932c9</t>
  </si>
  <si>
    <t>{"in":"","DATE":"04/17/2026","IMEI":"","NAME":"DARQUIZ PROMOTIONS","TIME":"17:41","PRICE":"\u20a645,000.00","STATUS":"RETURNED","PAID DATE":"","RECORD_ID":"3cee1bdbddda41ccb6f5f507b0a47a13","Amount paid":"\u20a60.00","DESCRIPTION":"VOICE CHANGER I9 SOUND CARD","PHONE NUMBER":2348027719627,"DEAL LOCATION":"","INTERNAL NOTE":"","EXPENSE AMOUNT":"","CALCULATED PROFIT":"","EXPENSE DESCRIPTION":"","IMEI FOR SWAPPED DEAL":""}</t>
  </si>
  <si>
    <t>ce26c0df2ca4eb27454ea00b5bbaff523924225787683b44411f157a73d73540</t>
  </si>
  <si>
    <t>{"in":"","DATE":"04/17/2026","IMEI":"","NAME":"HORJOR","TIME":"17:53","PRICE":"\u20a62,500.00","STATUS":"PART PAYMENT","PAID DATE":"","RECORD_ID":"71416cb1c1cb4df69dcfdde780f0c50a","Amount paid":"\u20a6500.00","DESCRIPTION":"IPHONE 13 PRO MAX IOS UPDATE: SIERRA BLUE, CRACKED","PHONE NUMBER":2347075152460,"DEAL LOCATION":"","INTERNAL NOTE":"","EXPENSE AMOUNT":"","CALCULATED PROFIT":"","EXPENSE DESCRIPTION":"","IMEI FOR SWAPPED DEAL":""}</t>
  </si>
  <si>
    <t>5118d90853a55fb8e5788a3090dbdc499b5a0ef651a77bf9b607cac5a7b5e10c</t>
  </si>
  <si>
    <t>{"in":"","DATE":"04/17/2026","IMEI":"","NAME":"MARVY T.M","TIME":"17:57","PRICE":"\u20a620,000.00","STATUS":"PAID","PAID DATE":"","RECORD_ID":"5f3cc8de5ed84397994381cb202d8a19","Amount paid":"\u20a620,000.00","DESCRIPTION":"FILE TRANSFER + MDM BYPASS","PHONE NUMBER":2349037388643,"DEAL LOCATION":"","INTERNAL NOTE":"","EXPENSE AMOUNT":"","CALCULATED PROFIT":"","EXPENSE DESCRIPTION":"","IMEI FOR SWAPPED DEAL":""}</t>
  </si>
  <si>
    <t>39ad337ecec65bd9e51688c78a07695cf649977640ece7cc25a915890d47b357</t>
  </si>
  <si>
    <t>{"in":"","DATE":"4/17/2026","IMEI":"","NAME":"JAGO DC","TIME":"6:27:57 PM","PRICE":"\u20a65,000.00","STATUS":"PAID","PAID DATE":"","RECORD_ID":"d58f673adf494f6082208bf1cf27f01f","Amount paid":"\u20a65,000.00","DESCRIPTION":"IPHONE 13 FLASH","PHONE NUMBER":2348062486867,"DEAL LOCATION":"","INTERNAL NOTE":"","EXPENSE AMOUNT":"","CALCULATED PROFIT":"","EXPENSE DESCRIPTION":"","IMEI FOR SWAPPED DEAL":""}</t>
  </si>
  <si>
    <t>7fb407dec59bfbc385a378e75ae744f488d0d77ceb77a142bcdd406f333655d7</t>
  </si>
  <si>
    <t>{"in":"","DATE":".","IMEI":".","NAME":"..","TIME":".","PRICE":".","STATUS":".","PAID DATE":"","RECORD_ID":"9c431f86b02642f58583c9a35771522e","Amount paid":".","DESCRIPTION":".","PHONE NUMBER":".","DEAL LOCATION":"","INTERNAL NOTE":"","EXPENSE AMOUNT":"","CALCULATED PROFIT":"","EXPENSE DESCRIPTION":"","IMEI FOR SWAPPED DEAL":"."}</t>
  </si>
  <si>
    <t>e40128d896a6ad916ed581d7b6bbea6d0a7597e1a30e725aa64fea7ba60a7c63</t>
  </si>
  <si>
    <t>2026-04-18T00:00:00+01:00</t>
  </si>
  <si>
    <t>{"in":"","DATE":"4/18/2026","IMEI":"","NAME":"QAFFIF","TIME":"11:22:07 AM","PRICE":"\u20a63,000.00","STATUS":"PAID","PAID DATE":"","RECORD_ID":"fd93336c8e4c4ac9a9f28e8c14d52fef","Amount paid":"\u20a63,000.00","DESCRIPTION":"iPhone 16 Ultramarine 128GB IOS UPDATE","PHONE NUMBER":2349060724788,"DEAL LOCATION":"","INTERNAL NOTE":"","EXPENSE AMOUNT":"","CALCULATED PROFIT":"","EXPENSE DESCRIPTION":"","IMEI FOR SWAPPED DEAL":""}</t>
  </si>
  <si>
    <t>a09ffb2e72faed26ee4c63fc826a4039a86faf78fc977c0937666602211d6fbe</t>
  </si>
  <si>
    <t>{"in":"","DATE":"4/18/2026","IMEI":"","NAME":"DAH UNIQUE","TIME":"11:24:34 AM","PRICE":"\u20a62,500.00","STATUS":"UNPAID","PAID DATE":"","RECORD_ID":"6a143cbd10294203ab0adae04a0fa47c","Amount paid":"","DESCRIPTION":"iPhone 12 Pro Max Pacific Blue 128GB IOS UPDATE {CRACKED BACK}","PHONE NUMBER":2349070536253,"DEAL LOCATION":"","INTERNAL NOTE":"","EXPENSE AMOUNT":"","CALCULATED PROFIT":"","EXPENSE DESCRIPTION":"","IMEI FOR SWAPPED DEAL":""}</t>
  </si>
  <si>
    <t>40d220c486d4437cabb680c96203ea67d515bfb07dc149d548992cca419404ac</t>
  </si>
  <si>
    <t>{"in":".","DATE":"..","IMEI":".","NAME":"..","TIME":".","PRICE":".","STATUS":".","PAID DATE":"","RECORD_ID":"f5ce8e3325c54afe98578cb420e9bc7a","Amount paid":".","DESCRIPTION":".","PHONE NUMBER":".","DEAL LOCATION":"","INTERNAL NOTE":"","EXPENSE AMOUNT":"","CALCULATED PROFIT":"","EXPENSE DESCRIPTION":"","IMEI FOR SWAPPED DEAL":""}</t>
  </si>
  <si>
    <t>77eeff94134ba528a1f7aad53441ef1b8281d87f4938bc5827c5a319594bab2f</t>
  </si>
  <si>
    <t>{"in":"","DATE":".","IMEI":".","NAME":"..","TIME":".","PRICE":"","STATUS":".","PAID DATE":"","RECORD_ID":"c7d28836272c43c58f1ca53035ff5a34","Amount paid":".","DESCRIPTION":".","PHONE NUMBER":".","DEAL LOCATION":"","INTERNAL NOTE":"","EXPENSE AMOUNT":"","CALCULATED PROFIT":"","EXPENSE DESCRIPTION":"","IMEI FOR SWAPPED DEAL":""}</t>
  </si>
  <si>
    <t>9d3cd3a0d805c85896eb743994f5e94b20fa09894de26b9b05eb08df1e9db1c8</t>
  </si>
  <si>
    <t>{"in":".","DATE":".","IMEI":".","NAME":"..","TIME":"","PRICE":".","STATUS":".","PAID DATE":"","RECORD_ID":"ca5150ca4086442497ceab73f768f1b2","Amount paid":".","DESCRIPTION":".","PHONE NUMBER":".","DEAL LOCATION":"","INTERNAL NOTE":"","EXPENSE AMOUNT":"","CALCULATED PROFIT":"","EXPENSE DESCRIPTION":"","IMEI FOR SWAPPED DEAL":""}</t>
  </si>
  <si>
    <t>64047bbeca6b2ebc3f738e18a731fa4173a358bdee8195810609649994900bec</t>
  </si>
  <si>
    <t>{"in":"","DATE":"04/18/2026","IMEI":350114363080305,"NAME":"HOLLAH GADGET","TIME":"13:34","PRICE":"\u20a6670,000.00","STATUS":"RETURNED","PAID DATE":"","RECORD_ID":"b6a0a3d219f04c3bb0d9e4c0ca492ba9","Amount paid":"\u20a60.00","DESCRIPTION":"IPHONE 14 PRO P + E","PHONE NUMBER":2347041440724,"DEAL LOCATION":"","INTERNAL NOTE":"","EXPENSE AMOUNT":"","CALCULATED PROFIT":"","EXPENSE DESCRIPTION":"","IMEI FOR SWAPPED DEAL":""}</t>
  </si>
  <si>
    <t>2758a46a7af4b4cbd2d81ddc883ab53db9a186a1d7011d49dd3910cd240a2d45</t>
  </si>
  <si>
    <t>{"in":"","DATE":"04/18/2026","IMEI":350114363080305,"NAME":"HOLLAH GADGET","TIME":"13:57","PRICE":"\u20a60.00","STATUS":"RETURNED","PAID DATE":"","RECORD_ID":"9cbc4b7215c3408f9f7bfd85284ca726","Amount paid":"\u20a60.00","DESCRIPTION":"IPHONE 14 PRO P + E","PHONE NUMBER":2347041440724,"DEAL LOCATION":"","INTERNAL NOTE":"","EXPENSE AMOUNT":"","CALCULATED PROFIT":"","EXPENSE DESCRIPTION":"","IMEI FOR SWAPPED DEAL":""}</t>
  </si>
  <si>
    <t>dcd882d95d1affed80383459348422daebb23f5964f235ceca826ce8701c031b</t>
  </si>
  <si>
    <t>{"in":"","DATE":"04/18/2026","IMEI":"","NAME":"BAYESH","TIME":"14:07","PRICE":"\u20a62,500.00","STATUS":"PAID","PAID DATE":"","RECORD_ID":"d95c3372f75f4d6194a2cf92d9d90960","Amount paid":"\u20a62,500.00","DESCRIPTION":"BLACK IPHONE 15 PRO MAX IOS UPDATE","PHONE NUMBER":2348136276066,"DEAL LOCATION":"","INTERNAL NOTE":"","EXPENSE AMOUNT":"","CALCULATED PROFIT":"","EXPENSE DESCRIPTION":"","IMEI FOR SWAPPED DEAL":""}</t>
  </si>
  <si>
    <t>2c46d05fc5cd22397b20defb3788ccfc1816ee343fd042a4b661080b2116b412</t>
  </si>
  <si>
    <t>{"in":"","DATE":"04/18/2026","IMEI":"","NAME":"HOLLAH GADGET","TIME":"17:04","PRICE":"\u20a62,500.00","STATUS":"UNPAID","PAID DATE":"","RECORD_ID":"f2c2ae3d71614ece9cd5247e74040c9f","Amount paid":"\u20a60.00","DESCRIPTION":"iPhone XR black iOS update fix battery","PHONE NUMBER":2347041440724,"DEAL LOCATION":"","INTERNAL NOTE":"","EXPENSE AMOUNT":"","CALCULATED PROFIT":"","EXPENSE DESCRIPTION":"","IMEI FOR SWAPPED DEAL":""}</t>
  </si>
  <si>
    <t>2ae7f97f48612ef3780d2f0c53a564ef01c8e7f716905e9c68201f65ddc592fb</t>
  </si>
  <si>
    <t>{"in":"","DATE":"...","IMEI":"...","NAME":"...","TIME":"...","PRICE":"...","STATUS":"...","PAID DATE":"","RECORD_ID":"46315b97b0044a3a89b3a57051f88611","Amount paid":"...","DESCRIPTION":"...","PHONE NUMBER":"...","DEAL LOCATION":"","INTERNAL NOTE":"","EXPENSE AMOUNT":"","CALCULATED PROFIT":"","EXPENSE DESCRIPTION":"","IMEI FOR SWAPPED DEAL":""}</t>
  </si>
  <si>
    <t>5805a80573891f3c89d822eed55f07962c04f4e352cce678391b0e1d35171e01</t>
  </si>
  <si>
    <t>{"in":"","DATE":"...","IMEI":"...","NAME":"...","TIME":"...","PRICE":"...","STATUS":"...","PAID DATE":"","RECORD_ID":"ae4b8fdc3f4c416fa9cacc7d67809221","Amount paid":"...","DESCRIPTION":"...","PHONE NUMBER":"...","DEAL LOCATION":"","INTERNAL NOTE":"","EXPENSE AMOUNT":"","CALCULATED PROFIT":"","EXPENSE DESCRIPTION":"","IMEI FOR SWAPPED DEAL":""}</t>
  </si>
  <si>
    <t>105b3a8059a79bfa69f972d865486935dfbad4a5f5627c6e5310712fa0a83df0</t>
  </si>
  <si>
    <t>{"in":"","DATE":"...","IMEI":"...","NAME":"...","TIME":"...","PRICE":"...","STATUS":"...","PAID DATE":"","RECORD_ID":"449d387cc73e433dad9af7f8ed98d7b3","Amount paid":"...","DESCRIPTION":"...","PHONE NUMBER":"...","DEAL LOCATION":"","INTERNAL NOTE":"","EXPENSE AMOUNT":"","CALCULATED PROFIT":"","EXPENSE DESCRIPTION":"","IMEI FOR SWAPPED DEAL":""}</t>
  </si>
  <si>
    <t>f1c96e1c1e56433dcddae1d57f69fa67fd6163cff87633fc4d42b45ab0691b9e</t>
  </si>
  <si>
    <t>2026-04-20T00:00:00+01:00</t>
  </si>
  <si>
    <t>{"in":"","DATE":"4/20/2026","IMEI":"","NAME":"TECH JAR","TIME":"10:36:37 AM","PRICE":"\u20a62,500.00","STATUS":"PAID","PAID DATE":"","RECORD_ID":"ba0902bb1e7645969ac82e9247509551","Amount paid":"\u20a62,500.00","DESCRIPTION":"iPhone 15 Pro White Titanium 128GB IOS UPDATE","PHONE NUMBER":2347047512596,"DEAL LOCATION":"","INTERNAL NOTE":"","EXPENSE AMOUNT":"","CALCULATED PROFIT":"","EXPENSE DESCRIPTION":"","IMEI FOR SWAPPED DEAL":""}</t>
  </si>
  <si>
    <t>4e52e27336e4d4d467215758ec64de382189b2f507f71637ddfb8f6a3d9c0ae8</t>
  </si>
  <si>
    <t>{"in":"","DATE":".","IMEI":".","NAME":".","TIME":".","PRICE":".","STATUS":".","PAID DATE":"","RECORD_ID":"7ab64b4857ca4a30a2395041ac18f74c","Amount paid":".","DESCRIPTION":".","PHONE NUMBER":".","DEAL LOCATION":"","INTERNAL NOTE":"","EXPENSE AMOUNT":"","CALCULATED PROFIT":"","EXPENSE DESCRIPTION":"","IMEI FOR SWAPPED DEAL":""}</t>
  </si>
  <si>
    <t>0233e3b4e050c5f726b964f2faf27d627724b5a3a3e7412ed19d99ec2e4d5854</t>
  </si>
  <si>
    <t>{"in":"","DATE":".","IMEI":".","NAME":"..","TIME":".","PRICE":".","STATUS":".","PAID DATE":"","RECORD_ID":"cca8277a022f4a45b9cbd8dd5492602a","Amount paid":".","DESCRIPTION":".","PHONE NUMBER":".","DEAL LOCATION":"","INTERNAL NOTE":"","EXPENSE AMOUNT":"","CALCULATED PROFIT":"","EXPENSE DESCRIPTION":"","IMEI FOR SWAPPED DEAL":""}</t>
  </si>
  <si>
    <t>8eabda07991a2bdbd927c44a607b0047af8f79965df7e2c4b3f145da7db2d60a</t>
  </si>
  <si>
    <t>{"in":"","DATE":".","IMEI":".","NAME":"..","TIME":".","PRICE":".","STATUS":".","PAID DATE":"","RECORD_ID":"eddfbab6ab734468aa310f9cae597d93","Amount paid":".","DESCRIPTION":".","PHONE NUMBER":".","DEAL LOCATION":"","INTERNAL NOTE":"","EXPENSE AMOUNT":"","CALCULATED PROFIT":"","EXPENSE DESCRIPTION":"","IMEI FOR SWAPPED DEAL":""}</t>
  </si>
  <si>
    <t>4ca8c73d190b720d9919c1c841ac917e6778f82c0930d33c3b3959a375d366a9</t>
  </si>
  <si>
    <t>{"in":"","DATE":"04/20/2026","IMEI":"DQXWYGP1WC","NAME":"AYANFE","TIME":"10:31","PRICE":"\u20a6180,000.00","STATUS":"PAID","PAID DATE":"","RECORD_ID":"95db50c1ecfd4c6ca5b5d3e2d61e1c41","Amount paid":"\u20a6180,000.00","DESCRIPTION":"SERIES 8 GPS 45MM","PHONE NUMBER":2348138108648,"DEAL LOCATION":"","INTERNAL NOTE":"","EXPENSE AMOUNT":"","CALCULATED PROFIT":"","EXPENSE DESCRIPTION":"","IMEI FOR SWAPPED DEAL":""}</t>
  </si>
  <si>
    <t>77b9dc921ed6bdc8d0d94ed9846623ef0552cb4351241a1806d493a360822eb8</t>
  </si>
  <si>
    <t>{"in":"","DATE":"04/20/2026","IMEI":354741550229463,"NAME":"PRINZE GADGETS","TIME":"10:31","PRICE":"\u20a6350,000.00","STATUS":"RETURNED","PAID DATE":"","RECORD_ID":"34e1d1cc63ce4989904ca9b691b0914e","Amount paid":"\u20a60.00","DESCRIPTION":"iPhone 16e","PHONE NUMBER":2348073229131,"DEAL LOCATION":"","INTERNAL NOTE":"","EXPENSE AMOUNT":"","CALCULATED PROFIT":"","EXPENSE DESCRIPTION":"","IMEI FOR SWAPPED DEAL":""}</t>
  </si>
  <si>
    <t>96bcbb684d721856766d89e31560d69afe704528b4e478c37a1ea86c57818ef5</t>
  </si>
  <si>
    <t>{"in":"","DATE":"4/20/2026","IMEI":358355843220282,"NAME":"BAHMS","TIME":"1:02:17 PM","PRICE":"\u20a6560,000.00","STATUS":"RETURNED","PAID DATE":"","RECORD_ID":"4c92f9fa0e964d8ab896c922418b54b1","Amount paid":"\u20a60.00","DESCRIPTION":"IPHONE 15 128GB. ESIM. 86%","PHONE NUMBER":2349069477050,"DEAL LOCATION":"","INTERNAL NOTE":"","EXPENSE AMOUNT":"","CALCULATED PROFIT":"","EXPENSE DESCRIPTION":"","IMEI FOR SWAPPED DEAL":""}</t>
  </si>
  <si>
    <t>c5312df3fc058a54069c7d1e1ed9fb5ac36709bd78dfc59b51c3cdc94eb4df1a</t>
  </si>
  <si>
    <t>{"in":"","DATE":"4/20/2026","IMEI":"","NAME":"ZEE TECH","TIME":"1:18:31 PM","PRICE":"\u20a62,500.00","STATUS":"PAID","PAID DATE":"","RECORD_ID":"3113f43e0e484392ae83fe51f43da046","Amount paid":"\u20a62,500.00","DESCRIPTION":"iPhone Air Cloud White 256GB IOS UPDATE","PHONE NUMBER":2349033724061,"DEAL LOCATION":"","INTERNAL NOTE":"","EXPENSE AMOUNT":"","CALCULATED PROFIT":"","EXPENSE DESCRIPTION":"","IMEI FOR SWAPPED DEAL":""}</t>
  </si>
  <si>
    <t>f4bfde6ec0aefc2729e1aae174e57b2ad26901d6850a6e2d72a1408e77e4e42e</t>
  </si>
  <si>
    <t>{"in":"","DATE":"4/20/2026","IMEI":"","NAME":"OSAMA","TIME":"1:18:33 PM","PRICE":"\u20a63,000.00","STATUS":"UNPAID","PAID DATE":"","RECORD_ID":"fc29e51bd79742d183dce135905e8d69","Amount paid":"","DESCRIPTION":"BLUE TITANIUM IPHONE 15 PRO IOS UPDATE","PHONE NUMBER":2348140672915,"DEAL LOCATION":"","INTERNAL NOTE":"","EXPENSE AMOUNT":"","CALCULATED PROFIT":"","EXPENSE DESCRIPTION":"","IMEI FOR SWAPPED DEAL":""}</t>
  </si>
  <si>
    <t>413fb557e0c000610ad88068d2b762e61c81dec1340fb7b1f9508fe1aeef6cb6</t>
  </si>
  <si>
    <t>{"in":"","DATE":"04/20/2026","IMEI":"","NAME":"PANKYGEE","TIME":"12:42","PRICE":"\u20a63,000.00","STATUS":"PAID","PAID DATE":"","RECORD_ID":"b060f9399ecd4bbf97d828587979a766","Amount paid":"\u20a63,000.00","DESCRIPTION":"BLACK IPHONE 17 IOS UPDATE","PHONE NUMBER":2347052247397,"DEAL LOCATION":"","INTERNAL NOTE":"","EXPENSE AMOUNT":"","CALCULATED PROFIT":"","EXPENSE DESCRIPTION":"","IMEI FOR SWAPPED DEAL":""}</t>
  </si>
  <si>
    <t>8d5483f129630fc1b1325e2a23914c8dceb374063a4a1153361674bf24fafba6</t>
  </si>
  <si>
    <t>{"in":"","DATE":"04/20/2026","IMEI":"","NAME":"HORJOR","TIME":"12:46","PRICE":"\u20a62,500.00","STATUS":"UNPAID","PAID DATE":"","RECORD_ID":"b4af31deb202471e83d5dc325d277790","Amount paid":"\u20a60.00","DESCRIPTION":"IPHONE 16 IOS UPDATE: BLACK","PHONE NUMBER":2347075152460,"DEAL LOCATION":"","INTERNAL NOTE":"","EXPENSE AMOUNT":"","CALCULATED PROFIT":"","EXPENSE DESCRIPTION":"","IMEI FOR SWAPPED DEAL":""}</t>
  </si>
  <si>
    <t>a681aa2cc8e94f6919bba4cd4ac37c6bf31c9c385153e71966257f8be1c7cd9d</t>
  </si>
  <si>
    <t>{"in":"","DATE":"04/20/2026","IMEI":358355843220282,"NAME":"BAHMS","TIME":"12:49","PRICE":"\u20a6560,000.00","STATUS":"RETURNED","PAID DATE":"","RECORD_ID":"57a236b3e2a94be1a16be3dd015a7367","Amount paid":"\u20a60.00","DESCRIPTION":"IPHONE 15 ESIM","PHONE NUMBER":2349069477050,"DEAL LOCATION":"","INTERNAL NOTE":"","EXPENSE AMOUNT":"","CALCULATED PROFIT":"","EXPENSE DESCRIPTION":"","IMEI FOR SWAPPED DEAL":""}</t>
  </si>
  <si>
    <t>2348e157ac70afa00b15a9576b838970454e33d0af2abe8400b4720eeaee76d9</t>
  </si>
  <si>
    <t>{"in":"","DATE":"04/20/2026","IMEI":353342886555290,"NAME":"DEMIGLOBAL MULTISERVICE","TIME":"13:08","PRICE":"\u20a6240,000.00","STATUS":"PAID","PAID DATE":"","RECORD_ID":"7034a96345a2470b9f3dc222a4dfb208","Amount paid":"\u20a6240,000.00","DESCRIPTION":"IPHONE 12","PHONE NUMBER":2349066720385,"DEAL LOCATION":"","INTERNAL NOTE":"","EXPENSE AMOUNT":"","CALCULATED PROFIT":"","EXPENSE DESCRIPTION":"","IMEI FOR SWAPPED DEAL":""}</t>
  </si>
  <si>
    <t>9b694460d52933e42ec3e14f7fc493b417d853ef05021840b65ca68fb03468c3</t>
  </si>
  <si>
    <t>{"in":"","DATE":"04/20/2026","IMEI":359012141800617,"NAME":"MC GADGETS","TIME":"13:54","PRICE":"\u20a6855,000.00","STATUS":"PAID","PAID DATE":"","RECORD_ID":"264b4f6c5cf94dffbe28625917f33001","Amount paid":"\u20a6855,000.00","DESCRIPTION":"iPhone 16 Plus","PHONE NUMBER":2348129564538,"DEAL LOCATION":"","INTERNAL NOTE":"","EXPENSE AMOUNT":"","CALCULATED PROFIT":"","EXPENSE DESCRIPTION":"","IMEI FOR SWAPPED DEAL":""}</t>
  </si>
  <si>
    <t>d6aa80cda00f78255036a340040165d38a8bd694640a1a0f39aa60108fed16f1</t>
  </si>
  <si>
    <t>{"in":"","DATE":"04/20/2026","IMEI":"","NAME":"IPRO GADGET","TIME":"13:56","PRICE":"\u20a63,000.00","STATUS":"PAID","PAID DATE":"","RECORD_ID":"ff60632a6e80456788c5a51cf7f6d332","Amount paid":"\u20a63,000.00","DESCRIPTION":"IPAD 11TH GEN IOS UPDATE: SILVER","PHONE NUMBER":2348109344663,"DEAL LOCATION":"","INTERNAL NOTE":"","EXPENSE AMOUNT":"","CALCULATED PROFIT":"","EXPENSE DESCRIPTION":"","IMEI FOR SWAPPED DEAL":""}</t>
  </si>
  <si>
    <t>c89ff41909e2f901001affbae2738d36f12b3654be8812c5123f248a60269620</t>
  </si>
  <si>
    <t>{"in":"","DATE":"04/20/2026","IMEI":354741550229463,"NAME":"BAHMS","TIME":"14:11","PRICE":"\u20a6345,000.00","STATUS":"RETURNED","PAID DATE":"","RECORD_ID":"b43ec15fa2f04f0aa6433928f180879a","Amount paid":"\u20a60.00","DESCRIPTION":"iPhone 16e","PHONE NUMBER":2349069477050,"DEAL LOCATION":"","INTERNAL NOTE":"","EXPENSE AMOUNT":"","CALCULATED PROFIT":"","EXPENSE DESCRIPTION":"","IMEI FOR SWAPPED DEAL":""}</t>
  </si>
  <si>
    <t>bd11210f936541e0924ebc31793fd04f41c43492353b09a65a5c14535339835e</t>
  </si>
  <si>
    <t>{"in":"","DATE":"04/20/2026","IMEI":"","NAME":"EAZI GADGETS","TIME":"14:22","PRICE":"\u20a62,500.00","STATUS":"PAID","PAID DATE":"","RECORD_ID":"7d68bbbe843a49d39f715a947b612a12","Amount paid":"\u20a62,500.00","DESCRIPTION":"IPHONE 15 PRO MAX IOS UPDATE: BLACK","PHONE NUMBER":2347066910812,"DEAL LOCATION":"","INTERNAL NOTE":"","EXPENSE AMOUNT":"","CALCULATED PROFIT":"","EXPENSE DESCRIPTION":"","IMEI FOR SWAPPED DEAL":""}</t>
  </si>
  <si>
    <t>a8e758d2fe6736f7ef6c82f9202185d042433befaf87ceb380964900b304596e</t>
  </si>
  <si>
    <t>{"in":"","DATE":"4/20/2026","IMEI":"","NAME":"MILLY","TIME":"3:30:20 PM","PRICE":"\u20a62,500.00","STATUS":"PAID","PAID DATE":"","RECORD_ID":"861c250d5dfa4569858d7679c3852085","Amount paid":"\u20a62,500.00","DESCRIPTION":"iPhone 15 Pro Black Titanium 256GB IOS UPDATE","PHONE NUMBER":9133219270,"DEAL LOCATION":"","INTERNAL NOTE":"","EXPENSE AMOUNT":"","CALCULATED PROFIT":"","EXPENSE DESCRIPTION":"","IMEI FOR SWAPPED DEAL":""}</t>
  </si>
  <si>
    <t>4707fc46d9e0656388452ef2124b1db8e68d172d0805347139e35c12f4917e29</t>
  </si>
  <si>
    <t>{"in":"","DATE":"04/20/2026","IMEI":"","NAME":"MARVITECH","TIME":"14:29","PRICE":"\u20a65,000.00","STATUS":"PAID","PAID DATE":"","RECORD_ID":"65ae9041a3314d27b9c3b0054b6a9177","Amount paid":"\u20a65,000.00","DESCRIPTION":"ICLOUD OPENING","PHONE NUMBER":2348106931715,"DEAL LOCATION":"","INTERNAL NOTE":"","EXPENSE AMOUNT":"","CALCULATED PROFIT":"","EXPENSE DESCRIPTION":"","IMEI FOR SWAPPED DEAL":""}</t>
  </si>
  <si>
    <t>79fd75a23d401f4f7dca496a4a87a0ef2cd9bb0cd01f1759b37a11f14969cf12</t>
  </si>
  <si>
    <t>{"in":"","DATE":"04/20/2026","IMEI":"","NAME":"DON","TIME":"14:57","PRICE":"\u20a62,500.00","STATUS":"PAID","PAID DATE":"","RECORD_ID":"715d214495c44d678f39b19cf1acf29a","Amount paid":"\u20a62,500.00","DESCRIPTION":"IPHONE 11 BATTERY FIX: RED","PHONE NUMBER":2348137676322,"DEAL LOCATION":"","INTERNAL NOTE":"","EXPENSE AMOUNT":"","CALCULATED PROFIT":"","EXPENSE DESCRIPTION":"","IMEI FOR SWAPPED DEAL":""}</t>
  </si>
  <si>
    <t>06dbb98f2d3075edce3cdf5a2cbe89b4a5f688faad81b9d64aafa46deef80929</t>
  </si>
  <si>
    <t>{"in":"","DATE":"04/20/2026","IMEI":"","NAME":"DAPPER","TIME":"15:24","PRICE":"\u20a62,500.00","STATUS":"PAID","PAID DATE":"","RECORD_ID":"16895cfaafa74906aa254dde1ae4dd4a","Amount paid":"\u20a62,500.00","DESCRIPTION":"IPHONE 11 IOS UPDATE: PURPLE","PHONE NUMBER":2349166394378,"DEAL LOCATION":"","INTERNAL NOTE":"","EXPENSE AMOUNT":"","CALCULATED PROFIT":"","EXPENSE DESCRIPTION":"","IMEI FOR SWAPPED DEAL":""}</t>
  </si>
  <si>
    <t>ea992d43613c5c42bb38a6b8c5b7ca66c817ded7811080acf151a705b81dace1</t>
  </si>
  <si>
    <t>{"in":"","DATE":"04/20/2026","IMEI":"","NAME":"SEMILORE","TIME":"15:41","PRICE":"\u20a625,000.00","STATUS":"PAID","PAID DATE":"","RECORD_ID":"5997cc3ca29d40618f6286e7b9e74e6e","Amount paid":"\u20a625,000.00","DESCRIPTION":"IPHONE 12 PRO MAX CHIP UNLOCKING","PHONE NUMBER":2348113366287,"DEAL LOCATION":"","INTERNAL NOTE":"","EXPENSE AMOUNT":"","CALCULATED PROFIT":"","EXPENSE DESCRIPTION":"","IMEI FOR SWAPPED DEAL":""}</t>
  </si>
  <si>
    <t>8250526af4aed1b3671f5dcd86a67db32696750bfa63ae69041ebc05ee558626</t>
  </si>
  <si>
    <t>{"in":"","DATE":"04/20/2026","IMEI":"","NAME":"SPENZER","TIME":"16:55","PRICE":"\u20a65,000.00","STATUS":"PAID","PAID DATE":"","RECORD_ID":"f06f4d96ea9d44fbb276329b6061c529","Amount paid":"\u20a65,000.00","DESCRIPTION":"IPHONE 17 PRO MAX LOCATION SPOOF","PHONE NUMBER":2349161595100,"DEAL LOCATION":"","INTERNAL NOTE":"","EXPENSE AMOUNT":"","CALCULATED PROFIT":"","EXPENSE DESCRIPTION":"","IMEI FOR SWAPPED DEAL":""}</t>
  </si>
  <si>
    <t>7bd29b279bca338d3db5beb9bf80441790de6446f7f437cbcc3ea256b1628747</t>
  </si>
  <si>
    <t>{"in":"","DATE":"04/20/2026","IMEI":355067548715440,"NAME":"FILMS JESSE","TIME":"17:04","PRICE":"\u20a61,100,000.00","STATUS":"PAID","PAID DATE":"","RECORD_ID":"3f5f79d2df3b468bba2da2f442ea847b","Amount paid":"\u20a61,100,000.00","DESCRIPTION":"iPhone 16 Pro Max ","PHONE NUMBER":2348145094483,"DEAL LOCATION":"","INTERNAL NOTE":"","EXPENSE AMOUNT":"","CALCULATED PROFIT":"","EXPENSE DESCRIPTION":"","IMEI FOR SWAPPED DEAL":""}</t>
  </si>
  <si>
    <t>1ae1d71fbcf58ed3b02bfae53edc925704733656aabe3e7ccf093acc4076f198</t>
  </si>
  <si>
    <t>{"in":"","DATE":"04/20/2026","IMEI":"","NAME":"GNF","TIME":"17:04","PRICE":"\u20a65,000.00","STATUS":"PAID","PAID DATE":"","RECORD_ID":"ea94c02e61854832b2301fed196cbfb3","Amount paid":"\u20a65,000.00","DESCRIPTION":"IWATCH STRAP FOR SERIES 8 45MM","PHONE NUMBER":2348160373526,"DEAL LOCATION":"","INTERNAL NOTE":"","EXPENSE AMOUNT":"","CALCULATED PROFIT":"","EXPENSE DESCRIPTION":"","IMEI FOR SWAPPED DEAL":""}</t>
  </si>
  <si>
    <t>fb68c088154649ecfdb43a5d022e614fb527ee82ce823eea6f2f5a601ec40ea6</t>
  </si>
  <si>
    <t>{"in":"","DATE":".","IMEI":".","NAME":"..","TIME":".","PRICE":".","STATUS":".","PAID DATE":"","RECORD_ID":"bab17d5e51584bfb92987cd5ff9ad970","Amount paid":".","DESCRIPTION":".","PHONE NUMBER":".","DEAL LOCATION":"","INTERNAL NOTE":"","EXPENSE AMOUNT":"","CALCULATED PROFIT":"","EXPENSE DESCRIPTION":"","IMEI FOR SWAPPED DEAL":""}</t>
  </si>
  <si>
    <t>15cb6d631449918967a6df75f81b6128326b09d637f9e9937d8dc4cbf3b967c4</t>
  </si>
  <si>
    <t>{"in":"","DATE":".","IMEI":".","NAME":"..","TIME":".","PRICE":".","STATUS":".","PAID DATE":"","RECORD_ID":"4677a17ecfd34c579881c92ecf8df976","Amount paid":".","DESCRIPTION":".","PHONE NUMBER":".","DEAL LOCATION":"","INTERNAL NOTE":"","EXPENSE AMOUNT":"","CALCULATED PROFIT":"","EXPENSE DESCRIPTION":"","IMEI FOR SWAPPED DEAL":""}</t>
  </si>
  <si>
    <t>68b4445babd0d6d68627aca253bce111bd086e8a709dd1b0e6709c210b9a2ca2</t>
  </si>
  <si>
    <t>{"in":"","DATE":".","IMEI":".","NAME":"..","TIME":".","PRICE":".","STATUS":".","PAID DATE":"","RECORD_ID":"6516b92e4156445d8006f99567b28790","Amount paid":".","DESCRIPTION":".","PHONE NUMBER":".","DEAL LOCATION":"","INTERNAL NOTE":"","EXPENSE AMOUNT":"","CALCULATED PROFIT":"","EXPENSE DESCRIPTION":"","IMEI FOR SWAPPED DEAL":""}</t>
  </si>
  <si>
    <t>0ab3a61d35b2221f8226eca5b69efa602d2f38c6342a5f1e7d2bfeb17c91c7f8</t>
  </si>
  <si>
    <t>2026-04-21T00:00:00+01:00</t>
  </si>
  <si>
    <t>{"in":"","DATE":"4/21/2026","IMEI":358355843220282,"NAME":"SALVAGE YARD","TIME":"10:55:01 AM","PRICE":"\u20a6560,000.00","STATUS":"PAID","PAID DATE":"","RECORD_ID":"f212afc86c3043d4b0c156ff2f6d6d5c","Amount paid":"\u20a6560,000.00","DESCRIPTION":"IPHONE 15 128GB BLACK","PHONE NUMBER":2348115308158,"DEAL LOCATION":"","INTERNAL NOTE":"","EXPENSE AMOUNT":"","CALCULATED PROFIT":"","EXPENSE DESCRIPTION":"","IMEI FOR SWAPPED DEAL":""}</t>
  </si>
  <si>
    <t>df19834ee81874c90e25fd61420d2e6bcca3fca2511c760b7d1945373bf33e75</t>
  </si>
  <si>
    <t>{"in":"","DATE":"4/21/2026","IMEI":"","NAME":"STARBOX","TIME":"11:14:48 AM","PRICE":"\u20a62,500.00","STATUS":"UNPAID","PAID DATE":"","RECORD_ID":"1d1bbb1402af46f9a0c3d9a6e2022cfc","Amount paid":"","DESCRIPTION":"iPhone 16 Pink 128GB IOS UPDATE","PHONE NUMBER":2349063620334,"DEAL LOCATION":"","INTERNAL NOTE":"","EXPENSE AMOUNT":"","CALCULATED PROFIT":"","EXPENSE DESCRIPTION":"","IMEI FOR SWAPPED DEAL":""}</t>
  </si>
  <si>
    <t>62a8ab25921648220a2461c011efed557b38939f94b7bef26242f843de80c69e</t>
  </si>
  <si>
    <t>{"in":"","DATE":"04/21/2026","IMEI":358838944190470,"NAME":"FIRSTCLASS FURNITURE","TIME":"10:52","PRICE":"\u20a61,100,000.00","STATUS":"PAID","PAID DATE":"","RECORD_ID":"c92584e9048741c9b3ed392e7f280b34","Amount paid":"\u20a61,100,000.00","DESCRIPTION":"IPHONE AIR","PHONE NUMBER":2347031845198,"DEAL LOCATION":"","INTERNAL NOTE":"","EXPENSE AMOUNT":"","CALCULATED PROFIT":"","EXPENSE DESCRIPTION":"","IMEI FOR SWAPPED DEAL":""}</t>
  </si>
  <si>
    <t>594b23ebbcc5602f89c1f69f76e3b7ca55d365103294a36fcd2404a0ba56d24f</t>
  </si>
  <si>
    <t>{"in":"","DATE":".","IMEI":".","NAME":"..","TIME":".","PRICE":".","STATUS":".","PAID DATE":"","RECORD_ID":"fe1f00bdbde045eab2ef84fe6ec63748","Amount paid":".","DESCRIPTION":".","PHONE NUMBER":".","DEAL LOCATION":"","INTERNAL NOTE":"","EXPENSE AMOUNT":"","CALCULATED PROFIT":"","EXPENSE DESCRIPTION":"","IMEI FOR SWAPPED DEAL":""}</t>
  </si>
  <si>
    <t>4eca4eceb2a124258928e2f22f0f97bedf0d8a53f8f7febda4d3b9b3808be333</t>
  </si>
  <si>
    <t>{"in":".","DATE":".","IMEI":".","NAME":"..","TIME":".","PRICE":".","STATUS":".","PAID DATE":"","RECORD_ID":"e8392318cdca47a0ae62c135b3de17c5","Amount paid":".","DESCRIPTION":".","PHONE NUMBER":".","DEAL LOCATION":"","INTERNAL NOTE":"","EXPENSE AMOUNT":"","CALCULATED PROFIT":"","EXPENSE DESCRIPTION":"","IMEI FOR SWAPPED DEAL":""}</t>
  </si>
  <si>
    <t>37c6547497077a0e277595c3b9b37d1d9cfa4cf36fff54b9a65e51da7a64efaa</t>
  </si>
  <si>
    <t>{"in":"","DATE":".","IMEI":".","NAME":"..","TIME":".","PRICE":".","STATUS":".","PAID DATE":"","RECORD_ID":"b0b328f68bd348929130f8d0628b7fe9","Amount paid":".","DESCRIPTION":".","PHONE NUMBER":".","DEAL LOCATION":"","INTERNAL NOTE":"","EXPENSE AMOUNT":"","CALCULATED PROFIT":"","EXPENSE DESCRIPTION":"","IMEI FOR SWAPPED DEAL":""}</t>
  </si>
  <si>
    <t>46c05ead9d43069a4ade633e3d3bafd2645ec6f7a88fa298d6b4a1a9fb0f06f6</t>
  </si>
  <si>
    <t>{"in":"","DATE":"04/21/2026","IMEI":"","NAME":"YUSUF OLATUNJI","TIME":"11:52","PRICE":"\u20a64,000.00","STATUS":"PAID","PAID DATE":"","RECORD_ID":"bd65531cf1aa45e6a4c43600f70a731f","Amount paid":"\u20a64,000.00","DESCRIPTION":"LOCATION SPOOF","PHONE NUMBER":"","DEAL LOCATION":"","INTERNAL NOTE":"","EXPENSE AMOUNT":"","CALCULATED PROFIT":"","EXPENSE DESCRIPTION":"","IMEI FOR SWAPPED DEAL":""}</t>
  </si>
  <si>
    <t>e97db24d329b81e65c3e19119b332140604ff93244736df26bf5320cfcd8b486</t>
  </si>
  <si>
    <t>{"in":"","DATE":"04/21/2026","IMEI":"","NAME":"HALLAND APH'25","TIME":"12:07","PRICE":"\u20a65,000.00","STATUS":"PAID","PAID DATE":"","RECORD_ID":"4577959bfa554936a6526f0982c3be05","Amount paid":"\u20a65,000.00","DESCRIPTION":"ICLOUD OPENING: NIGERIA","PHONE NUMBER":2347036526897,"DEAL LOCATION":"","INTERNAL NOTE":"","EXPENSE AMOUNT":"","CALCULATED PROFIT":"","EXPENSE DESCRIPTION":"","IMEI FOR SWAPPED DEAL":""}</t>
  </si>
  <si>
    <t>05bd21f2544bce85624588aba012f7df3c1c2f7f162bd70950c02e420daae652</t>
  </si>
  <si>
    <t>{"in":"","DATE":"4/21/2026","IMEI":"","NAME":"MARVY T.M","TIME":"3:04:04 PM","PRICE":"\u20a62,500.00","STATUS":"PAID","PAID DATE":"","RECORD_ID":"a7e497ab71384429b8c0ce95cc9ca8dd","Amount paid":"\u20a62,500.00","DESCRIPTION":"iPhone 13 Midnight IOS UPDATE","PHONE NUMBER":2349037388643,"DEAL LOCATION":"","INTERNAL NOTE":"","EXPENSE AMOUNT":"","CALCULATED PROFIT":"","EXPENSE DESCRIPTION":"","IMEI FOR SWAPPED DEAL":""}</t>
  </si>
  <si>
    <t>a0e665a7510f72d9cf83e3ea472925dba7f06b3d2de328129d65e391d881159a</t>
  </si>
  <si>
    <t>{"in":"","DATE":"4/21/2026","IMEI":"","NAME":"MARVY T.M","TIME":"4:04:58 PM","PRICE":"\u20a62,500.00","STATUS":"PAID","PAID DATE":"","RECORD_ID":"15ffb724ed274b268cf719ed49fe790f","Amount paid":"\u20a62,500.00","DESCRIPTION":"iPhone 11 White 64GB IOS UPDATE","PHONE NUMBER":2349037388643,"DEAL LOCATION":"","INTERNAL NOTE":"","EXPENSE AMOUNT":"","CALCULATED PROFIT":"","EXPENSE DESCRIPTION":"","IMEI FOR SWAPPED DEAL":""}</t>
  </si>
  <si>
    <t>65e15178021ff486aac983980dd1998b660509d15524c9765f1103ecfe05d7f1</t>
  </si>
  <si>
    <t>{"in":"","DATE":"4/21/2026","IMEI":"","NAME":"MARVY T.M","TIME":"5:34:34 PM","PRICE":"\u20a62,500.00","STATUS":"PAID","PAID DATE":"","RECORD_ID":"972d7161283744bcb0a3d4083be1e833","Amount paid":"\u20a62,500.00","DESCRIPTION":"iPhone 12 Pro Graphite 128GB IOS UPDATE ","PHONE NUMBER":2349037388643,"DEAL LOCATION":"","INTERNAL NOTE":"","EXPENSE AMOUNT":"","CALCULATED PROFIT":"","EXPENSE DESCRIPTION":"","IMEI FOR SWAPPED DEAL":""}</t>
  </si>
  <si>
    <t>b77659dc81ccfe7b4bde3ed9be103f130b663f788e9f40a519fa54f915c59368</t>
  </si>
  <si>
    <t>{"in":"","DATE":"4/21/2026","IMEI":"","NAME":"SAMMY CONCEPT","TIME":"5:57:53 PM","PRICE":"\u20a62,500.00","STATUS":"UNPAID","PAID DATE":"","RECORD_ID":"878a32279ea3469e97ac577ca25c7020","Amount paid":"","DESCRIPTION":"iPhone 16 Plus Black 128GB IOS UPDATE","PHONE NUMBER":2349037002617,"DEAL LOCATION":"","INTERNAL NOTE":"","EXPENSE AMOUNT":"","CALCULATED PROFIT":"","EXPENSE DESCRIPTION":"","IMEI FOR SWAPPED DEAL":""}</t>
  </si>
  <si>
    <t>964af8293484c04354e5abdf2c636583ebcc6b8fd4344fa0d3843c7d432250fc</t>
  </si>
  <si>
    <t>{"in":"","DATE":"4/21/2026","IMEI":"","NAME":"IGEE","TIME":"6:22:54 PM","PRICE":"\u20a63,000.00","STATUS":"PAID","PAID DATE":"","RECORD_ID":"d972aeb22bfa44ef85676312db1e8984","Amount paid":"\u20a63,000.00","DESCRIPTION":"iPhone 16 Ultramarine 128GB IOS UPDATE","PHONE NUMBER":"234 707 173 6488","DEAL LOCATION":"","INTERNAL NOTE":"","EXPENSE AMOUNT":"","CALCULATED PROFIT":"","EXPENSE DESCRIPTION":"","IMEI FOR SWAPPED DEAL":""}</t>
  </si>
  <si>
    <t>65ae375399b6d07d3fe76f2da390500ef98529cc521c8edd473b74b08c161eef</t>
  </si>
  <si>
    <t>{"in":"","DATE":".","IMEI":".","NAME":"..","TIME":".","PRICE":".","STATUS":".","PAID DATE":"","RECORD_ID":"e7272db6b45749baa33ab1cc1f06cbc1","Amount paid":".","DESCRIPTION":".","PHONE NUMBER":".","DEAL LOCATION":"","INTERNAL NOTE":"","EXPENSE AMOUNT":"","CALCULATED PROFIT":"","EXPENSE DESCRIPTION":"","IMEI FOR SWAPPED DEAL":""}</t>
  </si>
  <si>
    <t>382c111fc38c96289b611d2d88559f67a20d7cb19a7835ca33fb65e8c4be705c</t>
  </si>
  <si>
    <t>{"in":".","DATE":".","IMEI":".","NAME":"..","TIME":".","PRICE":".","STATUS":".","PAID DATE":"","RECORD_ID":"b9ed92d8614b4d6a8caaba715148b386","Amount paid":".","DESCRIPTION":".","PHONE NUMBER":".","DEAL LOCATION":"","INTERNAL NOTE":"","EXPENSE AMOUNT":"","CALCULATED PROFIT":"","EXPENSE DESCRIPTION":"","IMEI FOR SWAPPED DEAL":""}</t>
  </si>
  <si>
    <t>8ca8be11db417d11ed941b60351f40efbfe05b1db600c2b79d63159a93f7dc15</t>
  </si>
  <si>
    <t>{"in":"","DATE":".","IMEI":".","NAME":"..","TIME":".","PRICE":".","STATUS":".","PAID DATE":"","RECORD_ID":"72ddfdd191c4437482999d202d49ac35","Amount paid":".","DESCRIPTION":".","PHONE NUMBER":".","DEAL LOCATION":"","INTERNAL NOTE":"","EXPENSE AMOUNT":"","CALCULATED PROFIT":"","EXPENSE DESCRIPTION":"","IMEI FOR SWAPPED DEAL":""}</t>
  </si>
  <si>
    <t>ba9d3e9bba22adb695742cc14b6faa475b6ace455bdbd6ddea93f64bc51afea7</t>
  </si>
  <si>
    <t>{"in":"","DATE":"04/21/2026","IMEI":356478843889559,"NAME":"MARVY T.M","TIME":"20:13","PRICE":"\u20a6355,000.00","STATUS":"PART PAYMENT","PAID DATE":"","RECORD_ID":"1af677ea2d744772910ea9f7a94f9ad6","Amount paid":"\u20a6172,500.00","DESCRIPTION":"IPHONE 12 PRO","PHONE NUMBER":2349037388643,"DEAL LOCATION":"","INTERNAL NOTE":"","EXPENSE AMOUNT":"","CALCULATED PROFIT":"","EXPENSE DESCRIPTION":"","IMEI FOR SWAPPED DEAL":""}</t>
  </si>
  <si>
    <t>a70a472c155df878d6330b56bb87683df3fdeea63ba7e185c41a631c985163cc</t>
  </si>
  <si>
    <t>{"in":"","DATE":"4/22/2026","IMEI":"","NAME":"DAH UNIQUE","TIME":"11:23:15 AM","PRICE":"\u20a62,500.00","STATUS":"UNPAID","PAID DATE":"","RECORD_ID":"13bf145699194c99a17ac80cf9a436f3","Amount paid":"","DESCRIPTION":"IPHONE 12 RED IOS UPDATE","PHONE NUMBER":2349070536253,"DEAL LOCATION":"","INTERNAL NOTE":"","EXPENSE AMOUNT":"","CALCULATED PROFIT":"","EXPENSE DESCRIPTION":"","IMEI FOR SWAPPED DEAL":""}</t>
  </si>
  <si>
    <t>6e4f006e9ae813e88faef4ef252d147919947b2822976dc4bf61ed47dedcabcb</t>
  </si>
  <si>
    <t>2026-04-22T00:00:00+01:00</t>
  </si>
  <si>
    <t>{"in":"","DATE":"04/22/2026","IMEI":"","NAME":"IGEE","TIME":"10:38","PRICE":"\u20a63,000.00","STATUS":"PAID","PAID DATE":"","RECORD_ID":"d7e71a38b0034350ab2b224f321f1190","Amount paid":"\u20a63,000.00","DESCRIPTION":"IPHONE 16 IOS UPDATE: ULTRAMARINE BLUE: P + E","PHONE NUMBER":2347071736488,"DEAL LOCATION":"","INTERNAL NOTE":"","EXPENSE AMOUNT":"","CALCULATED PROFIT":"","EXPENSE DESCRIPTION":"","IMEI FOR SWAPPED DEAL":""}</t>
  </si>
  <si>
    <t>eb45ebafdfa358266177fcd4251095e5a96196f9c0aa4814233dea93d19d0969</t>
  </si>
  <si>
    <t>{"in":"","DATE":"04/22/2026","IMEI":"","NAME":"MASTERY MOBILE","TIME":"10:45","PRICE":"\u20a6130,000.00","STATUS":"PAID","PAID DATE":"","RECORD_ID":"48dd0617b9d84dceb67fae43d64a961d","Amount paid":"\u20a6130,000.00","DESCRIPTION":"130K BALANCE FOR FLIMS IPHONE 16 PRO MAX ( AFTER REMOVING 16 PRO BALANCE)","PHONE NUMBER":2348027964718,"DEAL LOCATION":"","INTERNAL NOTE":"","EXPENSE AMOUNT":"","CALCULATED PROFIT":"","EXPENSE DESCRIPTION":"","IMEI FOR SWAPPED DEAL":""}</t>
  </si>
  <si>
    <t>fb1f3796903be41aa5c208d263b078b8bcc6712ef85cf2754554816a2faba984</t>
  </si>
  <si>
    <t>{"in":"","DATE":"04/22/2026","IMEI":"","NAME":"TEE BEST GADGET","TIME":"11:15","PRICE":"\u20a62,500.00","STATUS":"UNPAID","PAID DATE":"","RECORD_ID":"f9bbdd20fb3640a5acdc13dbdd62537a","Amount paid":"\u20a60.00","DESCRIPTION":"IPHONE 17 PRO IOS UPDATE: DEEP PURPLE","PHONE NUMBER":"0803 762 4066","DEAL LOCATION":"","INTERNAL NOTE":"","EXPENSE AMOUNT":"","CALCULATED PROFIT":"","EXPENSE DESCRIPTION":"","IMEI FOR SWAPPED DEAL":""}</t>
  </si>
  <si>
    <t>f609fefd706e9fcbe2bf0d547d2793571af70a1b9291588f0b81d7653af580e9</t>
  </si>
  <si>
    <t>{"in":"","DATE":"04/22/2026","IMEI":"","NAME":"DRAKE DEMO","TIME":"11:22","PRICE":"\u20a65,000.00","STATUS":"PAID","PAID DATE":"","RECORD_ID":"0fe6a72c7f424b3083b60effe1059dd8","Amount paid":"\u20a65,000.00","DESCRIPTION":"ICLOUD OPENING","PHONE NUMBER":2347030489956,"DEAL LOCATION":"","INTERNAL NOTE":"","EXPENSE AMOUNT":"","CALCULATED PROFIT":"","EXPENSE DESCRIPTION":"","IMEI FOR SWAPPED DEAL":""}</t>
  </si>
  <si>
    <t>73f0dfceed8a92c0e05398818ea6373ae34638a1a8484742b4f63f31477f8d8a</t>
  </si>
  <si>
    <t>{"in":"","DATE":"04/22/2026","IMEI":"","NAME":"MBENZ","TIME":"11:27","PRICE":"\u20a655,000.00","STATUS":"PAID","PAID DATE":"","RECORD_ID":"1118fbadabba4ad8a92f60249a86ab94","Amount paid":"\u20a655,000.00","DESCRIPTION":"INTEREST ON MONEY BORROWED","PHONE NUMBER":2349137123168,"DEAL LOCATION":"","INTERNAL NOTE":"","EXPENSE AMOUNT":"","CALCULATED PROFIT":"","EXPENSE DESCRIPTION":"","IMEI FOR SWAPPED DEAL":""}</t>
  </si>
  <si>
    <t>1a71b583be5a1bb720905ad675f135ec878322f9da074d5a3eb0fdb99435b13a</t>
  </si>
  <si>
    <t>{"in":"","DATE":"04/22/2026","IMEI":"","NAME":"CH4","TIME":"11:41","PRICE":"\u20a62,500.00","STATUS":"PAID","PAID DATE":"","RECORD_ID":"a64abeb5462d48988a94f7f27b07ae89","Amount paid":"\u20a62,500.00","DESCRIPTION":"iPhone 15 Pro IOS UPDATE: Blue Titanium","PHONE NUMBER":2348131941406,"DEAL LOCATION":"","INTERNAL NOTE":"","EXPENSE AMOUNT":"","CALCULATED PROFIT":"","EXPENSE DESCRIPTION":"","IMEI FOR SWAPPED DEAL":""}</t>
  </si>
  <si>
    <t>9908efd29a618dc8e5057a800d9f48d19dca1b78ca76843646f502232502a6dd</t>
  </si>
  <si>
    <t>{"in":"","DATE":"04/22/2026","IMEI":"","NAME":"MOLYM VENTURES","TIME":"11:43","PRICE":"\u20a635,000.00","STATUS":"PAID","PAID DATE":"","RECORD_ID":"bba576f0dcca4ba7b200ff49d421d56f","Amount paid":"\u20a635,000.00","DESCRIPTION":"5 UNITS OF CHIP: YELLOW AND BALANCE OF LAST CHIP PURCHASE","PHONE NUMBER":2348106236036,"DEAL LOCATION":"","INTERNAL NOTE":"","EXPENSE AMOUNT":"","CALCULATED PROFIT":"","EXPENSE DESCRIPTION":"","IMEI FOR SWAPPED DEAL":""}</t>
  </si>
  <si>
    <t>5b74c0ece4de37934faa953b51ec9d65f63ae17481f7a7ba1d2868a44a619a59</t>
  </si>
  <si>
    <t>{"in":"","DATE":"4/22/2026","IMEI":"","NAME":"ACTIVE","TIME":"2:59:41 PM","PRICE":"\u20a62,500.00","STATUS":"UNPAID","PAID DATE":"","RECORD_ID":"7448b04dbae445f69695734e26e4952a","Amount paid":"","DESCRIPTION":"IPHONE XR BLUE IOS UPDATE ","PHONE NUMBER":2348145310779,"DEAL LOCATION":"","INTERNAL NOTE":"","EXPENSE AMOUNT":"","CALCULATED PROFIT":"","EXPENSE DESCRIPTION":"","IMEI FOR SWAPPED DEAL":""}</t>
  </si>
  <si>
    <t>2e0aafeb2f6ad01a3788780559506c81b8ce1351c8c0cb0c311d02c88440c29e</t>
  </si>
  <si>
    <t>{"in":"","DATE":"04/22/2026","IMEI":"","NAME":"WIZZY","TIME":"14:01","PRICE":"\u20a62,500.00","STATUS":"UNPAID","PAID DATE":"","RECORD_ID":"9038001b9e034303a44d50ad17fc00d6","Amount paid":"\u20a60.00","DESCRIPTION":"IPHONE 16 IOS UPDATE: TEAL: SENT WIZZY","PHONE NUMBER":2348108686713,"DEAL LOCATION":"","INTERNAL NOTE":"","EXPENSE AMOUNT":"","CALCULATED PROFIT":"","EXPENSE DESCRIPTION":"","IMEI FOR SWAPPED DEAL":""}</t>
  </si>
  <si>
    <t>e729f081e2720b91574a9f74ee71f0bf319ecf67b1ac710e0b94b94d729b702f</t>
  </si>
  <si>
    <t>{"in":"","DATE":"4/22/2026","IMEI":"","NAME":"MARVY FCG","TIME":"3:35:42 PM","PRICE":"\u20a62,500.00","STATUS":"PAID","PAID DATE":"","RECORD_ID":"45c63e3280694261a0aa1524364fd8fb","Amount paid":"\u20a62,500.00","DESCRIPTION":"iPhone 14 Pro Max Silver 256GB IOS UPDATE","PHONE NUMBER":2348138375326,"DEAL LOCATION":"","INTERNAL NOTE":"","EXPENSE AMOUNT":"","CALCULATED PROFIT":"","EXPENSE DESCRIPTION":"","IMEI FOR SWAPPED DEAL":""}</t>
  </si>
  <si>
    <t>aee143516fd73a1a2dff507366020b8146770bc89a0562d373b77f3569a58edb</t>
  </si>
  <si>
    <t>{"in":"","DATE":"04/22/2026","IMEI":"","NAME":"KAYWISE","TIME":"15:10","PRICE":"\u20a62,000.00","STATUS":"PAID","PAID DATE":"","RECORD_ID":"d1cc7edd1d524c48aa0b76674c3e725c","Amount paid":"\u20a62,000.00","DESCRIPTION":"iPhone 17 Pro Cosmic Orange IOS UPDATE","PHONE NUMBER":2349032614464,"DEAL LOCATION":"","INTERNAL NOTE":"","EXPENSE AMOUNT":"","CALCULATED PROFIT":"","EXPENSE DESCRIPTION":"","IMEI FOR SWAPPED DEAL":""}</t>
  </si>
  <si>
    <t>19989a50a72b67a52c06aeb6b1547cde8a6d7d6a80b490cfa08331122d2209a1</t>
  </si>
  <si>
    <t>{"in":"","DATE":"4/22/2026","IMEI":"","NAME":"IPRO GADGET","TIME":"4:11:44 PM","PRICE":"\u20a62,500.00","STATUS":"UNPAID","PAID DATE":"","RECORD_ID":"42db7488a95d409b82c83473af3be3ff","Amount paid":"","DESCRIPTION":"iPhone 14 Purple 128GB IOS UPDATE","PHONE NUMBER":2348109344663,"DEAL LOCATION":"","INTERNAL NOTE":"","EXPENSE AMOUNT":"","CALCULATED PROFIT":"","EXPENSE DESCRIPTION":"","IMEI FOR SWAPPED DEAL":""}</t>
  </si>
  <si>
    <t>eab9bdd962210019e3133a55148563308eb716bc1710b1ad43aef8655758bc89</t>
  </si>
  <si>
    <t>{"in":"","DATE":".","IMEI":".","NAME":"..","TIME":".","PRICE":".","STATUS":".","PAID DATE":"","RECORD_ID":"6a82af9f7f104d1bad82a316f6d22c74","Amount paid":".","DESCRIPTION":".","PHONE NUMBER":".","DEAL LOCATION":"","INTERNAL NOTE":"","EXPENSE AMOUNT":"","CALCULATED PROFIT":"","EXPENSE DESCRIPTION":"","IMEI FOR SWAPPED DEAL":""}</t>
  </si>
  <si>
    <t>1628e8125f29d9154af9ca3a899dc59c5eddf2143417556ab641b9603f8d034e</t>
  </si>
  <si>
    <t>{"in":"","DATE":".","IMEI":".","NAME":".","TIME":".","PRICE":".","STATUS":".","PAID DATE":"","RECORD_ID":"9c71280a63414b5b807fd0d34f59e85d","Amount paid":".","DESCRIPTION":".","PHONE NUMBER":".","DEAL LOCATION":"","INTERNAL NOTE":"","EXPENSE AMOUNT":"","CALCULATED PROFIT":"","EXPENSE DESCRIPTION":"","IMEI FOR SWAPPED DEAL":""}</t>
  </si>
  <si>
    <t>82227b397d3e3b7ecd74e7a0b02582ab5fd267d5bdbca6ad3021f17129ea9efd</t>
  </si>
  <si>
    <t>{"in":"","DATE":".","IMEI":".","NAME":".","TIME":".","PRICE":".","STATUS":".","PAID DATE":"","RECORD_ID":"0b4fdcb48d364675919edbfd3e43597f","Amount paid":".","DESCRIPTION":".","PHONE NUMBER":".","DEAL LOCATION":"","INTERNAL NOTE":"","EXPENSE AMOUNT":"","CALCULATED PROFIT":"","EXPENSE DESCRIPTION":"","IMEI FOR SWAPPED DEAL":""}</t>
  </si>
  <si>
    <t>0c3b73ee9797fbe86562ae7b51f5aeecc15fcf6402f16b6d35048468c228a335</t>
  </si>
  <si>
    <t>{"in":"","DATE":"04/22/2026","IMEI":351188229101645,"NAME":"DENIS4WARD","TIME":"16:42","PRICE":"\u20a6650,000.00","STATUS":"PAID","PAID DATE":"","RECORD_ID":"23c1fd795553499b8ed7d046646765d0","Amount paid":"\u20a6650,000.00","DESCRIPTION":"iPhone 15 Pro","PHONE NUMBER":2348038551439,"DEAL LOCATION":"","INTERNAL NOTE":"","EXPENSE AMOUNT":"","CALCULATED PROFIT":"","EXPENSE DESCRIPTION":"","IMEI FOR SWAPPED DEAL":""}</t>
  </si>
  <si>
    <t>30e110101bb4cdca8262e6380bfef604c0645c17e9e90777f13d960bd7b8daab</t>
  </si>
  <si>
    <t>{"in":"","DATE":"4/22/2026","IMEI":350114363080305,"NAME":"NEXUS","TIME":"5:43:08 PM","PRICE":"","STATUS":"RETURNED","PAID DATE":"","RECORD_ID":"7d30bf0700b849b2a7f18fd57c0e9e7a","Amount paid":"\u20a60.00","DESCRIPTION":"iPhone 14 Pro Deep Purple 256GB","PHONE NUMBER":"","DEAL LOCATION":"","INTERNAL NOTE":"","EXPENSE AMOUNT":"","CALCULATED PROFIT":"","EXPENSE DESCRIPTION":"","IMEI FOR SWAPPED DEAL":""}</t>
  </si>
  <si>
    <t>179784a2b85a6fcd8704adc0574b5f9b833239c943472f6c91b9135e8f2e6aef</t>
  </si>
  <si>
    <t>{"in":"","DATE":".","IMEI":".","NAME":"..","TIME":".","PRICE":".","STATUS":".","PAID DATE":"","RECORD_ID":"768ee47248b345a184430b3c9fb7be62","Amount paid":".","DESCRIPTION":".","PHONE NUMBER":".","DEAL LOCATION":"","INTERNAL NOTE":"","EXPENSE AMOUNT":"","CALCULATED PROFIT":"","EXPENSE DESCRIPTION":"","IMEI FOR SWAPPED DEAL":""}</t>
  </si>
  <si>
    <t>2dde51d90727978d410fa13c0934b022719c784b743b44b2096d1fadcc5abfea</t>
  </si>
  <si>
    <t>{"in":"","DATE":".","IMEI":".","NAME":"..","TIME":".","PRICE":".","STATUS":".","PAID DATE":"","RECORD_ID":"4afbe1233e084610b40bcd5a01ef8141","Amount paid":".","DESCRIPTION":".","PHONE NUMBER":".","DEAL LOCATION":"","INTERNAL NOTE":"","EXPENSE AMOUNT":"","CALCULATED PROFIT":"","EXPENSE DESCRIPTION":"","IMEI FOR SWAPPED DEAL":""}</t>
  </si>
  <si>
    <t>0751997a8440b6af1926d4f234db803c247f1ec72b689152a65f3f74751952ea</t>
  </si>
  <si>
    <t>{"in":"","DATE":"4/23/2026","IMEI":357136795531251,"NAME":"MD GADGS","TIME":"12:02:52 PM","PRICE":"\u20a6550,000.00","STATUS":"unpaid","PAID DATE":"","RECORD_ID":"0ec5d2a41e654316b55859cd5c6ed642","Amount paid":"","DESCRIPTION":"iPhone 15 Plus Black 128GB","PHONE NUMBER":2348166860603,"DEAL LOCATION":"","INTERNAL NOTE":"","EXPENSE AMOUNT":"","CALCULATED PROFIT":"","EXPENSE DESCRIPTION":"","IMEI FOR SWAPPED DEAL":""}</t>
  </si>
  <si>
    <t>0001f8903672682e4141d801950c1cada0cfa4ddc21d2163b520812f54ea5a78</t>
  </si>
  <si>
    <t>{"in":"","DATE":"04/23/2026","IMEI":"","NAME":"WIDAD","TIME":"11:51","PRICE":"\u20a63,000.00","STATUS":"UNPAID","PAID DATE":"","RECORD_ID":"3dec1fa976b8467b8d4ffac1fc35c308","Amount paid":"\u20a60.00","DESCRIPTION":"IPHONE 17 PRO MAX IOS UPDATE: SILVER: ESIM ONLY","PHONE NUMBER":2347062514545,"DEAL LOCATION":"","INTERNAL NOTE":"","EXPENSE AMOUNT":"","CALCULATED PROFIT":"","EXPENSE DESCRIPTION":"","IMEI FOR SWAPPED DEAL":""}</t>
  </si>
  <si>
    <t>483c3f4f643c1dfb664b1ed83a9af25b3a28a8c01b654e0c4fe40382f92a83cf</t>
  </si>
  <si>
    <t>2026-04-23T00:00:00+01:00</t>
  </si>
  <si>
    <t>{"in":"","DATE":"04/23/2026","IMEI":"","NAME":"TECH JAR","TIME":"11:55","PRICE":"\u20a62,500.00","STATUS":"PAID","PAID DATE":"","RECORD_ID":"0aca9e02c7e04760b2ec7074969863b3","Amount paid":"\u20a62,500.00","DESCRIPTION":"IPHONE 17 PRO MAX IOS UPDATE: SILVER","PHONE NUMBER":2347047512596,"DEAL LOCATION":"","INTERNAL NOTE":"","EXPENSE AMOUNT":"","CALCULATED PROFIT":"","EXPENSE DESCRIPTION":"","IMEI FOR SWAPPED DEAL":""}</t>
  </si>
  <si>
    <t>b2178abb12118add2388e9a24d1f6fe65874ece3cc6fbcd8d79e9952c67300ba</t>
  </si>
  <si>
    <t>{"in":"","DATE":"04/23/2026","IMEI":"","NAME":"DAPPER","TIME":"11:55","PRICE":"\u20a62,500.00","STATUS":"RETURNED","PAID DATE":"","RECORD_ID":"0ebe9ed973ef4cc3978207bbeed258e3","Amount paid":"\u20a60.00","DESCRIPTION":"IPHONE 17 PRO: ORANGE","PHONE NUMBER":2349166394378,"DEAL LOCATION":"","INTERNAL NOTE":"","EXPENSE AMOUNT":"","CALCULATED PROFIT":"","EXPENSE DESCRIPTION":"","IMEI FOR SWAPPED DEAL":""}</t>
  </si>
  <si>
    <t>b7a5126c78a1d42cba742463f831a40cd22f3f96af592207c040ca8e5b6486d7</t>
  </si>
  <si>
    <t>{"in":"","DATE":"04/23/2026","IMEI":"","NAME":"FORMULA","TIME":"12:02","PRICE":"\u20a62,500.00","STATUS":"PAID","PAID DATE":"","RECORD_ID":"da76895bd3134530b6b7d4de15d4533c","Amount paid":"\u20a62,500.00","DESCRIPTION":"IPHONE 13 PRO IOS FIX BATTERY UPDATE","PHONE NUMBER":2347067612418,"DEAL LOCATION":"","INTERNAL NOTE":"","EXPENSE AMOUNT":"","CALCULATED PROFIT":"","EXPENSE DESCRIPTION":"","IMEI FOR SWAPPED DEAL":""}</t>
  </si>
  <si>
    <t>ee8aa210fc78077a2d60273f7d1f241267c1f2e30ec25cf0241b5fe87ec39807</t>
  </si>
  <si>
    <t>{"in":"","DATE":"04/23/2026","IMEI":357170546854167,"NAME":"ZEE TECH","TIME":"12:06","PRICE":"\u20a6530,000.00","STATUS":"PART PAYMENT","PAID DATE":"","RECORD_ID":"81d4b9faf3db447cbb8ac1d8ca8392f7","Amount paid":"\u20a6487,500.00","DESCRIPTION":"IPHONE 14 PRO P + E","PHONE NUMBER":2349033724061,"DEAL LOCATION":"","INTERNAL NOTE":"","EXPENSE AMOUNT":"","CALCULATED PROFIT":"","EXPENSE DESCRIPTION":"","IMEI FOR SWAPPED DEAL":""}</t>
  </si>
  <si>
    <t>e1d7ed992c9c1e139ee40742b2a6ed3adbd9e2b5534bdb05192f8b2606d72734</t>
  </si>
  <si>
    <t>{"in":"","DATE":"04/23/2026","IMEI":350114363080305,"NAME":"OZZY","TIME":"14:26","PRICE":"\u20a6655,000.00","STATUS":"RETURNED","PAID DATE":"","RECORD_ID":"0b92061eaa704ac1a05bda8e6ee71797","Amount paid":"\u20a60.00","DESCRIPTION":"IPHONE 14 PRO P + E","PHONE NUMBER":2348148670276,"DEAL LOCATION":"","INTERNAL NOTE":"","EXPENSE AMOUNT":"","CALCULATED PROFIT":"","EXPENSE DESCRIPTION":"","IMEI FOR SWAPPED DEAL":""}</t>
  </si>
  <si>
    <t>2a05421267234e51e9ac8497c3f3dccc720d3dfb82e1a53e034107dd5e246511</t>
  </si>
  <si>
    <t>{"in":"","DATE":"04/23/2026","IMEI":"","NAME":"KAYWISE","TIME":"15:14","PRICE":"\u20a62,000.00","STATUS":"PAID","PAID DATE":"","RECORD_ID":"ada988509fc34a71a2e0794f2dbac4e8","Amount paid":"\u20a62,000.00","DESCRIPTION":"IPHONE 17 AIR SPACE BLACK IOS UPDATE","PHONE NUMBER":2349032614464,"DEAL LOCATION":"","INTERNAL NOTE":"","EXPENSE AMOUNT":"","CALCULATED PROFIT":"","EXPENSE DESCRIPTION":"","IMEI FOR SWAPPED DEAL":""}</t>
  </si>
  <si>
    <t>0ba045e552217983d7d5d5d5569cc432037cd19fb5481bd258834650fec0a0f3</t>
  </si>
  <si>
    <t>{"in":"","DATE":"04/23/2026","IMEI":"","NAME":"KAYWISE","TIME":"15:16","PRICE":"\u20a62,000.00","STATUS":"PAID","PAID DATE":"","RECORD_ID":"0346a486a1cf48a0a4b99280db948e2f","Amount paid":"\u20a62,000.00","DESCRIPTION":"IPHONE 14 PRO DEEP PURPLE 128GB IOS UPDATE","PHONE NUMBER":2349032614464,"DEAL LOCATION":"","INTERNAL NOTE":"","EXPENSE AMOUNT":"","CALCULATED PROFIT":"","EXPENSE DESCRIPTION":"","IMEI FOR SWAPPED DEAL":""}</t>
  </si>
  <si>
    <t>ce4ff5c98149693e07d5bd9ff74b037d856d9ddc033a680d69775dbbede7f194</t>
  </si>
  <si>
    <t>{"in":"","DATE":"04/23/2026","IMEI":"","NAME":"OLUBAYO IFE","TIME":"15:55","PRICE":"\u20a628,000.00","STATUS":"PAID","PAID DATE":"","RECORD_ID":"6001632aa4104969848ef3901ac34f51","Amount paid":"\u20a628,000.00","DESCRIPTION":"CHIP UNLOCK FOR IPHONE 13 PRO MAX","PHONE NUMBER":2347071307974,"DEAL LOCATION":"","INTERNAL NOTE":"","EXPENSE AMOUNT":"","CALCULATED PROFIT":"","EXPENSE DESCRIPTION":"","IMEI FOR SWAPPED DEAL":""}</t>
  </si>
  <si>
    <t>77c6eab86fe488cd68bd490162a9ab0905fa68271e2f6cf5df9613c4d6531503</t>
  </si>
  <si>
    <t>{"in":"","DATE":"04/23/2026","IMEI":"","NAME":"LOVETH KAYWISE","TIME":"17:00","PRICE":"\u20a62,500.00","STATUS":"UNPAID","PAID DATE":"","RECORD_ID":"4e8d357a02de4c88ac41888067ad3aa0","Amount paid":"\u20a60.00","DESCRIPTION":"IPHONE 16 PRO IOS UPDATE: DESERT TITANIUM","PHONE NUMBER":2348147148695,"DEAL LOCATION":"","INTERNAL NOTE":"","EXPENSE AMOUNT":"","CALCULATED PROFIT":"","EXPENSE DESCRIPTION":"","IMEI FOR SWAPPED DEAL":""}</t>
  </si>
  <si>
    <t>b98129acb03c44f329acd0d7aa54a94950b3ae9cdebec9a47a19a0388628ed86</t>
  </si>
  <si>
    <t>{"in":"","DATE":"04/23/2026","IMEI":"","NAME":"KHING [GOMEZ STORE]","TIME":"18:14","PRICE":"\u20a64,000.00","STATUS":"UNPAID","PAID DATE":"","RECORD_ID":"0c5df8ff9ebc40e8bd7a94c1949a43dc","Amount paid":"\u20a60.00","DESCRIPTION":"WHATSAPP TRANDFER","PHONE NUMBER":2349059122301,"DEAL LOCATION":"","INTERNAL NOTE":"","EXPENSE AMOUNT":"","CALCULATED PROFIT":"","EXPENSE DESCRIPTION":"","IMEI FOR SWAPPED DEAL":""}</t>
  </si>
  <si>
    <t>308612eb43a0179857b0a11e1f454f5bf67ea18f73e08da0243be04cff800866</t>
  </si>
  <si>
    <t>2026-04-24T00:00:00+01:00</t>
  </si>
  <si>
    <t>{"in":"","DATE":"04/24/2026","IMEI":"","NAME":"FEMI IBUGATTI","TIME":"9:00","PRICE":"\u20a63,000.00","STATUS":"PAID","PAID DATE":"","RECORD_ID":"2fa99102f57d42bf8c22b2dc4a5b6a9a","Amount paid":"\u20a63,000.00","DESCRIPTION":"iPhone 17 Pro Sliver 256GB IOS UPDATE","PHONE NUMBER":2348149965431,"DEAL LOCATION":"","INTERNAL NOTE":"","EXPENSE AMOUNT":"","CALCULATED PROFIT":"","EXPENSE DESCRIPTION":"","IMEI FOR SWAPPED DEAL":""}</t>
  </si>
  <si>
    <t>181906600765c934111b2169664077cb9a5ed4bd0611cdd65392992d74bea296</t>
  </si>
  <si>
    <t>{"in":"","DATE":"04/24/2026","IMEI":350114363080305,"NAME":"BAHMS","TIME":"9:08","PRICE":"\u20a6655,000.00","STATUS":"RETURNED","PAID DATE":"","RECORD_ID":"fb9848b8b2d74bd6b9742075d2d73007","Amount paid":"\u20a60.00","DESCRIPTION":"IPHONE 14 PRO P + E","PHONE NUMBER":2349069477050,"DEAL LOCATION":"","INTERNAL NOTE":"","EXPENSE AMOUNT":"","CALCULATED PROFIT":"","EXPENSE DESCRIPTION":"","IMEI FOR SWAPPED DEAL":""}</t>
  </si>
  <si>
    <t>7d82197f31b426bdd87207550a119092d64d8690761deb4c613ef39112512dd6</t>
  </si>
  <si>
    <t>{"in":"","DATE":"04/24/2026","IMEI":350114363080305,"NAME":"NURUDEEN","TIME":"9:52","PRICE":"\u20a6650,000.00","STATUS":"RETURNED","PAID DATE":"","RECORD_ID":"b5a6fd81466348cca387a0023f66ae9b","Amount paid":"\u20a60.00","DESCRIPTION":"IPHONE 14 PRO P + E","PHONE NUMBER":2349122727950,"DEAL LOCATION":"","INTERNAL NOTE":"","EXPENSE AMOUNT":"","CALCULATED PROFIT":"","EXPENSE DESCRIPTION":"","IMEI FOR SWAPPED DEAL":""}</t>
  </si>
  <si>
    <t>f73d18d70f4f6d9edfcad560e6dd83c93a6bb45550de094226b71057e098b3c6</t>
  </si>
  <si>
    <t>{"in":"","DATE":"04/24/2026","IMEI":"","NAME":"OZ GADGET","TIME":"10:24","PRICE":"\u20a62,500.00","STATUS":"UNPAID","PAID DATE":"","RECORD_ID":"aa92ea03a8734f7e9240fc34a8513c7f","Amount paid":"\u20a60.00","DESCRIPTION":"iPhone 13 Pro Max Alpine Green 128GB IOS UPDATE","PHONE NUMBER":2348106293924,"DEAL LOCATION":"","INTERNAL NOTE":"","EXPENSE AMOUNT":"","CALCULATED PROFIT":"","EXPENSE DESCRIPTION":"","IMEI FOR SWAPPED DEAL":""}</t>
  </si>
  <si>
    <t>4acc37a7b005f94e00b2045b248fe2a5d7b006091ce82981e1a247543b13d009</t>
  </si>
  <si>
    <t>{"in":"","DATE":"04/24/2026","IMEI":350114363080305,"NAME":"BAHMS","TIME":"12:14","PRICE":"\u20a6650,000.00","STATUS":"RETURNED","PAID DATE":"","RECORD_ID":"240d1469fb344be0ad00768d5f5afff6","Amount paid":"\u20a60.00","DESCRIPTION":"IPHONE 14 PRO P + E","PHONE NUMBER":2349069477050,"DEAL LOCATION":"","INTERNAL NOTE":"","EXPENSE AMOUNT":"","CALCULATED PROFIT":"","EXPENSE DESCRIPTION":"","IMEI FOR SWAPPED DEAL":""}</t>
  </si>
  <si>
    <t>9249da1af0f3069117ea385b504745db9f797323bb19b6bdfcf6c95bb8142791</t>
  </si>
  <si>
    <t>{"in":"","DATE":"04/24/2026","IMEI":"","NAME":"EMMANUEL OLAMILEKAN","TIME":"12:55","PRICE":"\u20a618,000.00","STATUS":"PAID","PAID DATE":"","RECORD_ID":"920e4b64d4854fc290c6b21d4d6cee88","Amount paid":"\u20a618,000.00","DESCRIPTION":"CHIP UNLOCKING","PHONE NUMBER":2349166542597,"DEAL LOCATION":"","INTERNAL NOTE":"","EXPENSE AMOUNT":"","CALCULATED PROFIT":"","EXPENSE DESCRIPTION":"","IMEI FOR SWAPPED DEAL":""}</t>
  </si>
  <si>
    <t>464cbd4c550918c6fceab51d38e6804aec27f04967f20759b638d43273c2b527</t>
  </si>
  <si>
    <t>{"in":"","DATE":"04/24/2026","IMEI":"","NAME":"FOLAKEMI","TIME":"13:17","PRICE":"\u20a63,000.00","STATUS":"PAID","PAID DATE":"","RECORD_ID":"fd614e1f38b54d588e2a7cf757586ed9","Amount paid":"\u20a63,000.00","DESCRIPTION":"IPHONE 14 PRO IOS UPDATE: SILVER","PHONE NUMBER":2349075624207,"DEAL LOCATION":"","INTERNAL NOTE":"","EXPENSE AMOUNT":"","CALCULATED PROFIT":"","EXPENSE DESCRIPTION":"","IMEI FOR SWAPPED DEAL":""}</t>
  </si>
  <si>
    <t>8305f457d61026787bee76b3b276c380f20e22dd017934e2c9493383da8333ed</t>
  </si>
  <si>
    <t>{"in":"","DATE":"04/24/2026","IMEI":"","NAME":"ANNIE","TIME":"14:13","PRICE":"\u20a63,000.00","STATUS":"UNPAID","PAID DATE":"","RECORD_ID":"563177983ebe43f486545354afc072f1","Amount paid":"\u20a60.00","DESCRIPTION":"IPHONE 16 PRO MAX IOS UPDATE","PHONE NUMBER":2348141375361,"DEAL LOCATION":"","INTERNAL NOTE":"","EXPENSE AMOUNT":"","CALCULATED PROFIT":"","EXPENSE DESCRIPTION":"","IMEI FOR SWAPPED DEAL":""}</t>
  </si>
  <si>
    <t>86398601161afef2126bbdfc58ac1985d19d0b4dbeb9ea6ebe1fa1185560b769</t>
  </si>
  <si>
    <t>{"in":"","DATE":"04/24/2026","IMEI":"","NAME":"BAYESH","TIME":"14:17","PRICE":"\u20a62,500.00","STATUS":"PAID","PAID DATE":"","RECORD_ID":"a04a1f0b06d9432491798c4c484e0a0a","Amount paid":"\u20a62,500.00","DESCRIPTION":"iPhone 14 Pro Space Black 128GB IOS UPDATE","PHONE NUMBER":2348136276066,"DEAL LOCATION":"","INTERNAL NOTE":"","EXPENSE AMOUNT":"","CALCULATED PROFIT":"","EXPENSE DESCRIPTION":"","IMEI FOR SWAPPED DEAL":""}</t>
  </si>
  <si>
    <t>50599865f2265e2e557ce08bb7b97efb078db9df929ebe85cf40f2794b0d1df1</t>
  </si>
  <si>
    <t>{"in":"","DATE":"04/24/2026","IMEI":350114363080305,"NAME":"BAHMS","TIME":"15:05","PRICE":"\u20a6650,000.00","STATUS":"RETURNED","PAID DATE":"","RECORD_ID":"fb9d2efb8e554c62960a885a47328692","Amount paid":"\u20a60.00","DESCRIPTION":"IPHONE 14 PRO P + E","PHONE NUMBER":2349069477050,"DEAL LOCATION":"","INTERNAL NOTE":"","EXPENSE AMOUNT":"","CALCULATED PROFIT":"","EXPENSE DESCRIPTION":"","IMEI FOR SWAPPED DEAL":""}</t>
  </si>
  <si>
    <t>91fb76f1aa0d08078b82e4b37615c7f66d3153c92c15be8bfcd6a8b302c3e62f</t>
  </si>
  <si>
    <t>{"in":"","DATE":"04/24/2026","IMEI":"","NAME":"FOSTER","TIME":"15:19","PRICE":"\u20a63,000.00","STATUS":"PAID","PAID DATE":"","RECORD_ID":"e007b06b8c784762b28f6cfd20b62456","Amount paid":"\u20a63,000.00","DESCRIPTION":"iPhone 16 Ultramarine 128GB","PHONE NUMBER":2349135046871,"DEAL LOCATION":"","INTERNAL NOTE":"","EXPENSE AMOUNT":"","CALCULATED PROFIT":"","EXPENSE DESCRIPTION":"","IMEI FOR SWAPPED DEAL":""}</t>
  </si>
  <si>
    <t>8abf886de5518797bab908553d3f86b6b241c0c6f87e5f390e22050ae33900f0</t>
  </si>
  <si>
    <t>{"in":"","DATE":"04/24/2026","IMEI":"","NAME":"AHB","TIME":"16:23","PRICE":"\u20a62,000.00","STATUS":"PAID","PAID DATE":"","RECORD_ID":"59d2a12e1ae74ce68fbbb3ea2930e8a7","Amount paid":"\u20a62,000.00","DESCRIPTION":"iPhone 11 White 64GB IOS UPDATE","PHONE NUMBER":2349136777731,"DEAL LOCATION":"","INTERNAL NOTE":"","EXPENSE AMOUNT":"","CALCULATED PROFIT":"","EXPENSE DESCRIPTION":"","IMEI FOR SWAPPED DEAL":""}</t>
  </si>
  <si>
    <t>b98136c23d5b57124483800c5606cd8875eacc76c099e72f7cbf89923e8f1f3b</t>
  </si>
  <si>
    <t>{"in":"","DATE":"04/24/2026","IMEI":"","NAME":"KAYWISE","TIME":"17:02","PRICE":"\u20a62,000.00","STATUS":"PAID","PAID DATE":"","RECORD_ID":"346d68a5be6346098f232a5406048c12","Amount paid":"\u20a62,000.00","DESCRIPTION":"IPHONE 16E IOS UPDATE","PHONE NUMBER":2349032614464,"DEAL LOCATION":"","INTERNAL NOTE":"","EXPENSE AMOUNT":"","CALCULATED PROFIT":"","EXPENSE DESCRIPTION":"","IMEI FOR SWAPPED DEAL":""}</t>
  </si>
  <si>
    <t>09fed83b494f852b74532d754f86cf8fc8c1713840e5cbbd237e1c92035255ce</t>
  </si>
  <si>
    <t>{"in":"","DATE":"04/24/2026","IMEI":"","NAME":"BAYESH","TIME":"17:18","PRICE":"\u20a62,500.00","STATUS":"PAID","PAID DATE":"","RECORD_ID":"5f175c65965d4472b99ef13334dc4f9f","Amount paid":"\u20a62,500.00","DESCRIPTION":"iPhone 14 Pro Deep Purple 128GB IOS UPDATE","PHONE NUMBER":2348136276066,"DEAL LOCATION":"","INTERNAL NOTE":"","EXPENSE AMOUNT":"","CALCULATED PROFIT":"","EXPENSE DESCRIPTION":"","IMEI FOR SWAPPED DEAL":""}</t>
  </si>
  <si>
    <t>9f660af9c07e30e23ebb9d301a5c560c82e48d4c22cc1f6cf1e67a942cc8cb9e</t>
  </si>
  <si>
    <t>{"in":"","DATE":"04/24/2026","IMEI":"","NAME":"DAMBOX","TIME":"17:33","PRICE":"\u20a63,000.00","STATUS":"UNPAID","PAID DATE":"","RECORD_ID":"7d35c93a80d64c83a113a57889becb76","Amount paid":"\u20a60.00","DESCRIPTION":"iPhone 17 Pro Max Sliver 512GB IOS UPDATE","PHONE NUMBER":2349040943517,"DEAL LOCATION":"","INTERNAL NOTE":"","EXPENSE AMOUNT":"","CALCULATED PROFIT":"","EXPENSE DESCRIPTION":"","IMEI FOR SWAPPED DEAL":""}</t>
  </si>
  <si>
    <t>bba30958d935878f6d0aa965a36ed83f545b1845005a65f76fdc87a262e6afc0</t>
  </si>
  <si>
    <t>2026-04-25T00:00:00+01:00</t>
  </si>
  <si>
    <t>{"in":"","DATE":"04/25/2026","IMEI":"","NAME":"OLA_BTC","TIME":"11:30","PRICE":"\u20a635,000.00","STATUS":"PAID","PAID DATE":"","RECORD_ID":"cc20c1b3497742f2acf59b3e00090092","Amount paid":"\u20a635,000.00","DESCRIPTION":"ACTIVATION LOCK REMOVAL REQUEST","PHONE NUMBER":2348105053684,"DEAL LOCATION":"","INTERNAL NOTE":"","EXPENSE AMOUNT":"","CALCULATED PROFIT":"","EXPENSE DESCRIPTION":"","IMEI FOR SWAPPED DEAL":""}</t>
  </si>
  <si>
    <t>466be183b25aba565a5c745359163f0c75a6d47ec6f6717970716fe67f5b78f9</t>
  </si>
  <si>
    <t>{"in":"","DATE":"04/25/2026","IMEI":"354034472315143/73","NAME":"OG SCOTT","TIME":"12:08","PRICE":"\u20a6230,000.00","STATUS":"PAID","PAID DATE":"","RECORD_ID":"7fd791800e2c4f68bdcd2a5c566e6359","Amount paid":"\u20a6230,000.00","DESCRIPTION":"S21 5G","PHONE NUMBER":2348140980933,"DEAL LOCATION":"","INTERNAL NOTE":"","EXPENSE AMOUNT":"","CALCULATED PROFIT":"","EXPENSE DESCRIPTION":"","IMEI FOR SWAPPED DEAL":""}</t>
  </si>
  <si>
    <t>b9b5edc9fdea104153e7336f664cb31b5d7d42bf6a8afab35c4a34317a9728e2</t>
  </si>
  <si>
    <t>{"in":"","DATE":"04/25/2026","IMEI":356258487038139,"NAME":"ENGINEER JOHN","TIME":"12:57","PRICE":"\u20a6650,000.00","STATUS":"RETURNED","PAID DATE":"","RECORD_ID":"6d58386ab153475983878a051e79b54c","Amount paid":"\u20a60.00","DESCRIPTION":"OPEN BOX IPHONE 15 PHY+ESIM","PHONE NUMBER":2347025185247,"DEAL LOCATION":"","INTERNAL NOTE":"","EXPENSE AMOUNT":"","CALCULATED PROFIT":"","EXPENSE DESCRIPTION":"","IMEI FOR SWAPPED DEAL":""}</t>
  </si>
  <si>
    <t>a0fa4270801e6e45272ecf2d7b5a949776f3cc5dcd6aeff1b42f4c6843f1979e</t>
  </si>
  <si>
    <t>{"in":"","DATE":"04/25/2026","IMEI":"","NAME":"WIDAD","TIME":"13:44","PRICE":"\u20a63,000.00","STATUS":"UNPAID","PAID DATE":"","RECORD_ID":"b387a10ba1c940d1a6d5f52f445d119b","Amount paid":"\u20a60.00","DESCRIPTION":"IPHONE 16 IOS UPDATE: PINK","PHONE NUMBER":2347062514545,"DEAL LOCATION":"","INTERNAL NOTE":"","EXPENSE AMOUNT":"","CALCULATED PROFIT":"","EXPENSE DESCRIPTION":"","IMEI FOR SWAPPED DEAL":""}</t>
  </si>
  <si>
    <t>33afff58e8e061bc9be3f8865a366cacec1d6b4e29af0b89b53f9dc9a7578bb8</t>
  </si>
  <si>
    <t>{"in":"","DATE":"04/25/2026","IMEI":"","NAME":"HORJOR","TIME":"13:47","PRICE":"\u20a615,000.00","STATUS":"UNPAID","PAID DATE":"","RECORD_ID":"7826afa257bb45b0bdf1292bc6ce91f2","Amount paid":"\u20a60.00","DESCRIPTION":"ICLOUD BYPASS","PHONE NUMBER":2347075152460,"DEAL LOCATION":"","INTERNAL NOTE":"","EXPENSE AMOUNT":"","CALCULATED PROFIT":"","EXPENSE DESCRIPTION":"","IMEI FOR SWAPPED DEAL":""}</t>
  </si>
  <si>
    <t>b065d0dc760d70edd12b2a64ea72c5d0d0136bcb264011670104798d486accfc</t>
  </si>
  <si>
    <t>{"in":"","DATE":"04/25/2026","IMEI":353268399262753,"NAME":"OG LEVEL","TIME":"14:02","PRICE":"\u20a6950,000.00","STATUS":"PAID","PAID DATE":"","RECORD_ID":"306b0844c94d4a29978ebe1ac702e445","Amount paid":"\u20a6950,000.00","DESCRIPTION":"IPHONE 16 PRO","PHONE NUMBER":2349064673042,"DEAL LOCATION":"","INTERNAL NOTE":"","EXPENSE AMOUNT":"","CALCULATED PROFIT":"","EXPENSE DESCRIPTION":"","IMEI FOR SWAPPED DEAL":""}</t>
  </si>
  <si>
    <t>1af6e3f10004ddf922f2c8615c683847ad29e497ed7c01c437289adee3520be9</t>
  </si>
  <si>
    <t>{"in":"","DATE":"04/25/2026","IMEI":"","NAME":"HOLLAH GADGET","TIME":"14:51","PRICE":"\u20a62,500.00","STATUS":"UNPAID","PAID DATE":"","RECORD_ID":"a967f662e4204aa4bedd65d83023d883","Amount paid":"\u20a60.00","DESCRIPTION":"IPHONE 7 FLASHING: SILVER","PHONE NUMBER":2347041440724,"DEAL LOCATION":"","INTERNAL NOTE":"","EXPENSE AMOUNT":"","CALCULATED PROFIT":"","EXPENSE DESCRIPTION":"","IMEI FOR SWAPPED DEAL":""}</t>
  </si>
  <si>
    <t>ab3106fea9096424bf7fdea6f96dbb3bcfade282cd59166986f2cdda1a4043df</t>
  </si>
  <si>
    <t>{"in":"","DATE":"04/25/2026","IMEI":"","NAME":"ENESTA","TIME":"16:57","PRICE":"\u20a610,000.00","STATUS":"UNPAID","PAID DATE":"","RECORD_ID":"6b09ef79334c41268e5212f7d89d3230","Amount paid":"\u20a60.00","DESCRIPTION":"FILE TRANSFER","PHONE NUMBER":2347032770703,"DEAL LOCATION":"","INTERNAL NOTE":"","EXPENSE AMOUNT":"","CALCULATED PROFIT":"","EXPENSE DESCRIPTION":"","IMEI FOR SWAPPED DEAL":""}</t>
  </si>
  <si>
    <t>26920f3e0019cbcae55c89006c289186a01b580172a9eddee1317113dd692285</t>
  </si>
  <si>
    <t>2026-04-27T00:00:00+01:00</t>
  </si>
  <si>
    <t>{"in":"","DATE":"04/27/2026","IMEI":"","NAME":"DON","TIME":"10:36","PRICE":"\u20a62,500.00","STATUS":"PAID","PAID DATE":"","RECORD_ID":"8f22d35145234615984b3a4e39feaa5c","Amount paid":"\u20a62,500.00","DESCRIPTION":"iPhone 14 Pro Space Black 128GB IOS UPDATE","PHONE NUMBER":2348137676322,"DEAL LOCATION":"","INTERNAL NOTE":"","EXPENSE AMOUNT":"","CALCULATED PROFIT":"","EXPENSE DESCRIPTION":"","IMEI FOR SWAPPED DEAL":""}</t>
  </si>
  <si>
    <t>ca569c3a2226e44a5d729a0243e2b66ba812c38f5d2f368f3a5afa7c1a517692</t>
  </si>
  <si>
    <t>{"in":"","DATE":"04/27/2026","IMEI":"","NAME":"ZEE TECH","TIME":"11:26","PRICE":"\u20a610,000.00","STATUS":"UNPAID","PAID DATE":"","RECORD_ID":"114776968b624b0c95ea889a07740f4e","Amount paid":"\u20a60.00","DESCRIPTION":"iPhone 12 Black 64GB FLSHING + MDM BYPASS","PHONE NUMBER":2349033724061,"DEAL LOCATION":"","INTERNAL NOTE":"","EXPENSE AMOUNT":"","CALCULATED PROFIT":"","EXPENSE DESCRIPTION":"","IMEI FOR SWAPPED DEAL":""}</t>
  </si>
  <si>
    <t>6a96e4316f25101e1e407a13e23a9fa177024c04ef0ec2cf1fc7c97cb3dd70da</t>
  </si>
  <si>
    <t>{"in":"","DATE":"04/27/2026","IMEI":"","NAME":"DON","TIME":"13:05","PRICE":"\u20a62,500.00","STATUS":"PAID","PAID DATE":"","RECORD_ID":"8f46370e47f94fc4830097d05e96ca54","Amount paid":"\u20a62,500.00","DESCRIPTION":"IPHONE 17 PRO MAX IOS UPDATE: ORANGE","PHONE NUMBER":2348137676322,"DEAL LOCATION":"","INTERNAL NOTE":"","EXPENSE AMOUNT":"","CALCULATED PROFIT":"","EXPENSE DESCRIPTION":"","IMEI FOR SWAPPED DEAL":""}</t>
  </si>
  <si>
    <t>5725cac9f34fa69a70516dc593be607065963bc4a4ab4b080bddc3caf74225dd</t>
  </si>
  <si>
    <t>{"in":"","DATE":"04/27/2026","IMEI":"","NAME":"DEMEX","TIME":"13:08","PRICE":"\u20a62,500.00","STATUS":"UNPAID","PAID DATE":"","RECORD_ID":"c9cc2c1d8f6844f2a51b80580d98594f","Amount paid":"\u20a60.00","DESCRIPTION":"IPHONE 13 IOS UPDATE: RED","PHONE NUMBER":2347067462101,"DEAL LOCATION":"","INTERNAL NOTE":"","EXPENSE AMOUNT":"","CALCULATED PROFIT":"","EXPENSE DESCRIPTION":"","IMEI FOR SWAPPED DEAL":""}</t>
  </si>
  <si>
    <t>997decaa3b878be13b3ef0669b5ec178def97de80abc65d096a4ed18e762b5e4</t>
  </si>
  <si>
    <t>{"in":"","DATE":"04/27/2026","IMEI":"","NAME":"YUSLORD","TIME":"13:18","PRICE":"\u20a65,000.00","STATUS":"PAID","PAID DATE":"","RECORD_ID":"28ea9966410640da917b3b5d5b71b427","Amount paid":"\u20a65,000.00","DESCRIPTION":"APPLE ID CREATION","PHONE NUMBER":2348022551794,"DEAL LOCATION":"","INTERNAL NOTE":"","EXPENSE AMOUNT":"","CALCULATED PROFIT":"","EXPENSE DESCRIPTION":"","IMEI FOR SWAPPED DEAL":""}</t>
  </si>
  <si>
    <t>11c271ff50682ba5a4267bc8fe537447e51284bcf21eb1877d66a353a83aca24</t>
  </si>
  <si>
    <t>{"in":"","DATE":"04/27/2026","IMEI":"","NAME":"TECH JAR","TIME":"14:08","PRICE":"\u20a62,500.00","STATUS":"PAID","PAID DATE":"","RECORD_ID":"ff226b550e8c4315bd914e215309748b","Amount paid":"\u20a62,500.00","DESCRIPTION":"IPHONE 17 AIR SKY BLUE IOS UPDATE","PHONE NUMBER":2347047512596,"DEAL LOCATION":"","INTERNAL NOTE":"","EXPENSE AMOUNT":"","CALCULATED PROFIT":"","EXPENSE DESCRIPTION":"","IMEI FOR SWAPPED DEAL":""}</t>
  </si>
  <si>
    <t>8830c6238c274f78ce603495b6084002d0cee45be7f25753bbc983041511d050</t>
  </si>
  <si>
    <t>{"in":"","DATE":"04/27/2026","IMEI":"","NAME":"ANNIE","TIME":"14:41","PRICE":"\u20a62,500.00","STATUS":"PAID","PAID DATE":"","RECORD_ID":"9aec126fbffe43aa8188946822a23a6c","Amount paid":"\u20a62,500.00","DESCRIPTION":"iPhone 13 Pro Graphite 128GB IOS UPDATE","PHONE NUMBER":2348141375361,"DEAL LOCATION":"","INTERNAL NOTE":"","EXPENSE AMOUNT":"","CALCULATED PROFIT":"","EXPENSE DESCRIPTION":"","IMEI FOR SWAPPED DEAL":""}</t>
  </si>
  <si>
    <t>6a7ecec205262fa8230b7c4ee6cf8ffb16323c16b83bb052c2251837a9bc956e</t>
  </si>
  <si>
    <t>{"in":"","DATE":"04/27/2026","IMEI":"","NAME":"DON","TIME":"15:24","PRICE":"\u20a65,000.00","STATUS":"PAID","PAID DATE":"","RECORD_ID":"2e1ab03f8c0545a784ec1c2ff0983c1c","Amount paid":"\u20a65,000.00","DESCRIPTION":"ICLOUD OPENING","PHONE NUMBER":2348137676322,"DEAL LOCATION":"","INTERNAL NOTE":"","EXPENSE AMOUNT":"","CALCULATED PROFIT":"","EXPENSE DESCRIPTION":"","IMEI FOR SWAPPED DEAL":""}</t>
  </si>
  <si>
    <t>d98573f4041c4ecf8c5c30bf1726b15828fdb378c1c9c7275ce73ea6b11978ab</t>
  </si>
  <si>
    <t>{"in":"","DATE":"04/27/2026","IMEI":"","NAME":"HANSPHEEZY","TIME":"15:55","PRICE":"\u20a62,500.00","STATUS":"PAID","PAID DATE":"","RECORD_ID":"ccc9d1d9975940aa8e5cf79430f4682f","Amount paid":"\u20a62,500.00","DESCRIPTION":"iPhone 12 Pro Silver 256GB IOS UPDATE","PHONE NUMBER":2349024734092,"DEAL LOCATION":"","INTERNAL NOTE":"","EXPENSE AMOUNT":"","CALCULATED PROFIT":"","EXPENSE DESCRIPTION":"","IMEI FOR SWAPPED DEAL":""}</t>
  </si>
  <si>
    <t>d5a693a61f880c04db74f8439c9784b678d7a26f682082e80cb03eb925d112ea</t>
  </si>
  <si>
    <t>{"in":"","DATE":"04/27/2026","IMEI":356258487038139,"NAME":"IGEE","TIME":"15:56","PRICE":"\u20a6650,000.00","STATUS":"PAID","PAID DATE":"","RECORD_ID":"e09330d4383f453a89e7ed215190ddba","Amount paid":"\u20a6650,000.00","DESCRIPTION":"OPEN BOX IPHONE 15 PHY+ESIM","PHONE NUMBER":2347071736488,"DEAL LOCATION":"","INTERNAL NOTE":"","EXPENSE AMOUNT":"","CALCULATED PROFIT":"","EXPENSE DESCRIPTION":"","IMEI FOR SWAPPED DEAL":""}</t>
  </si>
  <si>
    <t>7a3c5b538e37d599af1942eccc81c27104f739620225c9b9cc95ae89614dd254</t>
  </si>
  <si>
    <t>{"in":"","DATE":"04/27/2026","IMEI":357762267842460,"NAME":"IGEE","TIME":"16:06","PRICE":"\u20a6755,000.00","STATUS":"RETURNED","PAID DATE":"","RECORD_ID":"c441deb7421044da811a8422ddec8973","Amount paid":"\u20a60.00","DESCRIPTION":"IPHONE 16","PHONE NUMBER":2347071736488,"DEAL LOCATION":"","INTERNAL NOTE":"","EXPENSE AMOUNT":"","CALCULATED PROFIT":"","EXPENSE DESCRIPTION":"","IMEI FOR SWAPPED DEAL":""}</t>
  </si>
  <si>
    <t>12a8befb8ea01d7aa6a5aa5fe8b57678092e5f0f5f3cbfd4388ba6af0d1bf1d4</t>
  </si>
  <si>
    <t>{"in":"","DATE":"04/27/2026","IMEI":353431655327849,"NAME":"ADESOLA AYODELE","TIME":"17:33","PRICE":"\u20a6645,000.00","STATUS":"PAID","PAID DATE":"","RECORD_ID":"7369d00993974296828d781b15efe24b","Amount paid":"\u20a6645,000.00","DESCRIPTION":"IPHONE 15 PRO","PHONE NUMBER":2349166314423,"DEAL LOCATION":"","INTERNAL NOTE":"","EXPENSE AMOUNT":"","CALCULATED PROFIT":"","EXPENSE DESCRIPTION":"","IMEI FOR SWAPPED DEAL":""}</t>
  </si>
  <si>
    <t>0140191559da5b5c4009b7ead87434dffb345b05842c7153307c42af03337d1d</t>
  </si>
  <si>
    <t>2026-04-28T00:00:00+01:00</t>
  </si>
  <si>
    <t>{"in":"","DATE":"04/28/2026","IMEI":"","NAME":"DON","TIME":"10:31","PRICE":"\u20a64,000.00","STATUS":"PAID","PAID DATE":"","RECORD_ID":"b675dec0ff8e4f1cbc7f8868124791a4","Amount paid":"\u20a64,000.00","DESCRIPTION":"ESIM TRANSFER","PHONE NUMBER":2348137676322,"DEAL LOCATION":"","INTERNAL NOTE":"","EXPENSE AMOUNT":"","CALCULATED PROFIT":"","EXPENSE DESCRIPTION":"","IMEI FOR SWAPPED DEAL":""}</t>
  </si>
  <si>
    <t>6ff2be43a60d50238a69976e4aface9fe58a188e1522ec9454d6435486b5fecb</t>
  </si>
  <si>
    <t>{"in":"","DATE":"04/28/2026","IMEI":"","NAME":"KABEX KAYWISE","TIME":"10:54","PRICE":"\u20a63,000.00","STATUS":"PAID","PAID DATE":"","RECORD_ID":"69dced2a95ac4544bab5f5bda7e2a75d","Amount paid":"\u20a63,000.00","DESCRIPTION":"IPHONE 14 PRO MAX IOS UPDATE","PHONE NUMBER":2349167221871,"DEAL LOCATION":"","INTERNAL NOTE":"","EXPENSE AMOUNT":"","CALCULATED PROFIT":"","EXPENSE DESCRIPTION":"","IMEI FOR SWAPPED DEAL":""}</t>
  </si>
  <si>
    <t>7cbe0747c4d1fab26c1fdbc88e66760188ca6c8428334c56a518b7b24b43c784</t>
  </si>
  <si>
    <t>{"in":"","DATE":"04/28/2026","IMEI":"","NAME":"KUDA GADGET","TIME":"11:18","PRICE":"\u20a62,500.00","STATUS":"PAID","PAID DATE":"","RECORD_ID":"197ef5c8731b4ceea7b879fd0394d239","Amount paid":"\u20a62,500.00","DESCRIPTION":"iPhone 11 Pro Max Gold","PHONE NUMBER":2348137604798,"DEAL LOCATION":"","INTERNAL NOTE":"","EXPENSE AMOUNT":"","CALCULATED PROFIT":"","EXPENSE DESCRIPTION":"","IMEI FOR SWAPPED DEAL":""}</t>
  </si>
  <si>
    <t>f664f679c9d4536a3b799a2e5a832187014d0da5a05a12d7fded6ea3ffb3e0e3</t>
  </si>
  <si>
    <t>{"in":"","DATE":"04/28/2026","IMEI":350114363080305,"NAME":"AFRIKA","TIME":"11:55","PRICE":"\u20a6655,000.00","STATUS":"RETURNED","PAID DATE":"","RECORD_ID":"2b20ff047311439086fd2a5dc9020ab6","Amount paid":"\u20a60.00","DESCRIPTION":"IPHONE 14 PRO P + E","PHONE NUMBER":2349032711183,"DEAL LOCATION":"","INTERNAL NOTE":"","EXPENSE AMOUNT":"","CALCULATED PROFIT":"","EXPENSE DESCRIPTION":"","IMEI FOR SWAPPED DEAL":""}</t>
  </si>
  <si>
    <t>15676c345ee88f978ec85172c1f7be72505ff721fcadd659e3413a8e8b548573</t>
  </si>
  <si>
    <t>{"in":"","DATE":"04/28/2026","IMEI":"","NAME":"ADEX GADGETS","TIME":"11:56","PRICE":"\u20a62,500.00","STATUS":"PAID","PAID DATE":"","RECORD_ID":"9ba7b3c13f4b4dfebd82f95ebf1592d2","Amount paid":"\u20a62,500.00","DESCRIPTION":"iPhone 13 Midnight 128GB IOS UPDATE","PHONE NUMBER":2347067852062,"DEAL LOCATION":"","INTERNAL NOTE":"","EXPENSE AMOUNT":"","CALCULATED PROFIT":"","EXPENSE DESCRIPTION":"","IMEI FOR SWAPPED DEAL":""}</t>
  </si>
  <si>
    <t>01fb4e7baf2a7a4f4ace0a5a63dd95fb3d41709d92370a6d1fb54d1c91d33b91</t>
  </si>
  <si>
    <t>{"in":"","DATE":"04/28/2026","IMEI":"","NAME":"GBOLAHAN","TIME":"13:35","PRICE":"\u20a63,000.00","STATUS":"PAID","PAID DATE":"","RECORD_ID":"d2527d509ec44261a212f858f29e61e8","Amount paid":"\u20a63,000.00","DESCRIPTION":"iPhone 15 Pro Max Black Titanium 256GB IOS UPDATE","PHONE NUMBER":2348144786552,"DEAL LOCATION":"","INTERNAL NOTE":"","EXPENSE AMOUNT":"","CALCULATED PROFIT":"","EXPENSE DESCRIPTION":"","IMEI FOR SWAPPED DEAL":""}</t>
  </si>
  <si>
    <t>2b5d8c3758ea6ab888cace358629e477f8384543340f8f2835ccee097d6462ba</t>
  </si>
  <si>
    <t>{"in":"","DATE":"04/28/2026","IMEI":"","NAME":"GBOLAHAN","TIME":"14:04","PRICE":"\u20a63,000.00","STATUS":"PAID","PAID DATE":"","RECORD_ID":"cb6a885b231144ffadb76e47488fa73c","Amount paid":"\u20a63,000.00","DESCRIPTION":"IPHONE TYPS C FIBRE CORD","PHONE NUMBER":2348144786552,"DEAL LOCATION":"","INTERNAL NOTE":"","EXPENSE AMOUNT":"","CALCULATED PROFIT":"","EXPENSE DESCRIPTION":"","IMEI FOR SWAPPED DEAL":""}</t>
  </si>
  <si>
    <t>ce221fe1ec67d6059ad7802e7893ff20780b84c298e3fcdfb77e0d71b10d4316</t>
  </si>
  <si>
    <t>{"in":"","DATE":"04/28/2026","IMEI":"","NAME":"FORMULA","TIME":"14:40","PRICE":"\u20a62,500.00","STATUS":"UNPAID","PAID DATE":"","RECORD_ID":"af7af7abacfb4953ae57bafa0277a374","Amount paid":"\u20a60.00","DESCRIPTION":"IPHONE 13 BLUE IOS UPDATE","PHONE NUMBER":2347067612418,"DEAL LOCATION":"","INTERNAL NOTE":"","EXPENSE AMOUNT":"","CALCULATED PROFIT":"","EXPENSE DESCRIPTION":"","IMEI FOR SWAPPED DEAL":""}</t>
  </si>
  <si>
    <t>335e3e939a15a72ff11e527dd6a052f072346610f4f5307922727fee335556c1</t>
  </si>
  <si>
    <t>{"in":"","DATE":"04/28/2026","IMEI":"","NAME":"ENGINEER JOHN","TIME":"15:21","PRICE":"\u20a62,500.00","STATUS":"UNPAID","PAID DATE":"","RECORD_ID":"ff1da314cf98416a96e805a9005e0f9d","Amount paid":"\u20a60.00","DESCRIPTION":"IPHONE 16 PLUS FLASHING","PHONE NUMBER":2347025185247,"DEAL LOCATION":"","INTERNAL NOTE":"","EXPENSE AMOUNT":"","CALCULATED PROFIT":"","EXPENSE DESCRIPTION":"","IMEI FOR SWAPPED DEAL":""}</t>
  </si>
  <si>
    <t>29f2a871d09a30909b7d70060d275e4f9e1bd1f5046baf362ae56898be3a63e4</t>
  </si>
  <si>
    <t>{"in":"","DATE":"04/28/2026","IMEI":"","NAME":"WILLIX","TIME":"16:14","PRICE":"\u20a62,000.00","STATUS":"PAID","PAID DATE":"","RECORD_ID":"06e6102a747040cc8c93400cb6770a91","Amount paid":"\u20a62,000.00","DESCRIPTION":"IPHONE XR BATTERY FIX","PHONE NUMBER":2348142600412,"DEAL LOCATION":"","INTERNAL NOTE":"","EXPENSE AMOUNT":"","CALCULATED PROFIT":"","EXPENSE DESCRIPTION":"","IMEI FOR SWAPPED DEAL":""}</t>
  </si>
  <si>
    <t>abcd8879fe8006ca144e1ab9743c7746fec5c657a98d9300829beca0f3976aeb</t>
  </si>
  <si>
    <t>{"in":"","DATE":"04/29/2026","IMEI":"","NAME":"ZEE TECH","TIME":"9:05","PRICE":"\u20a62,500.00","STATUS":"UNPAID","PAID DATE":"","RECORD_ID":"e5e7274dbbea4ac08c6310e2c6cc4701","Amount paid":"\u20a60.00","DESCRIPTION":"iPhone 11 White 64GB IOS UPDATE","PHONE NUMBER":2349033724061,"DEAL LOCATION":"","INTERNAL NOTE":"","EXPENSE AMOUNT":"","CALCULATED PROFIT":"","EXPENSE DESCRIPTION":"","IMEI FOR SWAPPED DEAL":""}</t>
  </si>
  <si>
    <t>36bdcfee254da0d01726f03b362932b4341a71172cf90c13a67f8dea5ed029e4</t>
  </si>
  <si>
    <t>{"in":"","DATE":"04/29/2026","IMEI":"","NAME":"FORMULA","TIME":"9:17","PRICE":"\u20a62,500.00","STATUS":"UNPAID","PAID DATE":"","RECORD_ID":"0df45539da6c4dd289560fbe23e32943","Amount paid":"\u20a60.00","DESCRIPTION":"iPhone 12 Pro Max Gold 256GB IOS UPDATE","PHONE NUMBER":2347067612418,"DEAL LOCATION":"","INTERNAL NOTE":"","EXPENSE AMOUNT":"","CALCULATED PROFIT":"","EXPENSE DESCRIPTION":"","IMEI FOR SWAPPED DEAL":""}</t>
  </si>
  <si>
    <t>e764338a476a9b57e2086a2be438529c3e2307f2f93a38e3f03cd71b5cb20c5a</t>
  </si>
  <si>
    <t>2026-04-29T00:00:00+01:00</t>
  </si>
  <si>
    <t>{"in":"","DATE":"04/29/2026","IMEI":"","NAME":"PAPPY TECH","TIME":"12:06","PRICE":"\u20a63,000.00","STATUS":"PAID","PAID DATE":"","RECORD_ID":"999ff1175779408a95433350b793d59c","Amount paid":"\u20a63,000.00","DESCRIPTION":"iPhone 15 Blue 128GB IOS UPDATE","PHONE NUMBER":2349064677372,"DEAL LOCATION":"","INTERNAL NOTE":"","EXPENSE AMOUNT":"","CALCULATED PROFIT":"","EXPENSE DESCRIPTION":"","IMEI FOR SWAPPED DEAL":""}</t>
  </si>
  <si>
    <t>bfd049399aafe07973318ac52d90455aad815df1b1261ac17a740343d1987348</t>
  </si>
  <si>
    <t>{"in":"","DATE":"04/29/2026","IMEI":353992319885357,"NAME":"VICTOR EXCEL","TIME":"13:02","PRICE":"\u20a6520,000.00","STATUS":"PAID","PAID DATE":"","RECORD_ID":"051f6e04c34640c4b11dd965b599fc2f","Amount paid":"\u20a6520,000.00","DESCRIPTION":"IPHONE 15","PHONE NUMBER":2347046258301,"DEAL LOCATION":"","INTERNAL NOTE":"","EXPENSE AMOUNT":"","CALCULATED PROFIT":"","EXPENSE DESCRIPTION":"","IMEI FOR SWAPPED DEAL":""}</t>
  </si>
  <si>
    <t>d2a400f1807afbd3f37e203d961c1d0bb652acbc89832ad919daa30a023c3dc6</t>
  </si>
  <si>
    <t>{"in":"","DATE":"04/29/2026","IMEI":353906104909362,"NAME":"MBENZ","TIME":"13:02","PRICE":"\u20a6350,000.00","STATUS":"PAID","PAID DATE":"","RECORD_ID":"454fe223cd284ddf8af9ba1c2b3e6bb2","Amount paid":"\u20a6350,000.00","DESCRIPTION":"iPhone 11 Pro Max","PHONE NUMBER":2349137123168,"DEAL LOCATION":"","INTERNAL NOTE":"","EXPENSE AMOUNT":"","CALCULATED PROFIT":"","EXPENSE DESCRIPTION":"","IMEI FOR SWAPPED DEAL":""}</t>
  </si>
  <si>
    <t>6e5b8ec020e8a91636a65cbbcb70be03c4cdb610d3168ed793e0901b9ebaed0c</t>
  </si>
  <si>
    <t>{"in":"","DATE":"04/29/2026","IMEI":357498197864031,"NAME":"JEFFERY EMONEMA","TIME":"13:02","PRICE":"\u20a6870,000.00","STATUS":"PAID","PAID DATE":"","RECORD_ID":"77928bc68686444ab2702d043221e06e","Amount paid":"\u20a6870,000.00","DESCRIPTION":"IPHONE 16 P + E","PHONE NUMBER":2347025278481,"DEAL LOCATION":"","INTERNAL NOTE":"","EXPENSE AMOUNT":"","CALCULATED PROFIT":"","EXPENSE DESCRIPTION":"","IMEI FOR SWAPPED DEAL":""}</t>
  </si>
  <si>
    <t>c9f1bb22bad7a4a212dcd04bf9a3da35376d4f16abc803def80757941d9529ad</t>
  </si>
  <si>
    <t>{"in":"","DATE":"04/29/2026","IMEI":"","NAME":"DARQUIZ","TIME":"13:09","PRICE":"\u20a63,000.00","STATUS":"PAID","PAID DATE":"","RECORD_ID":"7f32d0d4480e4998924405c37a4002e1","Amount paid":"\u20a63,000.00","DESCRIPTION":"TYPE C TO C","PHONE NUMBER":23412345698708,"DEAL LOCATION":"","INTERNAL NOTE":"","EXPENSE AMOUNT":"","CALCULATED PROFIT":"","EXPENSE DESCRIPTION":"","IMEI FOR SWAPPED DEAL":""}</t>
  </si>
  <si>
    <t>87b0dec26e6a253a17233d05e9bda025332c9abc8680b888cd84ff1e73296d0f</t>
  </si>
  <si>
    <t>{"in":"","DATE":"04/29/2026","IMEI":"","NAME":"PRINZE GADGETS","TIME":"14:54","PRICE":"\u20a62,500.00","STATUS":"PAID","PAID DATE":"","RECORD_ID":"199fcabc2f6942e488b13a4f9fc1288a","Amount paid":"\u20a62,500.00","DESCRIPTION":"IPHONE 13 PRO SIERRA BLUE IOS UPDATE","PHONE NUMBER":2348073229131,"DEAL LOCATION":"","INTERNAL NOTE":"","EXPENSE AMOUNT":"","CALCULATED PROFIT":"","EXPENSE DESCRIPTION":"","IMEI FOR SWAPPED DEAL":""}</t>
  </si>
  <si>
    <t>4de7074a041cc239a1f68cf074c3f584f027b8e72c0c13c5152bc190207fa745</t>
  </si>
  <si>
    <t>{"in":"","DATE":"04/29/2026","IMEI":358933738239243,"NAME":"ADEBAYO ROKEEB","TIME":"14:58","PRICE":"\u20a6355,000.00","STATUS":"PAID","PAID DATE":"","RECORD_ID":"dbfd6c18e6ea4698a28e78ac259d8f5b","Amount paid":"\u20a6355,000.00","DESCRIPTION":"SAMSUNG GALAXY S22 SEALED","PHONE NUMBER":2348073670589,"DEAL LOCATION":"","INTERNAL NOTE":"","EXPENSE AMOUNT":"","CALCULATED PROFIT":"","EXPENSE DESCRIPTION":"","IMEI FOR SWAPPED DEAL":""}</t>
  </si>
  <si>
    <t>bc14f43c853f7580f3e68041fd0e78f323cdd245b516341fe435a34e46b4517c</t>
  </si>
  <si>
    <t>{"in":"","DATE":"04/29/2026","IMEI":"","NAME":"SEYIFUNMI","TIME":"17:34","PRICE":"\u20a63,000.00","STATUS":"UNPAID","PAID DATE":"","RECORD_ID":"b17589971f5f4286a20108122df058ec","Amount paid":"\u20a60.00","DESCRIPTION":"iPhone 16 Ultramarine 128GB IOS UPDATE","PHONE NUMBER":2347065500068,"DEAL LOCATION":"","INTERNAL NOTE":"","EXPENSE AMOUNT":"","CALCULATED PROFIT":"","EXPENSE DESCRIPTION":"","IMEI FOR SWAPPED DEAL":""}</t>
  </si>
  <si>
    <t>0235f68420565f448b9be95cc67f1e2f5344b792a4d0eca804502469c55bfd21</t>
  </si>
  <si>
    <t>{"in":"","DATE":"04/29/2026","IMEI":"","NAME":"IA GADGET","TIME":"21:02","PRICE":"\u20a6200,000.00","STATUS":"PAID","PAID DATE":"","RECORD_ID":"b7bf0597a69241a09d1bf942d29b31d3","Amount paid":"\u20a6200,000.00","DESCRIPTION":"IPHONE 17 PRO MAX UNLOCKING","PHONE NUMBER":2347046539922,"DEAL LOCATION":"","INTERNAL NOTE":"","EXPENSE AMOUNT":"","CALCULATED PROFIT":"","EXPENSE DESCRIPTION":"","IMEI FOR SWAPPED DEAL":""}</t>
  </si>
  <si>
    <t>b422731618cc7454b130c0399d2f92f0db4eb4e105dce6e0be12a529dbee89fb</t>
  </si>
  <si>
    <t>{"in":"","DATE":"04/30/2026","IMEI":"","NAME":"DAMBOX","TIME":"10:11","PRICE":"\u20a63,000.00","STATUS":"UNPAID","PAID DATE":"","RECORD_ID":"59ded1f6b2174fd197001bb94049c7e6","Amount paid":"\u20a60.00","DESCRIPTION":"iPhone 17 Pro Cosmic Orange 256GB IOS UPDATE","PHONE NUMBER":9040943517,"DEAL LOCATION":"","INTERNAL NOTE":"","EXPENSE AMOUNT":"","CALCULATED PROFIT":"","EXPENSE DESCRIPTION":"","IMEI FOR SWAPPED DEAL":""}</t>
  </si>
  <si>
    <t>606db2baa5b282cf6838cf1772dfaa9f5c975cbc17c1ad496010a3e6aab1cb39</t>
  </si>
  <si>
    <t>2026-04-30T00:00:00+01:00</t>
  </si>
  <si>
    <t>{"in":"","DATE":"04/30/2026","IMEI":350022963659040,"NAME":"AYOMIDE DAVIDE FASORE","TIME":"11:35","PRICE":"\u20a6400,000.00","STATUS":"PAID","PAID DATE":"","RECORD_ID":"e18f5df5086b457f9317f13ccb789dc0","Amount paid":"\u20a6400,000.00","DESCRIPTION":"iPhone 12 Pro Max","PHONE NUMBER":2348034910127,"DEAL LOCATION":"","INTERNAL NOTE":"","EXPENSE AMOUNT":"","CALCULATED PROFIT":"","EXPENSE DESCRIPTION":"","IMEI FOR SWAPPED DEAL":""}</t>
  </si>
  <si>
    <t>9ae5e526e03af3a513b48b29baf8dc3d001845a2e6a86aa566163944e03a2daf</t>
  </si>
  <si>
    <t>{"in":"","DATE":"04/30/2026","IMEI":"1H85136QQB","NAME":"SWEETBOY","TIME":"12:08","PRICE":"\u20a61,200,000.00","STATUS":"PAID","PAID DATE":"","RECORD_ID":"d5ab54a1ee49449b92fa552fe0f14cbb","Amount paid":"\u20a61,200,000.00","DESCRIPTION":"VICTUS BY HP GAMING LAPTOP 15-fa2xxx","PHONE NUMBER":2349039519037,"DEAL LOCATION":"","INTERNAL NOTE":"","EXPENSE AMOUNT":"","CALCULATED PROFIT":"","EXPENSE DESCRIPTION":"","IMEI FOR SWAPPED DEAL":""}</t>
  </si>
  <si>
    <t>ba5255680933f50a64673d7e4dced8b18b28cc44a08be8d09cba0e7086cd1469</t>
  </si>
  <si>
    <t>{"in":"","DATE":"04/30/2026","IMEI":"","NAME":"MARVY FCG","TIME":"12:11","PRICE":"\u20a62,000.00","STATUS":"PAID","PAID DATE":"","RECORD_ID":"3c74cae093cd4d128b91118f1b6d1ba2","Amount paid":"\u20a62,000.00","DESCRIPTION":"IPHONE 7 SILVER IOS UPDATE","PHONE NUMBER":2348138375326,"DEAL LOCATION":"","INTERNAL NOTE":"","EXPENSE AMOUNT":"","CALCULATED PROFIT":"","EXPENSE DESCRIPTION":"","IMEI FOR SWAPPED DEAL":""}</t>
  </si>
  <si>
    <t>7d8503ac1f610703146cbe22b299209508e7c20deb5e4ce48c566cdb59f2a7ec</t>
  </si>
  <si>
    <t>{"in":"","DATE":"04/30/2026","IMEI":"","NAME":"AKINPELUMI MEE","TIME":"12:58","PRICE":"\u20a610,000.00","STATUS":"PAID","PAID DATE":"","RECORD_ID":"8d66b61d21ba4f84bdbb54a95a1a0778","Amount paid":"\u20a610,000.00","DESCRIPTION":"PAID 10K LOAN","PHONE NUMBER":2349039596257,"DEAL LOCATION":"","INTERNAL NOTE":"","EXPENSE AMOUNT":"","CALCULATED PROFIT":"","EXPENSE DESCRIPTION":"","IMEI FOR SWAPPED DEAL":""}</t>
  </si>
  <si>
    <t>99e19a775710bd9cfb1f84abad5090822c94bb12bafe1eaa7b9e4908d6e3d2b9</t>
  </si>
  <si>
    <t>{"in":"","DATE":"04/30/2026","IMEI":"","NAME":"WIZZY","TIME":"13:11","PRICE":"\u20a65,000.00","STATUS":"UNPAID","PAID DATE":"","RECORD_ID":"3f48de936619426e82a11be9c71da9f9","Amount paid":"\u20a60.00","DESCRIPTION":"IPHONE 17 PRO MAX IOS UPDATE: ORANGE: 2 UNITS","PHONE NUMBER":2348108686713,"DEAL LOCATION":"","INTERNAL NOTE":"","EXPENSE AMOUNT":"","CALCULATED PROFIT":"","EXPENSE DESCRIPTION":"","IMEI FOR SWAPPED DEAL":""}</t>
  </si>
  <si>
    <t>8589dd47f15c2a115bae298fa00ab861be1b29e904a22cec3858140ab1d1eb58</t>
  </si>
  <si>
    <t>{"in":"","DATE":"04/30/2026","IMEI":"","NAME":"ENGINEER JOHN","TIME":"13:14","PRICE":"\u20a62,500.00","STATUS":"UNPAID","PAID DATE":"","RECORD_ID":"0fdce51fee8f4a43860ac884ad5972f4","Amount paid":"\u20a60.00","DESCRIPTION":"IPHONE X FLASH: BLACK","PHONE NUMBER":2347025185247,"DEAL LOCATION":"","INTERNAL NOTE":"","EXPENSE AMOUNT":"","CALCULATED PROFIT":"","EXPENSE DESCRIPTION":"","IMEI FOR SWAPPED DEAL":""}</t>
  </si>
  <si>
    <t>da19fe5f005ad509b33244a588b4ce5d577d757c0b060fd60c91ca87cee42330</t>
  </si>
  <si>
    <t>{"in":"","DATE":"04/30/2026","IMEI":"","NAME":"BOLTUNSAM INT'L LTD","TIME":"13:25","PRICE":"\u20a65,000.00","STATUS":"PAID","PAID DATE":"","RECORD_ID":"e4900fb25d4348f0854912bacd0180e7","Amount paid":"\u20a6500.00","DESCRIPTION":"ICLOUD OPENING: NIGERIA","PHONE NUMBER":2347067042742,"DEAL LOCATION":"","INTERNAL NOTE":"","EXPENSE AMOUNT":"","CALCULATED PROFIT":"","EXPENSE DESCRIPTION":"","IMEI FOR SWAPPED DEAL":""}</t>
  </si>
  <si>
    <t>478837050cac97195ef4c8dc546e270b4e8944bf40842be6bfad813b92de33f9</t>
  </si>
  <si>
    <t>{"in":"","DATE":"04/30/2026","IMEI":351284086814162,"NAME":"MD GADGS","TIME":"14:00","PRICE":"\u20a6450,000.00","STATUS":"PAID","PAID DATE":"","RECORD_ID":"96463e620cb64b4784497bc7a4a9d671","Amount paid":"\u20a6450,000.00","DESCRIPTION":"IPHONE 14 PRO","PHONE NUMBER":2348166860603,"DEAL LOCATION":"","INTERNAL NOTE":"","EXPENSE AMOUNT":"","CALCULATED PROFIT":"","EXPENSE DESCRIPTION":"","IMEI FOR SWAPPED DEAL":""}</t>
  </si>
  <si>
    <t>1d5a047ddcf638863819f1147b4c6f5d8ce5fff295502fd07b8c9602b4d0750f</t>
  </si>
  <si>
    <t>{"in":"","DATE":"04/30/2026","IMEI":"","NAME":"BAYESH","TIME":"16:04","PRICE":"\u20a62,500.00","STATUS":"PAID","PAID DATE":"","RECORD_ID":"31b443d11f7b4d429f05dc9aca48387f","Amount paid":"\u20a62,500.00","DESCRIPTION":"iPhone 12 Pro Max Gold 128GB IOS UPDATE","PHONE NUMBER":2348136276066,"DEAL LOCATION":"","INTERNAL NOTE":"","EXPENSE AMOUNT":"","CALCULATED PROFIT":"","EXPENSE DESCRIPTION":"","IMEI FOR SWAPPED DEAL":""}</t>
  </si>
  <si>
    <t>bbab401e5a735b914e5a13024ad6a4bc21a207dc76f0680a2efee683026a931d</t>
  </si>
  <si>
    <t>{"in":"","DATE":"04/30/2026","IMEI":"","NAME":"PANKYGEE","TIME":"16:12","PRICE":"\u20a63,000.00","STATUS":"PAID","PAID DATE":"","RECORD_ID":"8572df829beb436592134ad9fca23d10","Amount paid":"\u20a63,000.00","DESCRIPTION":"IPHONE 16 PLUS TEAL IOS UPDATE","PHONE NUMBER":2347052247397,"DEAL LOCATION":"","INTERNAL NOTE":"","EXPENSE AMOUNT":"","CALCULATED PROFIT":"","EXPENSE DESCRIPTION":"","IMEI FOR SWAPPED DEAL":""}</t>
  </si>
  <si>
    <t>7bd48ee49e8f538a93b4ee0ccfb32264d199cf42c823b7bfe209711e364d7f83</t>
  </si>
  <si>
    <t>{"in":"","DATE":"04/30/2026","IMEI":"","NAME":"MOLYM VENTURES","TIME":"21:55","PRICE":"\u20a670,000.00","STATUS":"PAID","PAID DATE":"","RECORD_ID":"b420c0ad4c0b446cb466a46b382d6aba","Amount paid":"\u20a670,000.00","DESCRIPTION":"3 MONTHS ESIM","PHONE NUMBER":2348106236036,"DEAL LOCATION":"","INTERNAL NOTE":"","EXPENSE AMOUNT":"","CALCULATED PROFIT":"","EXPENSE DESCRIPTION":"","IMEI FOR SWAPPED DEAL":""}</t>
  </si>
  <si>
    <t>1246afa797342c6b9dedaeecde91b399eb6804aaf879bfd03e6e1f251dddc43f</t>
  </si>
  <si>
    <t>{"in":"","DATE":"04/30/2026","IMEI":"","NAME":"OLLY ESIM","TIME":"22:40","PRICE":"\u20a670,000.00","STATUS":"PAID","PAID DATE":"","RECORD_ID":"3c2632976d334c748f1635f37ebf9c1f","Amount paid":"\u20a670,000.00","DESCRIPTION":"3 MONTHS USA ESIM","PHONE NUMBER":2348140182599,"DEAL LOCATION":"","INTERNAL NOTE":"","EXPENSE AMOUNT":"","CALCULATED PROFIT":"","EXPENSE DESCRIPTION":"","IMEI FOR SWAPPED DEAL":""}</t>
  </si>
  <si>
    <t>a5598fce68f0fec6c2d07852af63ea1fe9efbbab864523bca515f9460bd8267a</t>
  </si>
  <si>
    <t>{"in":"","DATE":"05/01/2026","IMEI":"","NAME":"DAH UNIQUE","TIME":"9:54","PRICE":"\u20a63,000.00","STATUS":"RETURNED","PAID DATE":"","RECORD_ID":"378ae1d2dc9a4a248f2743a4a261d2ba","Amount paid":"\u20a60.00","DESCRIPTION":"iPhone 15 Plus Blue 128GB IOS UPDATE","PHONE NUMBER":2349070536253,"DEAL LOCATION":"","INTERNAL NOTE":"","EXPENSE AMOUNT":"","CALCULATED PROFIT":"","EXPENSE DESCRIPTION":"","IMEI FOR SWAPPED DEAL":""}</t>
  </si>
  <si>
    <t>5f0d78bc18d7364ac7f98505a741a18e34b7a8aa1d11c8d967f832ac79eb9de5</t>
  </si>
  <si>
    <t>2026-05-01T00:00:00+01:00</t>
  </si>
  <si>
    <t>{"in":"","DATE":"05/01/2026","IMEI":"","NAME":"RIDWAN","TIME":"10:15","PRICE":"\u20a65,000.00","STATUS":"PAID","PAID DATE":"","RECORD_ID":"c434661f31f144099f26e2d32f82faeb","Amount paid":"\u20a65,000.00","DESCRIPTION":"ICLOUD OPENING: NIGERIA","PHONE NUMBER":2349061789152,"DEAL LOCATION":"","INTERNAL NOTE":"","EXPENSE AMOUNT":"","CALCULATED PROFIT":"","EXPENSE DESCRIPTION":"","IMEI FOR SWAPPED DEAL":""}</t>
  </si>
  <si>
    <t>85031be748de0765eed97e01c1ef6a7e219dbc6c0749460c2cd7aa7e1792bef2</t>
  </si>
  <si>
    <t>{"in":"","DATE":"05/01/2026","IMEI":"","NAME":"WIZZY","TIME":"10:38","PRICE":"\u20a6125,000.00","STATUS":"PAID","PAID DATE":"","RECORD_ID":"68b8704a14af44d2a2421b3686e99868","Amount paid":"\u20a6125,000.00","DESCRIPTION":"IPHONE 16 PRO MAX UNLOCKING","PHONE NUMBER":2348108686713,"DEAL LOCATION":"","INTERNAL NOTE":"","EXPENSE AMOUNT":"","CALCULATED PROFIT":"","EXPENSE DESCRIPTION":"","IMEI FOR SWAPPED DEAL":""}</t>
  </si>
  <si>
    <t>6629de71fff57020691f58ea1b739d2fef252552986e62d032b19a8a1ee27c04</t>
  </si>
  <si>
    <t>{"in":"","DATE":"05/01/2026","IMEI":"351885215226753/13","NAME":"MD GADGS","TIME":"10:41","PRICE":"\u20a6760,000.00","STATUS":"PAID","PAID DATE":"","RECORD_ID":"3822a62efc51456bab2d6c30a4cf0b2c","Amount paid":"\u20a6760,000.00","DESCRIPTION":"SAMSUNG S24 ULTRA","PHONE NUMBER":2348166860603,"DEAL LOCATION":"","INTERNAL NOTE":"","EXPENSE AMOUNT":"","CALCULATED PROFIT":"","EXPENSE DESCRIPTION":"","IMEI FOR SWAPPED DEAL":""}</t>
  </si>
  <si>
    <t>c0a65e21bbdb4c490709793dca08ca6bf4b18970f60dafd5d799bc2843e82c09</t>
  </si>
  <si>
    <t>{"in":"","DATE":"05/01/2026","IMEI":"","NAME":"MASTERY MOBILE","TIME":"11:01","PRICE":"\u20a63,000.00","STATUS":"UNPAID","PAID DATE":"","RECORD_ID":"4714e58ccc6142868b3ec6bd1a16605f","Amount paid":"\u20a60.00","DESCRIPTION":"iPhone 16 Teal 128GB IOS UPDATE","PHONE NUMBER":2348027964718,"DEAL LOCATION":"","INTERNAL NOTE":"","EXPENSE AMOUNT":"","CALCULATED PROFIT":"","EXPENSE DESCRIPTION":"","IMEI FOR SWAPPED DEAL":""}</t>
  </si>
  <si>
    <t>6fd4ce469278caf42d909aebd9859bfeff299558b7e72dd32b77255ad4e8361d</t>
  </si>
  <si>
    <t>{"in":"","DATE":"05/01/2026","IMEI":"","NAME":"PANKYGEE","TIME":"11:21","PRICE":"\u20a63,000.00","STATUS":"PAID","PAID DATE":"","RECORD_ID":"fbe9067f68b644119e96a03889484885","Amount paid":"\u20a63,000.00","DESCRIPTION":"iPhone 15 Blue 128GB IOS UPDATE","PHONE NUMBER":2347052247397,"DEAL LOCATION":"","INTERNAL NOTE":"","EXPENSE AMOUNT":"","CALCULATED PROFIT":"","EXPENSE DESCRIPTION":"","IMEI FOR SWAPPED DEAL":""}</t>
  </si>
  <si>
    <t>2c25fecbc99b4ca14532fbc0faabedf29de2b238fcc58b459e1f5c1102698e16</t>
  </si>
  <si>
    <t>{"in":"","DATE":"05/01/2026","IMEI":"","NAME":"MZEE","TIME":"11:54","PRICE":"\u20a62,500.00","STATUS":"PAID","PAID DATE":"","RECORD_ID":"215a331dacf14c778bdfb77217446b2e","Amount paid":"\u20a62,500.00","DESCRIPTION":"IPHONE 16 PLUS IOS UPDATE: BLUE TITANIUM","PHONE NUMBER":2349038935833,"DEAL LOCATION":"","INTERNAL NOTE":"","EXPENSE AMOUNT":"","CALCULATED PROFIT":"","EXPENSE DESCRIPTION":"","IMEI FOR SWAPPED DEAL":""}</t>
  </si>
  <si>
    <t>01e176c6e9cd5e854319c4b1ab37108f455f361efb719c3c075532b4e0f97fa0</t>
  </si>
  <si>
    <t>{"in":"","DATE":"..","IMEI":".","NAME":"..","TIME":"..","PRICE":".","STATUS":".","PAID DATE":"","RECORD_ID":"ebac5683940b49649d364d3c98b7c125","Amount paid":".","DESCRIPTION":".","PHONE NUMBER":".","DEAL LOCATION":"","INTERNAL NOTE":"","EXPENSE AMOUNT":"","CALCULATED PROFIT":"","EXPENSE DESCRIPTION":"","IMEI FOR SWAPPED DEAL":"."}</t>
  </si>
  <si>
    <t>c4ee048ea238e0356cb4825362fc91debdd31e2119ddf5a7ab79383c10f1e4d6</t>
  </si>
  <si>
    <t>{"in":"","DATE":"05/01/2026","IMEI":"","NAME":"DAH UNIQUE","TIME":"12:04","PRICE":"\u20a62,500.00","STATUS":"UNPAID","PAID DATE":"","RECORD_ID":"a10a9c96fa1d419b8bd930a2967254e5","Amount paid":"\u20a60.00","DESCRIPTION":"iPhone 15 Plus Blue 128GB IOS UPDATE","PHONE NUMBER":2349070536253,"DEAL LOCATION":"","INTERNAL NOTE":"","EXPENSE AMOUNT":"","CALCULATED PROFIT":"","EXPENSE DESCRIPTION":"","IMEI FOR SWAPPED DEAL":""}</t>
  </si>
  <si>
    <t>1d0bb37e1b6666ca8bc4115a16884a9541688d80a22615ffad86844fb3880ee1</t>
  </si>
  <si>
    <t>{"in":"","DATE":"05/01/2026","IMEI":354029285395035,"NAME":"SALVAGE YARD","TIME":"12:56","PRICE":"\u20a6560,000.00","STATUS":"PAID","PAID DATE":"","RECORD_ID":"51a11475000a4dad876d924d39ad978c","Amount paid":"\u20a6560,000.00","DESCRIPTION":"IPHONE 15","PHONE NUMBER":2348115308158,"DEAL LOCATION":"","INTERNAL NOTE":"","EXPENSE AMOUNT":"","CALCULATED PROFIT":"","EXPENSE DESCRIPTION":"","IMEI FOR SWAPPED DEAL":""}</t>
  </si>
  <si>
    <t>08cbcdf38839fdbcdea99e174a06146f38989a7d20c36e7f4e8c55be4711e57b</t>
  </si>
  <si>
    <t>{"in":"","DATE":"05/01/2026","IMEI":357762267842460,"NAME":"MARVITECH","TIME":"14:30","PRICE":"\u20a6755,000.00","STATUS":"PAID","PAID DATE":"","RECORD_ID":"888f58ebfded4c06b0b796da3555b3dc","Amount paid":"\u20a6755,000.00","DESCRIPTION":"IPHONE 16","PHONE NUMBER":2348106931715,"DEAL LOCATION":"","INTERNAL NOTE":"","EXPENSE AMOUNT":"","CALCULATED PROFIT":"","EXPENSE DESCRIPTION":"","IMEI FOR SWAPPED DEAL":""}</t>
  </si>
  <si>
    <t>25ec92b8ef53182e1e6719ee4429d0d39884e5e7a86973a2e6b2da01815303a1</t>
  </si>
  <si>
    <t>{"in":"","DATE":"05/01/2026","IMEI":"","NAME":"DAPPER","TIME":"14:44","PRICE":"\u20a62,500.00","STATUS":"UNPAID","PAID DATE":"","RECORD_ID":"d43893a8d069444d8d3fcf8fd40c5271","Amount paid":"\u20a60.00","DESCRIPTION":"IPHONE 15 PRO MAX IOS UPDATE: NATURAL TITANIUM","PHONE NUMBER":2349166394378,"DEAL LOCATION":"","INTERNAL NOTE":"","EXPENSE AMOUNT":"","CALCULATED PROFIT":"","EXPENSE DESCRIPTION":"","IMEI FOR SWAPPED DEAL":""}</t>
  </si>
  <si>
    <t>994cb71db227899dab0279a97c8b87d43cd1c3650466b4c30ade3d0463643ea6</t>
  </si>
  <si>
    <t>{"in":"","DATE":"05/01/2026","IMEI":"","NAME":"OZ GADGET","TIME":"14:55","PRICE":"\u20a65,000.00","STATUS":"UNPAID","PAID DATE":"","RECORD_ID":"503533fe09774754b6fb286218f09a8c","Amount paid":"\u20a60.00","DESCRIPTION":"ICLOUD OPENING:  NIGERIA","PHONE NUMBER":2348106293924,"DEAL LOCATION":"","INTERNAL NOTE":"","EXPENSE AMOUNT":"","CALCULATED PROFIT":"","EXPENSE DESCRIPTION":"","IMEI FOR SWAPPED DEAL":""}</t>
  </si>
  <si>
    <t>fed91ada47a3636977e2b753c8d1e9e94ad1e1b1037f5535debc2f77443825ef</t>
  </si>
  <si>
    <t>{"in":"","DATE":"05/01/2026","IMEI":"","NAME":"HOLLAH GADGET","TIME":"14:58","PRICE":"\u20a62,500.00","STATUS":"UNPAID","PAID DATE":"","RECORD_ID":"56ee6900434c41c88bd3722f84b87077","Amount paid":"\u20a60.00","DESCRIPTION":"IPHONE 11 PRO MAX GOLD IOS UPDATE | NOTE: SENT FUNMI","PHONE NUMBER":2347041440724,"DEAL LOCATION":"","INTERNAL NOTE":"","EXPENSE AMOUNT":"","CALCULATED PROFIT":"","EXPENSE DESCRIPTION":"","IMEI FOR SWAPPED DEAL":""}</t>
  </si>
  <si>
    <t>444e200d78c5f54ed116ea15005f8cc72eb4dfca6ba4fd2af33864a7b63a84c6</t>
  </si>
  <si>
    <t>{"in":"","DATE":"05/01/2026","IMEI":350114363080305,"NAME":"IGEE","TIME":"15:28","PRICE":"\u20a6655,000.00","STATUS":"RETURNED","PAID DATE":"","RECORD_ID":"4b479807ecf14e67a7516c17dcf3ac02","Amount paid":"\u20a60.00","DESCRIPTION":"IPHONE 14 PRO P + E","PHONE NUMBER":2347071736488,"DEAL LOCATION":"","INTERNAL NOTE":"","EXPENSE AMOUNT":"","CALCULATED PROFIT":"","EXPENSE DESCRIPTION":"","IMEI FOR SWAPPED DEAL":""}</t>
  </si>
  <si>
    <t>145a8491910af93b6f2939f0bfce2a32177a72492864d711dd1b3c95e1344faf</t>
  </si>
  <si>
    <t>{"in":"","DATE":"05/01/2026","IMEI":"","NAME":"FAME","TIME":"15:36","PRICE":"\u20a62,500.00","STATUS":"UNPAID","PAID DATE":"","RECORD_ID":"1a390f8f41994c1e915a89b0c3eb9cdb","Amount paid":"\u20a60.00","DESCRIPTION":"iPhone 15 Pro Black Titanium 128GB IOS UPDATE | NOTE: SENT FUNMI","PHONE NUMBER":2348144970435,"DEAL LOCATION":"","INTERNAL NOTE":"","EXPENSE AMOUNT":"","CALCULATED PROFIT":"","EXPENSE DESCRIPTION":"","IMEI FOR SWAPPED DEAL":""}</t>
  </si>
  <si>
    <t>87ed5e4fa490debec78cf2afa5f3b6093742b81c560e3b7a862e751b6b40dd06</t>
  </si>
  <si>
    <t>{"in":"","DATE":"05/01/2026","IMEI":"","NAME":"NURUDEEN","TIME":"15:47","PRICE":"\u20a63,000.00","STATUS":"UNPAID","PAID DATE":"","RECORD_ID":"cca0f0ca550f4b51af39432a093eb2dc","Amount paid":"\u20a60.00","DESCRIPTION":"IPHONE XR BLACK LOCATION CHANGING | NOTE: NURUDEEN CUSTOMER","PHONE NUMBER":2349122727950,"DEAL LOCATION":"","INTERNAL NOTE":"","EXPENSE AMOUNT":"","CALCULATED PROFIT":"","EXPENSE DESCRIPTION":"","IMEI FOR SWAPPED DEAL":""}</t>
  </si>
  <si>
    <t>9bcc33e5c46d171fbf4c32be8c4e1c25d120db6480f2d5e4e0e2cb87dc1f7fd2</t>
  </si>
  <si>
    <t>{"in":"","DATE":"05/01/2026","IMEI":"","NAME":"EMM GUY","TIME":"16:30","PRICE":"\u20a6160,000.00","STATUS":"PAID","PAID DATE":"","RECORD_ID":"293f2938a2fa4b0ea90d41bdbd78819c","Amount paid":"\u20a6160,000.00","DESCRIPTION":"IPHONE 17 PRO MAX UNLOCKING","PHONE NUMBER":2347040405109,"DEAL LOCATION":"","INTERNAL NOTE":"","EXPENSE AMOUNT":"","CALCULATED PROFIT":"","EXPENSE DESCRIPTION":"","IMEI FOR SWAPPED DEAL":""}</t>
  </si>
  <si>
    <t>4b4f1c2ab3af1ce664d2a40f8500dd6b10e7ea0fc8e381a39e07e47f1b9480d0</t>
  </si>
  <si>
    <t>{"in":"","DATE":"05/01/2026","IMEI":356200546566213,"NAME":"THANKGOD CONCEPT","TIME":"16:34","PRICE":"\u20a6540,000.00","STATUS":"RETURNED","PAID DATE":"","RECORD_ID":"2696bc71dd6a468f9f27f46622598522","Amount paid":"\u20a60.00","DESCRIPTION":"iPhone 14 Pro Max","PHONE NUMBER":2349060695934,"DEAL LOCATION":"","INTERNAL NOTE":"","EXPENSE AMOUNT":"","CALCULATED PROFIT":"","EXPENSE DESCRIPTION":"","IMEI FOR SWAPPED DEAL":""}</t>
  </si>
  <si>
    <t>62bbe85e6c60f3a6bed1f31c0f64e93585436a75a7a96bc156352908bd6c52fc</t>
  </si>
  <si>
    <t>{"in":"","DATE":"05/01/2026","IMEI":"","NAME":"ENGINEER JOHN","TIME":"16:37","PRICE":"\u20a62,500.00","STATUS":"UNPAID","PAID DATE":"","RECORD_ID":"86db3ef22d504078811599b1b118a9f0","Amount paid":"\u20a60.00","DESCRIPTION":"IPHONE 7 BLACK IOS UPDATE","PHONE NUMBER":2347025185247,"DEAL LOCATION":"","INTERNAL NOTE":"","EXPENSE AMOUNT":"","CALCULATED PROFIT":"","EXPENSE DESCRIPTION":"","IMEI FOR SWAPPED DEAL":""}</t>
  </si>
  <si>
    <t>f3f87e15e3c49e14b6cc07d73ac8cde6994ec14331aef37858cb86e733536ab5</t>
  </si>
  <si>
    <t>{"in":"","DATE":"05/01/2026","IMEI":"","NAME":"ENGR AZ","TIME":"17:15","PRICE":"\u20a670,000.00","STATUS":"PAID","PAID DATE":"","RECORD_ID":"bb6569b576f44b09b89983e0b216b17e","Amount paid":"\u20a670,000.00","DESCRIPTION":"USA 3 MONTHS ESIM","PHONE NUMBER":2348166397858,"DEAL LOCATION":"","INTERNAL NOTE":"","EXPENSE AMOUNT":"","CALCULATED PROFIT":"","EXPENSE DESCRIPTION":"","IMEI FOR SWAPPED DEAL":""}</t>
  </si>
  <si>
    <t>69354ea5f6125cd4080b077a1140b9c378b947c891d70538e6f38c5c0a3698bc</t>
  </si>
  <si>
    <t>{"in":"","DATE":"05/01/2026","IMEI":"","NAME":"TIZZY","TIME":"17:33","PRICE":"\u20a625,000.00","STATUS":"PAID","PAID DATE":"","RECORD_ID":"822f34ecd11047ab964fdfe2b8449d83","Amount paid":"\u20a625,000.00","DESCRIPTION":"IPHONE 12 PRO MAX CHIP UNLOCKING: STABLE CHIP","PHONE NUMBER":2347067356481,"DEAL LOCATION":"","INTERNAL NOTE":"","EXPENSE AMOUNT":"","CALCULATED PROFIT":"","EXPENSE DESCRIPTION":"","IMEI FOR SWAPPED DEAL":""}</t>
  </si>
  <si>
    <t>39232ea99497c920f5b54f703d4d75e7edfe6e0d6dfa00da40e655866a7eaf91</t>
  </si>
  <si>
    <t>{"in":"","DATE":"05/02/2026","IMEI":"","NAME":"FORMULA","TIME":"9:03","PRICE":"\u20a63,000.00","STATUS":"UNPAID","PAID DATE":"","RECORD_ID":"b93b44e37d8c4b8da96d66176bd8c549","Amount paid":"\u20a60.00","DESCRIPTION":"iPhone 16 Plus Pink 128GB IOS UPDATE | NOTE: SENT DARASIMI","PHONE NUMBER":2347067612418,"DEAL LOCATION":"","INTERNAL NOTE":"","EXPENSE AMOUNT":"","CALCULATED PROFIT":"","EXPENSE DESCRIPTION":"","IMEI FOR SWAPPED DEAL":""}</t>
  </si>
  <si>
    <t>3fbff649f79b2fef4b4d3d79b0460fc37f31826b313f811f75164351bee8ee93</t>
  </si>
  <si>
    <t>2026-05-02T00:00:00+01:00</t>
  </si>
  <si>
    <t>{"in":"","DATE":"05/02/2026","IMEI":356200546566213,"NAME":"PROTECH GADGET","TIME":"9:17","PRICE":"\u20a6530,000.00","STATUS":"PAID","PAID DATE":"","RECORD_ID":"e1a0d575a6d74235925a4dc9fdc32180","Amount paid":"\u20a6530,000.00","DESCRIPTION":"iPhone 14 Pro Max","PHONE NUMBER":2348102522960,"DEAL LOCATION":"","INTERNAL NOTE":"","EXPENSE AMOUNT":"","CALCULATED PROFIT":"","EXPENSE DESCRIPTION":"","IMEI FOR SWAPPED DEAL":""}</t>
  </si>
  <si>
    <t>ff0351148a3fcb55d3065e80e5fcabf68838c582a03c12198bd0f4f0f727a9a9</t>
  </si>
  <si>
    <t>{"in":"","DATE":"05/02/2026","IMEI":350114363080305,"NAME":"CH4","TIME":"10:02","PRICE":"\u20a6655,000.00","STATUS":"RETURNED","PAID DATE":"","RECORD_ID":"4d078fb2f605490fa4309d55610573d3","Amount paid":"\u20a60.00","DESCRIPTION":"IPHONE 14 PRO P + E","PHONE NUMBER":2348131941406,"DEAL LOCATION":"","INTERNAL NOTE":"","EXPENSE AMOUNT":"","CALCULATED PROFIT":"","EXPENSE DESCRIPTION":"","IMEI FOR SWAPPED DEAL":""}</t>
  </si>
  <si>
    <t>03bfaface539ed12627c141c90e29ec1bbafc358a2cfe7aa70fa4be2b95f5286</t>
  </si>
  <si>
    <t>{"in":"","DATE":"05/02/2026","IMEI":354540530464186,"NAME":"DOVESGADGETS","TIME":"10:54","PRICE":"\u20a6580,000.00","STATUS":"PAID","PAID DATE":"","RECORD_ID":"9e3124bbc1f4401ead92add2a4bb3d73","Amount paid":"\u20a6580,000.00","DESCRIPTION":"IPHONE 14 PRO P + E","PHONE NUMBER":2348131118365,"DEAL LOCATION":"","INTERNAL NOTE":"","EXPENSE AMOUNT":"","CALCULATED PROFIT":"","EXPENSE DESCRIPTION":"","IMEI FOR SWAPPED DEAL":""}</t>
  </si>
  <si>
    <t>a4b7955dc57c69572360a1aaf92cb589cea9b0c21666360c863b13fa92ac6934</t>
  </si>
  <si>
    <t>{"in":"","DATE":"05/02/2026","IMEI":"","NAME":"AREMO","TIME":"14:57","PRICE":"\u20a613,000.00","STATUS":"PAID","PAID DATE":"","RECORD_ID":"5b134981b1ab4dec9b0e7b9ad2789415","Amount paid":"\u20a613,000.00","DESCRIPTION":"IPHONE 16 PLUS APPLE LOGO LOOP FIX","PHONE NUMBER":2349037888923,"DEAL LOCATION":"","INTERNAL NOTE":"","EXPENSE AMOUNT":"","CALCULATED PROFIT":"","EXPENSE DESCRIPTION":"","IMEI FOR SWAPPED DEAL":""}</t>
  </si>
  <si>
    <t>c249c5462ac58c3f13c8c1e137b78d4e2d96ffbb5e4300df619960776891e3bf</t>
  </si>
  <si>
    <t>{"in":"","DATE":"05/02/2026","IMEI":"","NAME":"FEMI","TIME":"15:03","PRICE":"\u20a62,500.00","STATUS":"PAID","PAID DATE":"","RECORD_ID":"55a0bcc14fd04c9b988b5351091f7e98","Amount paid":"\u20a62,500.00","DESCRIPTION":"IPHONE 12 IOS UPDATE: BLACK","PHONE NUMBER":2349037004973,"DEAL LOCATION":"","INTERNAL NOTE":"","EXPENSE AMOUNT":"","CALCULATED PROFIT":"","EXPENSE DESCRIPTION":"","IMEI FOR SWAPPED DEAL":""}</t>
  </si>
  <si>
    <t>dbf5d7eb82575d321c78987d7358c8a800ba430ca3622fc12c4107ce824d8379</t>
  </si>
  <si>
    <t>{"in":"","DATE":"05/02/2026","IMEI":"","NAME":"CH4","TIME":"16:01","PRICE":"\u20a62,500.00","STATUS":"PAID","PAID DATE":"","RECORD_ID":"745f6bef8f114bfab27648e4a4898023","Amount paid":"\u20a62,500.00","DESCRIPTION":"iPhone 14 Pro Silver 128GB IOS UPDATE | NOTE: SENT DAUNSI","PHONE NUMBER":2348131941406,"DEAL LOCATION":"","INTERNAL NOTE":"","EXPENSE AMOUNT":"","CALCULATED PROFIT":"","EXPENSE DESCRIPTION":"","IMEI FOR SWAPPED DEAL":""}</t>
  </si>
  <si>
    <t>c37bd76b27dc37c792d0ed3dcfaf406be3081892bdc3ac64fad935d50ee45483</t>
  </si>
  <si>
    <t>{"in":"","DATE":"05/02/2026","IMEI":"","NAME":"BAYESH","TIME":"16:17","PRICE":"\u20a65,000.00","STATUS":"PAID","PAID DATE":"","RECORD_ID":"de5a96f971b44ade8e636890feed945c","Amount paid":"\u20a65,000.00","DESCRIPTION":"IPHONE 11 SDP FLASH: BLACK","PHONE NUMBER":2348136276066,"DEAL LOCATION":"","INTERNAL NOTE":"","EXPENSE AMOUNT":"","CALCULATED PROFIT":"","EXPENSE DESCRIPTION":"","IMEI FOR SWAPPED DEAL":""}</t>
  </si>
  <si>
    <t>54e9f71f16a240e3c21cf3c74ba7f8eb8c34ca859365da6e181cbaddc48f88af</t>
  </si>
  <si>
    <t>{"in":"","DATE":"05/02/2026","IMEI":"","NAME":"FORMULA","TIME":"16:46","PRICE":"\u20a62,500.00","STATUS":"UNPAID","PAID DATE":"","RECORD_ID":"16548480946740b6bb3c7d5fb582609e","Amount paid":"\u20a60.00","DESCRIPTION":"iPhone 14 Pro Gold 256GB IOS UPDATE","PHONE NUMBER":2347067612418,"DEAL LOCATION":"","INTERNAL NOTE":"","EXPENSE AMOUNT":"","CALCULATED PROFIT":"","EXPENSE DESCRIPTION":"","IMEI FOR SWAPPED DEAL":""}</t>
  </si>
  <si>
    <t>04e59077c04d1aa82ed7a74bc1accf6c4b4c110d15efd8ceafb297a6964a31b9</t>
  </si>
  <si>
    <t>{"in":"","DATE":"05/02/2026","IMEI":"","NAME":"TUNARO","TIME":"16:48","PRICE":"\u20a63,000.00","STATUS":"PAID","PAID DATE":"","RECORD_ID":"0c47839ef9344003a71c0ac73b20da53","Amount paid":"\u20a63,000.00","DESCRIPTION":"SPOOFING LOCATION FOR IPHONE 17 PRO MAX","PHONE NUMBER":2349038269473,"DEAL LOCATION":"","INTERNAL NOTE":"","EXPENSE AMOUNT":"","CALCULATED PROFIT":"","EXPENSE DESCRIPTION":"","IMEI FOR SWAPPED DEAL":""}</t>
  </si>
  <si>
    <t>387feaa6adaed414fb81fd94af87c7eb61bcb783ea544d07a6e89b563cbb1fa7</t>
  </si>
  <si>
    <t>{"in":"","DATE":"05/02/2026","IMEI":"","NAME":"FORMULA","TIME":"17:27","PRICE":"\u20a62,500.00","STATUS":"PAID","PAID DATE":"","RECORD_ID":"07e72a35f678483ab559f8d0ac47ab0e","Amount paid":"\u20a62,500.00","DESCRIPTION":"iphone 12 pro max PACIFIC BLUE 128GB IOS UPDATE | NOTE: SENT DARASIMI","PHONE NUMBER":2347067612418,"DEAL LOCATION":"","INTERNAL NOTE":"","EXPENSE AMOUNT":"","CALCULATED PROFIT":"","EXPENSE DESCRIPTION":"","IMEI FOR SWAPPED DEAL":""}</t>
  </si>
  <si>
    <t>f7b5b72b6f9e748b50f0fb7f97cfeee57930c3511dcff40155ac4fbffd8bd10d</t>
  </si>
  <si>
    <t>{"in":"","DATE":"05/02/2026","IMEI":"","NAME":"IPRO GADGET","TIME":"17:44","PRICE":"\u20a64,000.00","STATUS":"PAID","PAID DATE":"","RECORD_ID":"bf4ee38538de43ad98ec76c7a0cd6c1a","Amount paid":"\u20a64,000.00","DESCRIPTION":"FILE TRANSFER: IPHONE 12 TO IPHOINE XR | NOTE: LOWER IOS VERSION","PHONE NUMBER":2348109344663,"DEAL LOCATION":"","INTERNAL NOTE":"","EXPENSE AMOUNT":"","CALCULATED PROFIT":"","EXPENSE DESCRIPTION":"","IMEI FOR SWAPPED DEAL":""}</t>
  </si>
  <si>
    <t>e3ab601de8af826e0be9a5a9737189aa22b6fb640e8e784d06f0b55ab1fa8084</t>
  </si>
  <si>
    <t>{"in":"","DATE":"05/02/2026","IMEI":"C02G38FWQ05N","NAME":"AKINPELUMI MEE","TIME":"17:48","PRICE":"\u20a6950,000.00","STATUS":"PAID","PAID DATE":"","RECORD_ID":"b82b68840939402081236a70dab6fdb4","Amount paid":"\u20a6950,000.00","DESCRIPTION":"MACBOOK M1 PRO 2020","PHONE NUMBER":2349039596257,"DEAL LOCATION":"","INTERNAL NOTE":"","EXPENSE AMOUNT":"","CALCULATED PROFIT":"","EXPENSE DESCRIPTION":"","IMEI FOR SWAPPED DEAL":""}</t>
  </si>
  <si>
    <t>456fee940f54dba6dfad3c1ae174a8381ea2df1dd7acc1a04855a87caeab0bdb</t>
  </si>
  <si>
    <t>2026-05-04T00:00:00+01:00</t>
  </si>
  <si>
    <t>{"in":"","DATE":"05/04/2026","IMEI":"","NAME":"GLORY HOLLAH GADGETS","TIME":"8:39","PRICE":"\u20a62,500.00","STATUS":"PAID","PAID DATE":"","RECORD_ID":"8cfd44399b0240a99e232623a71d59ff","Amount paid":"\u20a62,500.00","DESCRIPTION":"IPHONE 12 PRO MAX GOLD IOS UPDATE","PHONE NUMBER":2349160584225,"DEAL LOCATION":"","INTERNAL NOTE":"","EXPENSE AMOUNT":"","CALCULATED PROFIT":"","EXPENSE DESCRIPTION":"","IMEI FOR SWAPPED DEAL":""}</t>
  </si>
  <si>
    <t>f358b1165054ac314959ddd8dcba0de516383c65340d6f1ff54a38e30b481d77</t>
  </si>
  <si>
    <t>{"in":"","DATE":"05/04/2026","IMEI":"","NAME":"CH4","TIME":"8:55","PRICE":"\u20a62,500.00","STATUS":"PAID","PAID DATE":"","RECORD_ID":"c788e5b5768e4bc49460ce3708c121ef","Amount paid":"\u20a62,500.00","DESCRIPTION":"iPhone 15 Blue 128GB IOS UPDATE","PHONE NUMBER":2348131941406,"DEAL LOCATION":"","INTERNAL NOTE":"","EXPENSE AMOUNT":"","CALCULATED PROFIT":"","EXPENSE DESCRIPTION":"","IMEI FOR SWAPPED DEAL":""}</t>
  </si>
  <si>
    <t>b28e2295963164e46b74a577949028d92689a8fda96383ec8f1a27058289f935</t>
  </si>
  <si>
    <t>{"in":"","DATE":"05/04/2026","IMEI":"","NAME":"TUNDE BABZ","TIME":"12:18","PRICE":"\u20a62,500.00","STATUS":"UNPAID","PAID DATE":"","RECORD_ID":"09bdf58122734aab833db5de09ecdccf","Amount paid":"\u20a60.00","DESCRIPTION":"IPHONE XR BLUE IOS UPDATE","PHONE NUMBER":2348130793960,"DEAL LOCATION":"","INTERNAL NOTE":"","EXPENSE AMOUNT":"","CALCULATED PROFIT":"","EXPENSE DESCRIPTION":"","IMEI FOR SWAPPED DEAL":""}</t>
  </si>
  <si>
    <t>136c50c8dd49cc44cca73cb63586df677bc8b0d8e893ed7b3316f3107d469e6e</t>
  </si>
  <si>
    <t>{"in":"","DATE":"05/04/2026","IMEI":"","NAME":"FORMULA","TIME":"12:22","PRICE":"\u20a63,000.00","STATUS":"UNPAID","PAID DATE":"","RECORD_ID":"279633a46dfd465491654f79d274ccfb","Amount paid":"\u20a60.00","DESCRIPTION":"iPhone 16 White 128GB IOS UPDATE | NOTE: SENT DARASIMI","PHONE NUMBER":2347067612418,"DEAL LOCATION":"","INTERNAL NOTE":"","EXPENSE AMOUNT":"","CALCULATED PROFIT":"","EXPENSE DESCRIPTION":"","IMEI FOR SWAPPED DEAL":""}</t>
  </si>
  <si>
    <t>cc78fb1d63bdbf2b7cbb0a727d21e26c46acbcf33897cbae004d55fedbb801aa</t>
  </si>
  <si>
    <t>{"in":"","DATE":"05/04/2026","IMEI":"","NAME":"IJEOMA","TIME":"12:31","PRICE":"\u20a65,000.00","STATUS":"PAID","PAID DATE":"","RECORD_ID":"fd293b222ad94dfaa5c7709272b81ac5","Amount paid":"\u20a65,000.00","DESCRIPTION":"IPHONE XSMAX SYSTEM DATA SPACE FIX","PHONE NUMBER":2349033337256,"DEAL LOCATION":"","INTERNAL NOTE":"","EXPENSE AMOUNT":"","CALCULATED PROFIT":"","EXPENSE DESCRIPTION":"","IMEI FOR SWAPPED DEAL":""}</t>
  </si>
  <si>
    <t>2d5119b14c12042b2b15fa50414b11d58e387b16e756260af85c2881a8a29035</t>
  </si>
  <si>
    <t>{"in":"","DATE":"05/04/2026","IMEI":"","NAME":"SAM EXCHANGE","TIME":"12:39","PRICE":"\u20a65,000.00","STATUS":"PAID","PAID DATE":"","RECORD_ID":"3e85790a3f71459186dc1d79f40542e3","Amount paid":"\u20a65,000.00","DESCRIPTION":"ICLOUD OPENING: NIGERIA | NOTE: Blessing oluwaseun, blessingoluwaseunogunleye@gmail.com,  07035919593 , Password provided: AppleID2026#  adjusted date to 2004 from 2006","PHONE NUMBER":2349165644976,"DEAL LOCATION":"","INTERNAL NOTE":"","EXPENSE AMOUNT":"","CALCULATED PROFIT":"","EXPENSE DESCRIPTION":"","IMEI FOR SWAPPED DEAL":""}</t>
  </si>
  <si>
    <t>9d841fab4b8155958852f8858f5f41ae8543cf0c62cb451cf85c3ac9c5acaf69</t>
  </si>
  <si>
    <t>{"in":"","DATE":"05/04/2026","IMEI":"","NAME":"DAPPER","TIME":"12:40","PRICE":"\u20a62,500.00","STATUS":"UNPAID","PAID DATE":"","RECORD_ID":"bb0b51b345ad4e3c94083dcf445780b0","Amount paid":"\u20a60.00","DESCRIPTION":"iPhone 14 Starlight 128GB IOS UPDATE","PHONE NUMBER":2349166394378,"DEAL LOCATION":"","INTERNAL NOTE":"","EXPENSE AMOUNT":"","CALCULATED PROFIT":"","EXPENSE DESCRIPTION":"","IMEI FOR SWAPPED DEAL":""}</t>
  </si>
  <si>
    <t>038d6f23d6fb713d6417aae45e6ea19a1130a1fb4c769f62cd1a13b4ece5d8e5</t>
  </si>
  <si>
    <t>{"in":"","DATE":"05/04/2026","IMEI":"","NAME":"DAMOLA FCG","TIME":"13:23","PRICE":"\u20a625,000.00","STATUS":"PAID","PAID DATE":"","RECORD_ID":"91908ab3d30046fbad8a7842b42b896b","Amount paid":"\u20a625,000.00","DESCRIPTION":"STABLE CHIP FOR IPHONE 12","PHONE NUMBER":2348059523385,"DEAL LOCATION":"","INTERNAL NOTE":"","EXPENSE AMOUNT":"","CALCULATED PROFIT":"","EXPENSE DESCRIPTION":"","IMEI FOR SWAPPED DEAL":""}</t>
  </si>
  <si>
    <t>506aca44f22963a7d4f104aa88f26352360b9e0faed1bb08ab11180d01177629</t>
  </si>
  <si>
    <t>{"in":"","DATE":"05/04/2026","IMEI":"","NAME":"DAH UNIQUE","TIME":"14:44","PRICE":"\u20a62,500.00","STATUS":"UNPAID","PAID DATE":"","RECORD_ID":"8ecb3a7be39241d495ad5ca20ef096f5","Amount paid":"\u20a60.00","DESCRIPTION":"IPHONE 14 PRO MAX IOS UPDATE: PURPLE","PHONE NUMBER":2349070536253,"DEAL LOCATION":"","INTERNAL NOTE":"","EXPENSE AMOUNT":"","CALCULATED PROFIT":"","EXPENSE DESCRIPTION":"","IMEI FOR SWAPPED DEAL":""}</t>
  </si>
  <si>
    <t>f1cc499a6c06a5f2e2aed79c8bd0ad390f4658613f5c053f67d8fcb201380149</t>
  </si>
  <si>
    <t>{"in":"","DATE":"05/04/2026","IMEI":"","NAME":"AHB","TIME":"14:53","PRICE":"\u20a62,500.00","STATUS":"UNPAID","PAID DATE":"","RECORD_ID":"6c74b64cd4624923abc4da8a7fe201f5","Amount paid":"\u20a60.00","DESCRIPTION":"iPhone 11 Black 128GB IOS UPDATE","PHONE NUMBER":2349136777731,"DEAL LOCATION":"","INTERNAL NOTE":"","EXPENSE AMOUNT":"","CALCULATED PROFIT":"","EXPENSE DESCRIPTION":"","IMEI FOR SWAPPED DEAL":""}</t>
  </si>
  <si>
    <t>e4a890c924b3138cc14579897405622ef2b64f122eb473a50429df8e3f392c0a</t>
  </si>
  <si>
    <t>{"in":"","DATE":"05/04/2026","IMEI":"","NAME":"DELIGHT","TIME":"14:54","PRICE":"\u20a63,000.00","STATUS":"PAID","PAID DATE":"","RECORD_ID":"4e0b656ecf504d1f863e7afcf71bc79c","Amount paid":"\u20a63,000.00","DESCRIPTION":"IPHONE 14 PRO IOS UPDATE: SPACE BLACK","PHONE NUMBER":2347065811799,"DEAL LOCATION":"","INTERNAL NOTE":"","EXPENSE AMOUNT":"","CALCULATED PROFIT":"","EXPENSE DESCRIPTION":"","IMEI FOR SWAPPED DEAL":""}</t>
  </si>
  <si>
    <t>081a7f09820477932959bbfa1707f109126557336f8c784a6ad8cabd56a42fad</t>
  </si>
  <si>
    <t>{"in":"","DATE":"05/04/2026","IMEI":"","NAME":"WIZZY","TIME":"15:18","PRICE":"\u20a62,500.00","STATUS":"PAID","PAID DATE":"","RECORD_ID":"4c1ae6ac618c40f4ba59803e48c316ca","Amount paid":"\u20a62,500.00","DESCRIPTION":"IPHONE 15 PLUS IOS UPDATE: sky blue","PHONE NUMBER":2348108686713,"DEAL LOCATION":"","INTERNAL NOTE":"","EXPENSE AMOUNT":"","CALCULATED PROFIT":"","EXPENSE DESCRIPTION":"","IMEI FOR SWAPPED DEAL":""}</t>
  </si>
  <si>
    <t>b84c6b619ebf9507f50fe31893c282c61b41f947ec0476a7b64002bcfaf8b03d</t>
  </si>
  <si>
    <t>{"in":"","DATE":".","IMEI":".","NAME":"..","TIME":".","PRICE":".","STATUS":".","PAID DATE":"","RECORD_ID":"6d8537f9332745c3b8a586cf0e8bb7bf","Amount paid":".","DESCRIPTION":".","PHONE NUMBER":".","DEAL LOCATION":"","INTERNAL NOTE":"","EXPENSE AMOUNT":"","CALCULATED PROFIT":"","EXPENSE DESCRIPTION":"","IMEI FOR SWAPPED DEAL":""}</t>
  </si>
  <si>
    <t>d4b2fd350d8bdfe56c5a79b78447e8285cbd678c789516463cfda05a47c6367c</t>
  </si>
  <si>
    <t>{"in":"","DATE":".","IMEI":".","NAME":"..","TIME":".","PRICE":".","STATUS":".","PAID DATE":"","RECORD_ID":"ccf9381b3265423987e5a69b6f99ce4f","Amount paid":".","DESCRIPTION":".","PHONE NUMBER":".","DEAL LOCATION":"","INTERNAL NOTE":"","EXPENSE AMOUNT":"","CALCULATED PROFIT":"","EXPENSE DESCRIPTION":"","IMEI FOR SWAPPED DEAL":""}</t>
  </si>
  <si>
    <t>274b07c12484d0d1ec5f22248461471a262aafacbf93c009a7422ed8ef2d1ffe</t>
  </si>
  <si>
    <t>{"in":"","DATE":".","IMEI":".","NAME":"..","TIME":".","PRICE":"..","STATUS":"....","PAID DATE":"","RECORD_ID":"cb0ef351761c49aba60d15a52b0d2d4b","Amount paid":".","DESCRIPTION":".","PHONE NUMBER":".","DEAL LOCATION":"","INTERNAL NOTE":"","EXPENSE AMOUNT":"","CALCULATED PROFIT":"","EXPENSE DESCRIPTION":"","IMEI FOR SWAPPED DEAL":""}</t>
  </si>
  <si>
    <t>e615319e80d53144eaa7666b19790249c5e43e2f7f4ee9e8b2516e9cb10a7f2e</t>
  </si>
  <si>
    <t>{"in":"","DATE":".","IMEI":".","NAME":"..","TIME":".","PRICE":".","STATUS":"","PAID DATE":"","RECORD_ID":"791f0e83908b48ff9b715b47d0344715","Amount paid":".","DESCRIPTION":".","PHONE NUMBER":".","DEAL LOCATION":"","INTERNAL NOTE":"","EXPENSE AMOUNT":"","CALCULATED PROFIT":"","EXPENSE DESCRIPTION":"","IMEI FOR SWAPPED DEAL":""}</t>
  </si>
  <si>
    <t>b8a07ad27c3841d2f3935a831e675241c3e5f6c6b7e28f32ab07bb694a99c137</t>
  </si>
  <si>
    <t>{"in":"","DATE":".","IMEI":".","NAME":".","TIME":".","PRICE":".","STATUS":"","PAID DATE":"","RECORD_ID":"beba1d8c00c441aab3a7781d4c40ca5e","Amount paid":".","DESCRIPTION":".","PHONE NUMBER":".","DEAL LOCATION":"","INTERNAL NOTE":"","EXPENSE AMOUNT":"","CALCULATED PROFIT":"","EXPENSE DESCRIPTION":"","IMEI FOR SWAPPED DEAL":"."}</t>
  </si>
  <si>
    <t>20c0ee99c4ca00b09f7b489ebbde29019b24535816cc60b9b92b67e61126a3f7</t>
  </si>
  <si>
    <t>{"in":"","DATE":".","IMEI":".","NAME":"..","TIME":".","PRICE":".","STATUS":".","PAID DATE":"","RECORD_ID":"608e7a872d844bf293c6a18f2a58a0a5","Amount paid":".","DESCRIPTION":".","PHONE NUMBER":".","DEAL LOCATION":"","INTERNAL NOTE":"","EXPENSE AMOUNT":"","CALCULATED PROFIT":"","EXPENSE DESCRIPTION":"","IMEI FOR SWAPPED DEAL":""}</t>
  </si>
  <si>
    <t>ce47ec916bc6ef6ffc90804223b73e1059e703afe257f04f9d3c86bfe98ad232</t>
  </si>
  <si>
    <t>{"in":"","DATE":".","IMEI":".","NAME":".","TIME":".","PRICE":".","STATUS":"..","PAID DATE":"","RECORD_ID":"c8c1fd8ae0624c25b977d2ce27d93115","Amount paid":".","DESCRIPTION":".","PHONE NUMBER":".","DEAL LOCATION":"","INTERNAL NOTE":"","EXPENSE AMOUNT":"","CALCULATED PROFIT":"","EXPENSE DESCRIPTION":"","IMEI FOR SWAPPED DEAL":""}</t>
  </si>
  <si>
    <t>bf1f5488d6180ed24d70c8e1b60ca0d4d60c37cf39b91cfaea4da1f4ca12dc24</t>
  </si>
  <si>
    <t>{"in":"","DATE":".","IMEI":".","NAME":"..","TIME":".","PRICE":".","STATUS":".","PAID DATE":"","RECORD_ID":"760eb13aaaae43c6a7504ceaa6cbf0cc","Amount paid":".","DESCRIPTION":".","PHONE NUMBER":".","DEAL LOCATION":"","INTERNAL NOTE":"","EXPENSE AMOUNT":"","CALCULATED PROFIT":"","EXPENSE DESCRIPTION":"","IMEI FOR SWAPPED DEAL":"."}</t>
  </si>
  <si>
    <t>81a5d09b0b3de9fedf47427cf595588d651d09e844e3e60ee149cb37df144ad8</t>
  </si>
  <si>
    <t>{"in":"","DATE":".","IMEI":".","NAME":"..","TIME":".","PRICE":".","STATUS":"","PAID DATE":"","RECORD_ID":"82f5e54f4df24fa388af8c610e38d059","Amount paid":".","DESCRIPTION":".","PHONE NUMBER":".","DEAL LOCATION":"","INTERNAL NOTE":"","EXPENSE AMOUNT":"","CALCULATED PROFIT":"","EXPENSE DESCRIPTION":"","IMEI FOR SWAPPED DEAL":""}</t>
  </si>
  <si>
    <t>c7dda633e532f086c0952adb8136319e8ea39adefac24438fa7221ac9727ed38</t>
  </si>
  <si>
    <t>{"in":"","DATE":"05/04/2026","IMEI":"","NAME":"FORMULA","TIME":"16:25","PRICE":"\u20a68,000.00","STATUS":"UNPAID","PAID DATE":"","RECORD_ID":"2e7e70935cff4be58935fe9ae33e0b40","Amount paid":"\u20a60.00","DESCRIPTION":"IPHONE 6S REMOTE MANAGEMENT BYPASS","PHONE NUMBER":2347067612418,"DEAL LOCATION":"","INTERNAL NOTE":"","EXPENSE AMOUNT":"","CALCULATED PROFIT":"","EXPENSE DESCRIPTION":"","IMEI FOR SWAPPED DEAL":""}</t>
  </si>
  <si>
    <t>74e92b115be5972de024a268d6d377f313c764d2f2e330336f5acdf45b8e9379</t>
  </si>
  <si>
    <t>2026-05-05T00:00:00+01:00</t>
  </si>
  <si>
    <t>{"in":"","DATE":"05/05/2026","IMEI":"","NAME":"SMART","TIME":"10:14","PRICE":"\u20a62,500.00","STATUS":"paid","PAID DATE":"","RECORD_ID":"262c14913b494272bea6f49b2426da17","Amount paid":"\u20a62,500.00","DESCRIPTION":"iPhone 11 Red 64GB IOS UPDATE","PHONE NUMBER":2347059966105,"DEAL LOCATION":"","INTERNAL NOTE":"","EXPENSE AMOUNT":"","CALCULATED PROFIT":"","EXPENSE DESCRIPTION":"","IMEI FOR SWAPPED DEAL":""}</t>
  </si>
  <si>
    <t>19c278c2a9cd078163d246172aeb5074538ad3f951531bccc23179f0f3c43a92</t>
  </si>
  <si>
    <t>{"in":"","DATE":"","IMEI":"","NAME":"HONEYTEE","TIME":"10:46","PRICE":"...","STATUS":"","PAID DATE":"","RECORD_ID":"fcae536a2c2d47aba7c90160cf21f223","Amount paid":"","DESCRIPTION":"","PHONE NUMBER":2349125271770,"DEAL LOCATION":"","INTERNAL NOTE":"","EXPENSE AMOUNT":"","CALCULATED PROFIT":"","EXPENSE DESCRIPTION":"","IMEI FOR SWAPPED DEAL":""}</t>
  </si>
  <si>
    <t>0d8527372bd79184c363fbbbf2c5b233953547eb7cb57fcc1831a9d729936d78</t>
  </si>
  <si>
    <t>{"in":"","DATE":"05/05/2026","IMEI":"","NAME":"ADEX GADGETS","TIME":"12:29","PRICE":"\u20a63,000.00","STATUS":"PAID","PAID DATE":"","RECORD_ID":"88335141cfc34b7f9f892b5983072553","Amount paid":"\u20a63,000.00","DESCRIPTION":"IPHONE 17 PRO MAX IOS UPDATE: silver","PHONE NUMBER":2347067852062,"DEAL LOCATION":"","INTERNAL NOTE":"","EXPENSE AMOUNT":"","CALCULATED PROFIT":"","EXPENSE DESCRIPTION":"","IMEI FOR SWAPPED DEAL":""}</t>
  </si>
  <si>
    <t>9a8aeda7bd39f0394ffffebfb8f95f96b48e5a36c656886a84eff974f1ebd1f6</t>
  </si>
  <si>
    <t>{"in":"","DATE":"05/05/2026","IMEI":359814712534123,"NAME":"ANOINTED WEALTH","TIME":"12:41","PRICE":"\u20a61,260,000.00","STATUS":"PAID","PAID DATE":"","RECORD_ID":"ee27039918c846a28d7a3bf469daf33c","Amount paid":"\u20a61,260,000.00","DESCRIPTION":"IPHONE 17 PRO MAX","PHONE NUMBER":2348137226383,"DEAL LOCATION":"","INTERNAL NOTE":"","EXPENSE AMOUNT":"","CALCULATED PROFIT":"","EXPENSE DESCRIPTION":"","IMEI FOR SWAPPED DEAL":""}</t>
  </si>
  <si>
    <t>8151f5f171965a99c88e3820f7cff789535b5714424af2d770fb477b3057970c</t>
  </si>
  <si>
    <t>{"in":"","DATE":"05/05/2026","IMEI":350114363080305,"NAME":"DON","TIME":"12:42","PRICE":"\u20a6645,000.00","STATUS":"PAID","PAID DATE":"","RECORD_ID":"3fd5b3da7c9d4e5284378a4e4ee6b0c4","Amount paid":"\u20a6645,000.00","DESCRIPTION":"IPHONE 14 PRO P + E","PHONE NUMBER":2348137676322,"DEAL LOCATION":"","INTERNAL NOTE":"","EXPENSE AMOUNT":"","CALCULATED PROFIT":"","EXPENSE DESCRIPTION":"","IMEI FOR SWAPPED DEAL":""}</t>
  </si>
  <si>
    <t>1fd28bd160492c60cbd581b4b5a88353f6992b8cb190199155241b8741f1395b</t>
  </si>
  <si>
    <t>{"in":"","DATE":"05/05/2026","IMEI":"","NAME":"BIG INVESTOR","TIME":"12:48","PRICE":"\u20a62,500.00","STATUS":"PAID","PAID DATE":"","RECORD_ID":"2d568bbb8896457a8bbc25d6963b30d3","Amount paid":"\u20a62,500.00","DESCRIPTION":"IPHONE 12 IOS UPDATE: Blue","PHONE NUMBER":2349158627347,"DEAL LOCATION":"","INTERNAL NOTE":"","EXPENSE AMOUNT":"","CALCULATED PROFIT":"","EXPENSE DESCRIPTION":"","IMEI FOR SWAPPED DEAL":""}</t>
  </si>
  <si>
    <t>8d8aeda36b76ad5b4b9951714f3a2c9ec7023a5d75cd1cb31c5d7a5f799a5466</t>
  </si>
  <si>
    <t>{"in":"","DATE":"05/05/2026","IMEI":"","NAME":"ENGINEER JOHN","TIME":"13:07","PRICE":"\u20a62,500.00","STATUS":"UNPAID","PAID DATE":"","RECORD_ID":"6a50925266b84b2084bf64406c7b429d","Amount paid":"\u20a60.00","DESCRIPTION":"IPHONE 11 PRO MAX FLASH: Gold","PHONE NUMBER":2347025185247,"DEAL LOCATION":"","INTERNAL NOTE":"","EXPENSE AMOUNT":"","CALCULATED PROFIT":"","EXPENSE DESCRIPTION":"","IMEI FOR SWAPPED DEAL":""}</t>
  </si>
  <si>
    <t>f7dccb5878f7aa00fc48af63bbe940d8740f6ea6cb178aa3321aaca205f4a96b</t>
  </si>
  <si>
    <t>{"in":"","DATE":"05/05/2026","IMEI":"","NAME":"AHB","TIME":"13:14","PRICE":"\u20a63,000.00","STATUS":"PAID","PAID DATE":"","RECORD_ID":"856316c904d64d0282fb0417ad8a54e3","Amount paid":"\u20a63,000.00","DESCRIPTION":"ICLOUD OPENING: NIGERIA","PHONE NUMBER":2349136777731,"DEAL LOCATION":"","INTERNAL NOTE":"Bashiru Rashidat rsd881557@gmail.com 08134453687 @Rashy2020 01/07/2000","EXPENSE AMOUNT":"","CALCULATED PROFIT":"","EXPENSE DESCRIPTION":"","IMEI FOR SWAPPED DEAL":""}</t>
  </si>
  <si>
    <t>0d1bfa84803574307e16a840b9a7e92edade35e85f61929ff11d86444dc582fe</t>
  </si>
  <si>
    <t>{"in":"","DATE":"05/05/2026","IMEI":"","NAME":"GNF","TIME":"13:15","PRICE":"\u20a62,500.00","STATUS":"UNPAID","PAID DATE":"","RECORD_ID":"3861efa6b2994064b857502830eb7fc4","Amount paid":"\u20a60.00","DESCRIPTION":"IPHONE 11 PRO MAX GOLD, 64GB, BATTERY CLIBRATE","PHONE NUMBER":2348160373526,"DEAL LOCATION":"","INTERNAL NOTE":"","EXPENSE AMOUNT":"","CALCULATED PROFIT":"","EXPENSE DESCRIPTION":"","IMEI FOR SWAPPED DEAL":""}</t>
  </si>
  <si>
    <t>0107ca701c5ff075225b71cea40dee298255790dec61a62c9b34e1d6c44c7d6d</t>
  </si>
  <si>
    <t>{"in":"","DATE":"05/05/2026","IMEI":"","NAME":"DE YUNG","TIME":"13:17","PRICE":"\u20a64,000.00","STATUS":"UNPAID","PAID DATE":"","RECORD_ID":"37bbad53d6554503a1f937f77f31cf4d","Amount paid":"\u20a60.00","DESCRIPTION":"IPHONE 12 IOS UPDATE AND FILE TRANSFER","PHONE NUMBER":2347080377149,"DEAL LOCATION":"","INTERNAL NOTE":"","EXPENSE AMOUNT":"","CALCULATED PROFIT":"","EXPENSE DESCRIPTION":"","IMEI FOR SWAPPED DEAL":""}</t>
  </si>
  <si>
    <t>3f6723ef17a2c14b8aba87f0e7d59fb1e6f339cbb290d097ab7a61d7f139c995</t>
  </si>
  <si>
    <t>{"in":"","DATE":"05/05/2026","IMEI":"","NAME":"STARBOX","TIME":"13:19","PRICE":"\u20a6100,000.00","STATUS":"UNPAID","PAID DATE":"","RECORD_ID":"8a6e2e0ce9354524afda70e269b03d28","Amount paid":"\u20a60.00","DESCRIPTION":"IPHONE 17 PRO MAX IMEI UNBARRING","PHONE NUMBER":2349063620334,"DEAL LOCATION":"","INTERNAL NOTE":"","EXPENSE AMOUNT":"","CALCULATED PROFIT":"","EXPENSE DESCRIPTION":"","IMEI FOR SWAPPED DEAL":""}</t>
  </si>
  <si>
    <t>c8752cb1a8d13bb70a00942599f63193ab935be9b64bf35d308b1fa84af278de</t>
  </si>
  <si>
    <t>{"in":"","DATE":"05/05/2026","IMEI":"","NAME":"EMMEX","TIME":"14:46","PRICE":"\u20a62,500.00","STATUS":"UNPAID","PAID DATE":"","RECORD_ID":"04372dbe7e1742e69017a00a521b9753","Amount paid":"\u20a60.00","DESCRIPTION":"IPHONE 12 PRO MAX IOS UPDATE: GOLD","PHONE NUMBER":2349065944787,"DEAL LOCATION":"","INTERNAL NOTE":"","EXPENSE AMOUNT":"","CALCULATED PROFIT":"","EXPENSE DESCRIPTION":"","IMEI FOR SWAPPED DEAL":""}</t>
  </si>
  <si>
    <t>e38f2b8c7409303f639f5aa647e728db5b377002253f059631fa2a33e0e2e6a8</t>
  </si>
  <si>
    <t>{"in":"","DATE":"05/05/2026","IMEI":"","NAME":"OLUFAD TELECOMMUNICATION","TIME":"15:10","PRICE":"\u20a610,000.00","STATUS":"PAID","PAID DATE":"","RECORD_ID":"13acc9cefb2f4751b718a3f3365c8de0","Amount paid":"\u20a610,000.00","DESCRIPTION":"ICLOUD OPENING: USA","PHONE NUMBER":2349033780767,"DEAL LOCATION":"","INTERNAL NOTE":"Esther Anderson scottoptimus235@gmail.com 11/11/1983 HustleHustle16 +18135951735","EXPENSE AMOUNT":"","CALCULATED PROFIT":"","EXPENSE DESCRIPTION":"","IMEI FOR SWAPPED DEAL":""}</t>
  </si>
  <si>
    <t>2a162dc1ad909d2153805ec81c98a0f290443d82b327ddd746201a345a9e5818</t>
  </si>
  <si>
    <t>{"in":"","DATE":"05/05/2026","IMEI":"","NAME":"EMMANUEL OLAMILEKAN","TIME":"15:16","PRICE":"\u20a63,000.00","STATUS":"PAID","PAID DATE":"","RECORD_ID":"39fb34c760fa428fba5fe4599d15d20d","Amount paid":"\u20a63,000.00","DESCRIPTION":"CHIP FIX","PHONE NUMBER":2349166542597,"DEAL LOCATION":"","INTERNAL NOTE":"","EXPENSE AMOUNT":"","CALCULATED PROFIT":"","EXPENSE DESCRIPTION":"","IMEI FOR SWAPPED DEAL":""}</t>
  </si>
  <si>
    <t>deeaf196804fa2c32bc9a0b3e7c445251cfc6b962b18ef9e28191d878881dc44</t>
  </si>
  <si>
    <t>{"in":"","DATE":"05/05/2026","IMEI":"","NAME":"DENIS4WARD","TIME":"15:48","PRICE":"\u20a65,000.00","STATUS":"PAID","PAID DATE":"","RECORD_ID":"57d2a500e1284755913d402e38bb9a4c","Amount paid":"\u20a65,000.00","DESCRIPTION":"CUSTOMER WITHDREW 5K TO POS (FOR APPLE ID)","PHONE NUMBER":2348038551439,"DEAL LOCATION":"","INTERNAL NOTE":"IBUKUN OWOYEMI IBUKUNOLUWA55@GMAIL.COM 08131210907 AppleID2026# 5/5/1997","EXPENSE AMOUNT":"","CALCULATED PROFIT":"","EXPENSE DESCRIPTION":"","IMEI FOR SWAPPED DEAL":""}</t>
  </si>
  <si>
    <t>387caa3cfd74676ae41512822d9c8a9bcee815d2dd644fa2bd4a67b425d79317</t>
  </si>
  <si>
    <t>{"in":"","DATE":"05/05/2026","IMEI":"","NAME":"ANOINTED WEALTH","TIME":"16:10","PRICE":"\u20a62,000.00","STATUS":"PAID","PAID DATE":"","RECORD_ID":"47581fe4552344da9353bd4e9a501581","Amount paid":"\u20a62,000.00","DESCRIPTION":"CUSTOMER FILE TRANSFER","PHONE NUMBER":2348137226383,"DEAL LOCATION":"","INTERNAL NOTE":"","EXPENSE AMOUNT":"","CALCULATED PROFIT":"","EXPENSE DESCRIPTION":"","IMEI FOR SWAPPED DEAL":""}</t>
  </si>
  <si>
    <t>922186987e2f746aaa20fba57fb4d7a560e8a447880da0373a8cbaa23e97a8ef</t>
  </si>
  <si>
    <t>{"in":"","DATE":"05/05/2026","IMEI":"","NAME":"PANKYGEE","TIME":"16:44","PRICE":"\u20a62,500.00","STATUS":"PAID","PAID DATE":"","RECORD_ID":"e4cc8d32b3fb46799106c30400cf2375","Amount paid":"\u20a62,500.00","DESCRIPTION":"IPHONE 13 PRO MAX BATTERY CALIBRATION: GRAPHITE","PHONE NUMBER":2347052247397,"DEAL LOCATION":"","INTERNAL NOTE":"","EXPENSE AMOUNT":"","CALCULATED PROFIT":"","EXPENSE DESCRIPTION":"","IMEI FOR SWAPPED DEAL":""}</t>
  </si>
  <si>
    <t>ee2379abab9dcae46a8e1e436421e2c36c7510445bd7d4cd7c2a455b485b9114</t>
  </si>
  <si>
    <t>{"in":"","DATE":"5/5/2026","IMEI":"","NAME":"CH4","TIME":"5:57:08 PM","PRICE":"\u20a62,500.00","STATUS":"PAID","PAID DATE":"","RECORD_ID":"f28a024ac24147ae80983ee7b7fb60e3","Amount paid":"\u20a62,500.00","DESCRIPTION":"iPhone XR Blue 64GB IOS UODATE","PHONE NUMBER":2348131941406,"DEAL LOCATION":"","INTERNAL NOTE":"","EXPENSE AMOUNT":"","CALCULATED PROFIT":"","EXPENSE DESCRIPTION":"","IMEI FOR SWAPPED DEAL":""}</t>
  </si>
  <si>
    <t>4d0e800c3e8b31e51661d63fb6ed0f7fea3c0487ec2858f00a6105ff0531a837</t>
  </si>
  <si>
    <t>{"in":"","DATE":"05/05/2026","IMEI":"","NAME":"TIMILEYIN","TIME":"17:19","PRICE":"\u20a65,000.00","STATUS":"PAID","PAID DATE":"","RECORD_ID":"911c6f21cbc54cc783be5468eaef6f58","Amount paid":"\u20a65,000.00","DESCRIPTION":"LOCATION SPOOFING","PHONE NUMBER":2349014571637,"DEAL LOCATION":"","INTERNAL NOTE":"","EXPENSE AMOUNT":"","CALCULATED PROFIT":"","EXPENSE DESCRIPTION":"","IMEI FOR SWAPPED DEAL":""}</t>
  </si>
  <si>
    <t>aa9aeb222a7abe76fcb027f465d5f819eb82d924f5890c07727858d365d853d3</t>
  </si>
  <si>
    <t>{"in":"","DATE":"05/05/2026","IMEI":"","NAME":"TOP NATION","TIME":"17:35","PRICE":"\u20a62,500.00","STATUS":"RETURNED","PAID DATE":"","RECORD_ID":"54ba06843b65426d815d56c170cd2566","Amount paid":"\u20a60.00","DESCRIPTION":"IPHONE 12 IOS UPDATE: Black","PHONE NUMBER":2349153417872,"DEAL LOCATION":"","INTERNAL NOTE":"","EXPENSE AMOUNT":"","CALCULATED PROFIT":"","EXPENSE DESCRIPTION":"","IMEI FOR SWAPPED DEAL":""}</t>
  </si>
  <si>
    <t>17b8ba89d05f6608be34bef998c063e5b0a26fc856e6b2f4fc4dcbf3f1d75fe3</t>
  </si>
  <si>
    <t>{"in":"","DATE":"05/05/2026","IMEI":"","NAME":"HOLLAH GADGET","TIME":"17:42","PRICE":"\u20a62,500.00","STATUS":"UNPAID","PAID DATE":"","RECORD_ID":"bfd28c7f1c234764bd778c58f33406c7","Amount paid":"\u20a60.00","DESCRIPTION":"IPHONE 12 IOS UPDATE: Black","PHONE NUMBER":2347041440724,"DEAL LOCATION":"","INTERNAL NOTE":"","EXPENSE AMOUNT":"","CALCULATED PROFIT":"","EXPENSE DESCRIPTION":"","IMEI FOR SWAPPED DEAL":""}</t>
  </si>
  <si>
    <t>3f1382c489b50668675635822731ccca03f9d52e2dd26617847264eef4741f04</t>
  </si>
  <si>
    <t>{"in":"","DATE":"","IMEI":".","NAME":"..","TIME":"","PRICE":".","STATUS":"..","PAID DATE":"","RECORD_ID":"0072d24c33974aaf99ef89d3bc89b811","Amount paid":".","DESCRIPTION":".","PHONE NUMBER":".","DEAL LOCATION":"","INTERNAL NOTE":"","EXPENSE AMOUNT":"","CALCULATED PROFIT":"","EXPENSE DESCRIPTION":"","IMEI FOR SWAPPED DEAL":""}</t>
  </si>
  <si>
    <t>5c227b78cf789cb0922b4e751afc3889e840f45ace6fed13c689697519db830f</t>
  </si>
  <si>
    <t>{"in":"","DATE":"","IMEI":".","NAME":".","TIME":"","PRICE":".","STATUS":"..","PAID DATE":"","RECORD_ID":"1f81f96c1999436d8c2f874e27c114a4","Amount paid":".","DESCRIPTION":".","PHONE NUMBER":".","DEAL LOCATION":"","INTERNAL NOTE":"","EXPENSE AMOUNT":"","CALCULATED PROFIT":"","EXPENSE DESCRIPTION":"","IMEI FOR SWAPPED DEAL":""}</t>
  </si>
  <si>
    <t>22f243a161191f403f96f6c54532c769ccfc137b1fbb7213e8fdedc80018a1ce</t>
  </si>
  <si>
    <t>2026-05-06T00:00:00+01:00</t>
  </si>
  <si>
    <t>{"in":"","DATE":"05/06/2026","IMEI":"","NAME":"CUSTOMER","TIME":"9:34","PRICE":"\u20a65,000.00","STATUS":"PAID","PAID DATE":"","RECORD_ID":"0c467deb9ec349fa8910104611601906","Amount paid":"\u20a65,000.00","DESCRIPTION":"iPhone XR Black 64GB LOCATIN SPOOFING","PHONE NUMBER":2341234567890,"DEAL LOCATION":"","INTERNAL NOTE":"","EXPENSE AMOUNT":"","CALCULATED PROFIT":"","EXPENSE DESCRIPTION":"","IMEI FOR SWAPPED DEAL":""}</t>
  </si>
  <si>
    <t>490cfbe5eb47656219e98391d571c9d2921cd7f6b4da74d4cc4672dc1920733d</t>
  </si>
  <si>
    <t>{"in":"","DATE":"05/06/2026","IMEI":"","NAME":"DON","TIME":"9:36","PRICE":"\u20a63,000.00","STATUS":"PAID","PAID DATE":"","RECORD_ID":"c0b90f9bf755479a8da8741055535361","Amount paid":"\u20a63,000.00","DESCRIPTION":"IPHONE 17 PRO MAX SILVER IOS UPDATE","PHONE NUMBER":2348137676322,"DEAL LOCATION":"","INTERNAL NOTE":"","EXPENSE AMOUNT":"","CALCULATED PROFIT":"","EXPENSE DESCRIPTION":"","IMEI FOR SWAPPED DEAL":""}</t>
  </si>
  <si>
    <t>0f67ec59562ae25f67ba692df003622a25d731d6575dc0f14b84aa55d96dd821</t>
  </si>
  <si>
    <t>{"in":"","DATE":"05/06/2026","IMEI":"","NAME":"DON","TIME":"10:28","PRICE":"\u20a62,000.00","STATUS":"PAID","PAID DATE":"","RECORD_ID":"b6abb13974fb4f51a2a8c06c2a1161eb","Amount paid":"\u20a62,000.00","DESCRIPTION":"2K CASH","PHONE NUMBER":2348137676322,"DEAL LOCATION":"","INTERNAL NOTE":"","EXPENSE AMOUNT":"","CALCULATED PROFIT":"","EXPENSE DESCRIPTION":"","IMEI FOR SWAPPED DEAL":""}</t>
  </si>
  <si>
    <t>34524514de62df8917e3a4e7d7431f6e9c9cec0ddf7c7773d0f2a61d4cb43a1f</t>
  </si>
  <si>
    <t>{"in":"","DATE":"05/06/2026","IMEI":"","NAME":"TONYTRENDS","TIME":"11:37","PRICE":"\u20a63,000.00","STATUS":"PAID","PAID DATE":"","RECORD_ID":"c30870d6d5314b178c3db2871c39b3b0","Amount paid":"\u20a63,000.00","DESCRIPTION":"iPhone 17 Pro Max Cosmic Orange 256GB IOS UPDATE","PHONE NUMBER":2349050226014,"DEAL LOCATION":"","INTERNAL NOTE":"","EXPENSE AMOUNT":"","CALCULATED PROFIT":"","EXPENSE DESCRIPTION":"","IMEI FOR SWAPPED DEAL":""}</t>
  </si>
  <si>
    <t>9f3e396ef784ce8f324a778f38f9b5141f0bab115e05d2eb05a0441d7052cfd8</t>
  </si>
  <si>
    <t>{"in":"","DATE":"05/06/2026","IMEI":"","NAME":"EMMEX","TIME":"11:42","PRICE":"\u20a63,000.00","STATUS":"UNPAID","PAID DATE":"","RECORD_ID":"e1fb75c2a57a4cad8074077d4dbbc26e","Amount paid":"\u20a60.00","DESCRIPTION":"iPhone 15 Pro Max Natural Titanium 256GB IOS UPDATE","PHONE NUMBER":2349065944787,"DEAL LOCATION":"","INTERNAL NOTE":"","EXPENSE AMOUNT":"","CALCULATED PROFIT":"","EXPENSE DESCRIPTION":"","IMEI FOR SWAPPED DEAL":""}</t>
  </si>
  <si>
    <t>2d5f8046b5adbd4a104e8d83584bdfadc1d8de9b7e142d7b3458af51bd230d26</t>
  </si>
  <si>
    <t>{"in":"","DATE":"05/06/2026","IMEI":"","NAME":"DEMEX","TIME":"11:45","PRICE":"\u20a65,000.00","STATUS":"UNPAID","PAID DATE":"","RECORD_ID":"81cbf41b97374fd49006cb10b089bd96","Amount paid":"\u20a60.00","DESCRIPTION":"APPLE ID CREATION","PHONE NUMBER":2347067462101,"DEAL LOCATION":"","INTERNAL NOTE":"","EXPENSE AMOUNT":"","CALCULATED PROFIT":"","EXPENSE DESCRIPTION":"","IMEI FOR SWAPPED DEAL":""}</t>
  </si>
  <si>
    <t>f33e49cd181c817b9491cc9cdd0c3d3f9118d82ff3cf7fce802768ceb71020fb</t>
  </si>
  <si>
    <t>{"in":"","DATE":"05/06/2026","IMEI":"","NAME":"MASTERY MOBILE","TIME":"12:13","PRICE":"\u20a62,500.00","STATUS":"UNPAID","PAID DATE":"","RECORD_ID":"9c751732c0c0444999ad2906d8fcb39e","Amount paid":"\u20a60.00","DESCRIPTION":"iPhone 11 Black 64GB IOS UPDATE","PHONE NUMBER":2348027964718,"DEAL LOCATION":"","INTERNAL NOTE":"","EXPENSE AMOUNT":"","CALCULATED PROFIT":"","EXPENSE DESCRIPTION":"","IMEI FOR SWAPPED DEAL":""}</t>
  </si>
  <si>
    <t>b8901dc2d136aee2a40f09a59ca14675603f16aceb0cba4b571d9c31d6ca6ead</t>
  </si>
  <si>
    <t>{"in":"","DATE":"05/06/2026","IMEI":"","NAME":"PRINCE MOSES","TIME":"12:34","PRICE":"\u20a63,000.00","STATUS":"PAID","PAID DATE":"","RECORD_ID":"b34f25dd40cc40f784b29c39f910b67f","Amount paid":"\u20a63,000.00","DESCRIPTION":"ICLOUD SIGN IN FIX","PHONE NUMBER":2348103299135,"DEAL LOCATION":"","INTERNAL NOTE":"","EXPENSE AMOUNT":"","CALCULATED PROFIT":"","EXPENSE DESCRIPTION":"","IMEI FOR SWAPPED DEAL":""}</t>
  </si>
  <si>
    <t>4c77409ae50fcaf92456504948cbd68cd93db1da8cddd31e804527697ecce1f1</t>
  </si>
  <si>
    <t>{"in":"","DATE":"05/06/2026","IMEI":"","NAME":"TUNA MONEY","TIME":"12:36","PRICE":"\u20a675,000.00","STATUS":"PAID","PAID DATE":"","RECORD_ID":"2b98c0b9e54b427c845305035cfb1f7f","Amount paid":"\u20a675,000.00","DESCRIPTION":"3 MONTHS ESIM","PHONE NUMBER":2349036264833,"DEAL LOCATION":"","INTERNAL NOTE":"","EXPENSE AMOUNT":"","CALCULATED PROFIT":"","EXPENSE DESCRIPTION":"","IMEI FOR SWAPPED DEAL":""}</t>
  </si>
  <si>
    <t>e719c63e0fc93adf7df00352e54ea25196e56a021647718cb289672bcd187750</t>
  </si>
  <si>
    <t>{"in":"","DATE":"05/06/2026","IMEI":"","NAME":"ZEE TECH","TIME":"15:54","PRICE":"\u20a63,000.00","STATUS":"UNPAID","PAID DATE":"","RECORD_ID":"5461fb6bbf26468eaae160b7771d7676","Amount paid":"\u20a60.00","DESCRIPTION":"iPhone Air Light Gold 256GB IOS UPDATE","PHONE NUMBER":2349033724061,"DEAL LOCATION":"","INTERNAL NOTE":"","EXPENSE AMOUNT":"","CALCULATED PROFIT":"","EXPENSE DESCRIPTION":"","IMEI FOR SWAPPED DEAL":""}</t>
  </si>
  <si>
    <t>ac38adfaf547d5edda61c46b33782c3f0a789a6990b18d4584e3dcffd681968b</t>
  </si>
  <si>
    <t>{"in":"","DATE":"05/06/2026","IMEI":"","NAME":"HOLLAH GADGET","TIME":"16:07","PRICE":"\u20a65,000.00","STATUS":"UNPAID","PAID DATE":"","RECORD_ID":"d40556f678da4955981868ccb314af31","Amount paid":"\u20a60.00","DESCRIPTION":"ICLOUD FIX","PHONE NUMBER":2347041440724,"DEAL LOCATION":"","INTERNAL NOTE":"","EXPENSE AMOUNT":"","CALCULATED PROFIT":"","EXPENSE DESCRIPTION":"","IMEI FOR SWAPPED DEAL":""}</t>
  </si>
  <si>
    <t>388b337a69c8d11c01ab9bf1b6a3c3ff2f141fb4d5c85579a4e168c236a0c259</t>
  </si>
  <si>
    <t>{"in":"","DATE":"05/06/2026","IMEI":"","NAME":"FOLAKEMI","TIME":"16:14","PRICE":"\u20a65,000.00","STATUS":"PAID","PAID DATE":"","RECORD_ID":"ca976c610c1c46839b728a66a8853a01","Amount paid":"\u20a65,000.00","DESCRIPTION":"ICLOUD FIXING","PHONE NUMBER":2349075624207,"DEAL LOCATION":"","INTERNAL NOTE":"","EXPENSE AMOUNT":"","CALCULATED PROFIT":"","EXPENSE DESCRIPTION":"","IMEI FOR SWAPPED DEAL":""}</t>
  </si>
  <si>
    <t>1387800824f6a14604ac3768715eb48b623eea98745364459a67f3b8bfe369ad</t>
  </si>
  <si>
    <t>{"in":"","DATE":"05/06/2026","IMEI":"","NAME":"PERFECT","TIME":"16:35","PRICE":"\u20a62,500.00","STATUS":"PAID","PAID DATE":"","RECORD_ID":"82b9920a6ec44bcebed8285bb95434e1","Amount paid":"\u20a62,500.00","DESCRIPTION":"iPhone 14 Pro Max Deep Purple 256GB IOS UPDATE","PHONE NUMBER":2349151646430,"DEAL LOCATION":"","INTERNAL NOTE":"","EXPENSE AMOUNT":"","CALCULATED PROFIT":"","EXPENSE DESCRIPTION":"","IMEI FOR SWAPPED DEAL":""}</t>
  </si>
  <si>
    <t>b42b07b2cc978b03ad8cf05445756514c218efbf85c72df9d9d8f1b16c6a5180</t>
  </si>
  <si>
    <t>{"in":"","DATE":"05/06/2026","IMEI":350296272694100,"NAME":"CH4","TIME":"17:09","PRICE":"\u20a61,680,000.00","STATUS":"PAID","PAID DATE":"","RECORD_ID":"66714584089b4ea6915cac4d952a3b03","Amount paid":"\u20a61,680,000.00","DESCRIPTION":"SEALED IPHONE 17 PRO P + E","PHONE NUMBER":2348131941406,"DEAL LOCATION":"","INTERNAL NOTE":"","EXPENSE AMOUNT":"","CALCULATED PROFIT":"","EXPENSE DESCRIPTION":"","IMEI FOR SWAPPED DEAL":""}</t>
  </si>
  <si>
    <t>75d5ce90a47ecdb5b8277cea609b9ea0859cf91fac992099049b4af8a75a1b8b</t>
  </si>
  <si>
    <t>{"in":"","DATE":"05/06/2026","IMEI":"","NAME":"FOLAKEMI","TIME":"17:15","PRICE":"\u20a63,000.00","STATUS":"UNPAID","PAID DATE":"","RECORD_ID":"159dd34a91e5474594ccdfe65c584a19","Amount paid":"\u20a60.00","DESCRIPTION":"IPHONE 17 PRO COSMIC ORANGE IOS UPDATE","PHONE NUMBER":2349075624207,"DEAL LOCATION":"","INTERNAL NOTE":"","EXPENSE AMOUNT":"","CALCULATED PROFIT":"","EXPENSE DESCRIPTION":"","IMEI FOR SWAPPED DEAL":""}</t>
  </si>
  <si>
    <t>b540c3538006d4ec5905c68ccdbc6618cdb02aa94b47a0ade631beba2b969152</t>
  </si>
  <si>
    <t>{"in":"","DATE":"","IMEI":"","NAME":"","TIME":"","PRICE":"","STATUS":"","PAID DATE":"","RECORD_ID":"dbe1f3ef2a964c4696f98eb433f9c3ad","Amount paid":"","DESCRIPTION":"","PHONE NUMBER":"","DEAL LOCATION":"","INTERNAL NOTE":"","EXPENSE AMOUNT":"","CALCULATED PROFIT":"","EXPENSE DESCRIPTION":"","IMEI FOR SWAPPED DEAL":""}</t>
  </si>
  <si>
    <t>8c80439cbf1f0c6a32b72389d5b390583159f64984f0bfdac03b897dd0770097</t>
  </si>
  <si>
    <t>{"in":"","DATE":"","IMEI":"","NAME":"","TIME":"","PRICE":"","STATUS":"","PAID DATE":"","RECORD_ID":"b26de9564dd640429155bd71e60c50e7","Amount paid":"","DESCRIPTION":"","PHONE NUMBER":"","DEAL LOCATION":"","INTERNAL NOTE":"","EXPENSE AMOUNT":"","CALCULATED PROFIT":"","EXPENSE DESCRIPTION":"","IMEI FOR SWAPPED DEAL":""}</t>
  </si>
  <si>
    <t>9bce1ec3cf7f6bb6bf21fd43502172d2ed33e450589936372cad08b4552f5ed6</t>
  </si>
  <si>
    <t>{"in":"","DATE":"","IMEI":"","NAME":"","TIME":"","PRICE":"","STATUS":"","PAID DATE":"","RECORD_ID":"c697a21abcb24c06ba740fbbb6142ee3","Amount paid":"","DESCRIPTION":"","PHONE NUMBER":"","DEAL LOCATION":"","INTERNAL NOTE":"","EXPENSE AMOUNT":"","CALCULATED PROFIT":"","EXPENSE DESCRIPTION":"","IMEI FOR SWAPPED DEAL":""}</t>
  </si>
  <si>
    <t>d767b09c24b262522c909a9883a9e2399fb29047646dcf4e7ada02595d5025e5</t>
  </si>
  <si>
    <t>2026-05-07T00:00:00+01:00</t>
  </si>
  <si>
    <t>{"in":"","DATE":"05/07/2026","IMEI":352142372175541,"NAME":"KABEX KAYWISE","TIME":"1:15","PRICE":"\u20a6820,000.00","STATUS":"PAID","PAID DATE":"","RECORD_ID":"7974dce216f545ce9d88bcc7a36d480b","Amount paid":"\u20a6820,000.00","DESCRIPTION":"IPHONE 16 P + E","PHONE NUMBER":2349167221871,"DEAL LOCATION":"CHIKINIE MONIE","INTERNAL NOTE":"","EXPENSE AMOUNT":"","CALCULATED PROFIT":"","EXPENSE DESCRIPTION":"","IMEI FOR SWAPPED DEAL":""}</t>
  </si>
  <si>
    <t>f84f5740c810835657477de571589a7b817df33732758d600a4bf9b38de166f3</t>
  </si>
  <si>
    <t>{"in":"","DATE":"05/07/2026","IMEI":355101470374973,"NAME":"MD GADGS","TIME":"1:17","PRICE":"\u20a61,800,000.00","STATUS":"PAID","PAID DATE":"","RECORD_ID":"c883113beb794280a86f2acdc4cd151e","Amount paid":"\u20a61,800,000.00","DESCRIPTION":"BRAND NEW IPHONE 17 PRO MAX","PHONE NUMBER":2348166860603,"DEAL LOCATION":"","INTERNAL NOTE":"","EXPENSE AMOUNT":"","CALCULATED PROFIT":"","EXPENSE DESCRIPTION":"","IMEI FOR SWAPPED DEAL":""}</t>
  </si>
  <si>
    <t>475ebc3e1d3e6c9b7e52b9d0102fae1cf27bc5c91d6cdd610ef0b1985a9e5914</t>
  </si>
  <si>
    <t>{"in":"","DATE":"05/07/2026","IMEI":"","NAME":"CH4","TIME":"9:19","PRICE":"\u20a63,000.00","STATUS":"PAID","PAID DATE":"","RECORD_ID":"2eed5cb8465c4a54bf0be3addb8c2cef","Amount paid":"\u20a63,000.00","DESCRIPTION":"iPhone 17 Pro DeepBlue 256GB IOS UPDATE","PHONE NUMBER":2348131941406,"DEAL LOCATION":"","INTERNAL NOTE":"","EXPENSE AMOUNT":"","CALCULATED PROFIT":"","EXPENSE DESCRIPTION":"","IMEI FOR SWAPPED DEAL":""}</t>
  </si>
  <si>
    <t>99e6123479a368afb7795825c28cde17a2aceab30815802177c1ca79ac20aec2</t>
  </si>
  <si>
    <t>{"in":"","DATE":"05/07/2026","IMEI":"","NAME":"FORMULA","TIME":"10:40","PRICE":"\u20a63,000.00","STATUS":"UNPAID","PAID DATE":"","RECORD_ID":"2eb5b41e25584925b293d3bc99611830","Amount paid":"\u20a60.00","DESCRIPTION":"iPhone 16 Black 128GB IOS UPDATE","PHONE NUMBER":2347067612418,"DEAL LOCATION":"","INTERNAL NOTE":"","EXPENSE AMOUNT":"","CALCULATED PROFIT":"","EXPENSE DESCRIPTION":"","IMEI FOR SWAPPED DEAL":""}</t>
  </si>
  <si>
    <t>99a05acc953b83ceffe989421da9c32e3a2c4f6daebe035dca7883f5708de62e</t>
  </si>
  <si>
    <t>{"in":"","DATE":"05/07/2026","IMEI":"","NAME":"CH4","TIME":"12:01","PRICE":"\u20a62,500.00","STATUS":"PAID","PAID DATE":"","RECORD_ID":"6e1ce1129f9d459cb2a41c7edde8499c","Amount paid":"\u20a62,500.00","DESCRIPTION":"IPHONE 14 PRO IOS UPDATE: PURPLE","PHONE NUMBER":2348131941406,"DEAL LOCATION":"","INTERNAL NOTE":"","EXPENSE AMOUNT":"","CALCULATED PROFIT":"","EXPENSE DESCRIPTION":"","IMEI FOR SWAPPED DEAL":""}</t>
  </si>
  <si>
    <t>bcbf3f6c864fe206535522827a8803fdef34fd75e4eb52db961f2895db48a633</t>
  </si>
  <si>
    <t>{"in":"","DATE":"05/07/2026","IMEI":"","NAME":"IPRO GADGET","TIME":"12:23","PRICE":"\u20a63,000.00","STATUS":"PAID","PAID DATE":"","RECORD_ID":"66cd8ff697bc4e24b7cdb04a5b071dd2","Amount paid":"\u20a63,000.00","DESCRIPTION":"SIGNAL TRANSFER","PHONE NUMBER":2348109344663,"DEAL LOCATION":"","INTERNAL NOTE":"","EXPENSE AMOUNT":"","CALCULATED PROFIT":"","EXPENSE DESCRIPTION":"","IMEI FOR SWAPPED DEAL":""}</t>
  </si>
  <si>
    <t>7946a9c50cfe527f725a1fab367a75a29b1bd2c01aec3d2ec05f961574ee56e2</t>
  </si>
  <si>
    <t>{"in":"","DATE":"05/07/2026","IMEI":"","NAME":"GNF","TIME":"12:52","PRICE":"\u20a65,000.00","STATUS":"PAID","PAID DATE":"","RECORD_ID":"838dbc40bda045fa9150b06214dd16a0","Amount paid":"\u20a65,000.00","DESCRIPTION":"PICTURES BACKUP AND RESTORE","PHONE NUMBER":2348160373526,"DEAL LOCATION":"","INTERNAL NOTE":"","EXPENSE AMOUNT":"","CALCULATED PROFIT":"","EXPENSE DESCRIPTION":"","IMEI FOR SWAPPED DEAL":""}</t>
  </si>
  <si>
    <t>b208b9fe35a092fc59f1fdfb2060e1339068718956737695c2bc155b41c3014d</t>
  </si>
  <si>
    <t>{"in":"","DATE":"05/07/2026","IMEI":"","NAME":"PANKYGEE","TIME":"13:07","PRICE":"\u20a6145,000.00","STATUS":"PAID","PAID DATE":"","RECORD_ID":"dd7514162bfb4f19863e69f57e58ab1e","Amount paid":"\u20a6145,000.00","DESCRIPTION":"IPHONE 16 PLUS FACTORY UNLOCKING","PHONE NUMBER":2347052247397,"DEAL LOCATION":"","INTERNAL NOTE":"","EXPENSE AMOUNT":"","CALCULATED PROFIT":"","EXPENSE DESCRIPTION":"","IMEI FOR SWAPPED DEAL":""}</t>
  </si>
  <si>
    <t>0ac24cf76b742e6da00326b11b1df8ae1836871e579a85fd4a9eb5d01741f946</t>
  </si>
  <si>
    <t>{"in":"","DATE":"05/07/2026","IMEI":353718462738667,"NAME":"MD GADGS","TIME":"13:09","PRICE":"\u20a6800,000.00","STATUS":"RETURNED","PAID DATE":"","RECORD_ID":"dfab6db889664757835961cef4f7e807","Amount paid":"\u20a60.00","DESCRIPTION":"IPHONE 16 P + E","PHONE NUMBER":2348166860603,"DEAL LOCATION":"","INTERNAL NOTE":"","EXPENSE AMOUNT":"","CALCULATED PROFIT":"","EXPENSE DESCRIPTION":"","IMEI FOR SWAPPED DEAL":""}</t>
  </si>
  <si>
    <t>9d3eeeb72981a4b7cdfd701e5f21c19e70db5944a9f0e52165e59ab0f629e45c</t>
  </si>
  <si>
    <t>{"in":"","DATE":"05/07/2026","IMEI":"","NAME":"MOBILE TRENDS","TIME":"13:13","PRICE":"\u20a62,500.00","STATUS":"PAID","PAID DATE":"","RECORD_ID":"1ff528b5855e46c8b8ad9c32fc189c8c","Amount paid":"\u20a62,500.00","DESCRIPTION":"iPhone 16 Plus Teal 128GB IOS UPDATE","PHONE NUMBER":2348034378180,"DEAL LOCATION":"","INTERNAL NOTE":"","EXPENSE AMOUNT":"","CALCULATED PROFIT":"","EXPENSE DESCRIPTION":"","IMEI FOR SWAPPED DEAL":""}</t>
  </si>
  <si>
    <t>f029f35156f5f4903d15a44e8e5a8eb0dedc58e13096a4d419675d589330c944</t>
  </si>
  <si>
    <t>{"in":"","DATE":"05/07/2026","IMEI":"","NAME":"DON","TIME":"13:46","PRICE":"\u20a65,000.00","STATUS":"UNPAID","PAID DATE":"","RECORD_ID":"8c6082f288c945a0bfd0179e8c1910a3","Amount paid":"\u20a60.00","DESCRIPTION":"ICLOUD OPENING: Nigeria","PHONE NUMBER":2348137676322,"DEAL LOCATION":"","INTERNAL NOTE":"Joseph Oluwadare Olarewaju josepholarewaju86@gmail.com 08153932538 +18135951735 Jmoney@11","EXPENSE AMOUNT":"","CALCULATED PROFIT":"","EXPENSE DESCRIPTION":"","IMEI FOR SWAPPED DEAL":""}</t>
  </si>
  <si>
    <t>4a60d2176730ded7c19e3ee5a749e47c8be04bfae798e39d7b3071a8956e7018</t>
  </si>
  <si>
    <t>{"in":"","DATE":"05/07/2026","IMEI":"","NAME":"EMMZY","TIME":"15:44","PRICE":"\u20a610,000.00","STATUS":"PAID","PAID DATE":"","RECORD_ID":"ea9503dcce67415dac36a7b1e01dcb78","Amount paid":"\u20a610,000.00","DESCRIPTION":"ICLOUD RECOVERY","PHONE NUMBER":2347052035873,"DEAL LOCATION":"","INTERNAL NOTE":"","EXPENSE AMOUNT":"","CALCULATED PROFIT":"","EXPENSE DESCRIPTION":"","IMEI FOR SWAPPED DEAL":""}</t>
  </si>
  <si>
    <t>f4566d7f0f74340804439733de0706105e88de790b698e7b324ec4dd6ef651ab</t>
  </si>
  <si>
    <t>{"in":"","DATE":"05/07/2026","IMEI":"","NAME":"EMMANUEL DAMILARE","TIME":"17:14","PRICE":"\u20a65,000.00","STATUS":"PAID","PAID DATE":"","RECORD_ID":"004de24fa59a4733b1161dd0b72caa06","Amount paid":"\u20a65,000.00","DESCRIPTION":"ICLOUD OPENING: Nigeria","PHONE NUMBER":2348146527691,"DEAL LOCATION":"","INTERNAL NOTE":"Emmanuel Damilare ojo049102@gmail.com 08146527691 Emmyhot2005$ Feb 16 2005","EXPENSE AMOUNT":"","CALCULATED PROFIT":"","EXPENSE DESCRIPTION":"","IMEI FOR SWAPPED DEAL":""}</t>
  </si>
  <si>
    <t>c81542934172a7c595b55c848529af6a3d92eca8fa19aa3de3e02bab4a3fe62c</t>
  </si>
  <si>
    <t>{"in":"","DATE":"05/08/2026","IMEI":"","NAME":"KAYWISE","TIME":"13:54","PRICE":"\u20a62,000.00","STATUS":"UNPAID","PAID DATE":"","RECORD_ID":"3484713d95cc4674b28725b92bcaeb79","Amount paid":"\u20a60.00","DESCRIPTION":"IPHONE 16 PLUS IOS UPDATE: Black","PHONE NUMBER":2349032614464,"DEAL LOCATION":"HOUSE","INTERNAL NOTE":"","EXPENSE AMOUNT":"","CALCULATED PROFIT":"","EXPENSE DESCRIPTION":"","IMEI FOR SWAPPED DEAL":""}</t>
  </si>
  <si>
    <t>1512cbec54e6db917ecb91b80dcd98c42ec9324ef8080c84ee5b9b3c3961f08e</t>
  </si>
  <si>
    <t>2026-05-08T00:00:00+01:00</t>
  </si>
  <si>
    <t>{"in":"","DATE":"05/08/2026","IMEI":"","NAME":"TOP NATION","TIME":"15:27","PRICE":"\u20a640,000.00","STATUS":"PAID","PAID DATE":"","RECORD_ID":"4c0112b7ee0b4239ae7e5b7355e82477","Amount paid":"\u20a640,000.00","DESCRIPTION":"IPHONE 12 PRO UNLOCKING","PHONE NUMBER":2349153417872,"DEAL LOCATION":"","INTERNAL NOTE":"","EXPENSE AMOUNT":"","CALCULATED PROFIT":"","EXPENSE DESCRIPTION":"","IMEI FOR SWAPPED DEAL":""}</t>
  </si>
  <si>
    <t>02e18f29a546ccfbf52dfb996f54120aed4c6eb77ad89c5aa76c7ea23fa66b22</t>
  </si>
  <si>
    <t>{"in":"","DATE":"05/08/2026","IMEI":"","NAME":"TEST CLIENT","TIME":"15:28","PRICE":"\u20a65,000.00","STATUS":"PAID","PAID DATE":"","RECORD_ID":"46ea57d79ab947d6a8832b804686fbdd","Amount paid":"\u20a65,000.00","DESCRIPTION":"TEST SERVICE","PHONE NUMBER":"","DEAL LOCATION":"","INTERNAL NOTE":"","EXPENSE AMOUNT":"","CALCULATED PROFIT":"","EXPENSE DESCRIPTION":"","IMEI FOR SWAPPED DEAL":""}</t>
  </si>
  <si>
    <t>e31851195cfe729dce13f0bed235e6fcb21def0a745cd52ce83980a58fa02aa4</t>
  </si>
  <si>
    <t>{"in":"","DATE":"05/08/2026","IMEI":357463526732960,"NAME":"OPEYEMI STORE","TIME":"15:48","PRICE":"\u20a6240,000.00","STATUS":"PAID","PAID DATE":"","RECORD_ID":"8fe2d586d14f4a96b55cab34eb095c62","Amount paid":"\u20a6240,000.00","DESCRIPTION":"iPhone 12","PHONE NUMBER":2347053250105,"DEAL LOCATION":"","INTERNAL NOTE":"","EXPENSE AMOUNT":"","CALCULATED PROFIT":"","EXPENSE DESCRIPTION":"","IMEI FOR SWAPPED DEAL":""}</t>
  </si>
  <si>
    <t>bb3f55a195502ab098777c083f5c07db97d0a0c414e28204442ffc66140cb6f0</t>
  </si>
  <si>
    <t>{"in":"","DATE":"5/8/2026","IMEI":"","NAME":"DAPPER","TIME":"6:01:22 PM","PRICE":"\u20a62,500.00","STATUS":"UNPAID","PAID DATE":"","RECORD_ID":"9136b680cb384a82a324d0a06968d275","Amount paid":"\u20a60.00","DESCRIPTION":"IPHONE 14 PRO IOS UPDATE: PURPLE","PHONE NUMBER":2349166394378,"DEAL LOCATION":"","INTERNAL NOTE":"","EXPENSE AMOUNT":"","CALCULATED PROFIT":"","EXPENSE DESCRIPTION":"","IMEI FOR SWAPPED DEAL":""}</t>
  </si>
  <si>
    <t>a28afcc4e1f7de0652bb5416566974e91d689d44d350cf893bd50a4de5da3243</t>
  </si>
  <si>
    <t>{"in":"","DATE":"05/08/2026","IMEI":"","NAME":"DENIS4WARD","TIME":"20:58","PRICE":"\u20a6500,000.00","STATUS":"PART PAYMENT","PAID DATE":"","RECORD_ID":"146a088d0bc544afa8e1d5c91249c94c","Amount paid":"\u20a6268,500.00","DESCRIPTION":"500K","PHONE NUMBER":2348038551439,"DEAL LOCATION":"","INTERNAL NOTE":"","EXPENSE AMOUNT":"","CALCULATED PROFIT":"","EXPENSE DESCRIPTION":"","IMEI FOR SWAPPED DEAL":""}</t>
  </si>
  <si>
    <t>f783bb41e2b4c898e02f14554ff202faec393e27ba0dc3c1a002123f3e70ffd2</t>
  </si>
  <si>
    <t>{"in":"","DATE":"05/08/2026","IMEI":"","NAME":"OLUWATOMI VICTOR AVE","TIME":"21:37","PRICE":"\u20a65,000.00","STATUS":"PAID","PAID DATE":"","RECORD_ID":"d34adbebeda24fadb94cf2b6e6c5c465","Amount paid":"\u20a65,000.00","DESCRIPTION":"ICLOUD OPENING: NIGERIA","PHONE NUMBER":2349038212715,"DEAL LOCATION":"","INTERNAL NOTE":"Oluwatomi Awe Romero.itz@gmail.com || 24th July 2004 || interestinG77*","EXPENSE AMOUNT":"","CALCULATED PROFIT":"","EXPENSE DESCRIPTION":"","IMEI FOR SWAPPED DEAL":""}</t>
  </si>
  <si>
    <t>5fb56f8f01eaa5aad5cba75d0c8f06c3c4028153e1185b3998f1c3d44aa0b259</t>
  </si>
  <si>
    <t>{"in":"","DATE":"","IMEI":"","NAME":"","TIME":"","PRICE":"","STATUS":"","PAID DATE":"","RECORD_ID":"39d7e91eaa1449cab1f121fcd531129c","Amount paid":"","DESCRIPTION":"","PHONE NUMBER":"","DEAL LOCATION":"","INTERNAL NOTE":"","EXPENSE AMOUNT":"","CALCULATED PROFIT":"","EXPENSE DESCRIPTION":"","IMEI FOR SWAPPED DEAL":""}</t>
  </si>
  <si>
    <t>08625a06cad58a3f1c1b836d8e736b4285b2b988385325458f9be823d90114a5</t>
  </si>
  <si>
    <t>{"in":"","DATE":"","IMEI":"","NAME":"","TIME":"","PRICE":"","STATUS":"","PAID DATE":"","RECORD_ID":"3ef60095ff0d40f9b975bf25d6dcd234","Amount paid":"","DESCRIPTION":"","PHONE NUMBER":"","DEAL LOCATION":"","INTERNAL NOTE":"","EXPENSE AMOUNT":"","CALCULATED PROFIT":"","EXPENSE DESCRIPTION":"","IMEI FOR SWAPPED DEAL":""}</t>
  </si>
  <si>
    <t>e83cfda5c480ef2dab1c34ee2539b2ad0c982df29947a0b7c56d91a4ff863084</t>
  </si>
  <si>
    <t>{"in":"","DATE":"","IMEI":"","NAME":"","TIME":"","PRICE":"","STATUS":"","PAID DATE":"","RECORD_ID":"f09fd748413546ae8fae8896897d6549","Amount paid":"","DESCRIPTION":"","PHONE NUMBER":"","DEAL LOCATION":"","INTERNAL NOTE":"","EXPENSE AMOUNT":"","CALCULATED PROFIT":"","EXPENSE DESCRIPTION":"","IMEI FOR SWAPPED DEAL":""}</t>
  </si>
  <si>
    <t>db4a0aae3596353426bcb90e523b5a21cda81aa07a0b3d4d7f68aa2af0f9fa6f</t>
  </si>
  <si>
    <t>{"in":"","DATE":"05/09/2026","IMEI":353407178571469,"NAME":"FAME","TIME":"10:26","PRICE":"\u20a61,620,000.00","STATUS":"RETURNED","PAID DATE":"","RECORD_ID":"027091bb3097463297f8ca24a08c23ec","Amount paid":"\u20a60.00","DESCRIPTION":"OPEN BOX IPHONE 17 PRO","PHONE NUMBER":2348144970435,"DEAL LOCATION":"","INTERNAL NOTE":"","EXPENSE AMOUNT":"","CALCULATED PROFIT":"","EXPENSE DESCRIPTION":"","IMEI FOR SWAPPED DEAL":""}</t>
  </si>
  <si>
    <t>7b496395fb49974fb375d4ae0803a74c9e8e3c359fe8b6b1603e002bbcc11d69</t>
  </si>
  <si>
    <t>{"in":"","DATE":"05/09/2026","IMEI":"","NAME":"VERTEX","TIME":"10:27","PRICE":"\u20a63,000.00","STATUS":"UNPAID","PAID DATE":"","RECORD_ID":"73b004174ace4e48bdc9073c290c971f","Amount paid":"\u20a60.00","DESCRIPTION":"iPhone 15 Pink 128GB IOS UPDATE","PHONE NUMBER":2348103663581,"DEAL LOCATION":"","INTERNAL NOTE":"","EXPENSE AMOUNT":"","CALCULATED PROFIT":"","EXPENSE DESCRIPTION":"","IMEI FOR SWAPPED DEAL":""}</t>
  </si>
  <si>
    <t>e2aebd51a776ecec7e7f7748707eb39a3609c8d8f66dc460c5c92d44a661e06e</t>
  </si>
  <si>
    <t>{"in":"","DATE":"05/09/2026","IMEI":354741550229463,"NAME":"ZEE TECH","TIME":"11:10","PRICE":"\u20a6350,000.00","STATUS":"UNPAID","PAID DATE":"","RECORD_ID":"c5be7f3783c34951ab1bdb16d0038ce4","Amount paid":"\u20a60.00","DESCRIPTION":"iPhone 16e","PHONE NUMBER":2349033724061,"DEAL LOCATION":"","INTERNAL NOTE":"","EXPENSE AMOUNT":"","CALCULATED PROFIT":"","EXPENSE DESCRIPTION":"","IMEI FOR SWAPPED DEAL":""}</t>
  </si>
  <si>
    <t>c55a07d074717f40099e7c283d1fe2f2b49cebb57d72577eb7362440a10ab909</t>
  </si>
  <si>
    <t>{"in":"","DATE":"05/09/2026","IMEI":"","NAME":"ZEE TECH","TIME":"11:18","PRICE":"\u20a610,000.00","STATUS":"UNPAID","PAID DATE":"","RECORD_ID":"c84f9ba7fcfb4e85a4f4fb87c81f11ce","Amount paid":"\u20a60.00","DESCRIPTION":"APPLE ID REACTIVATION","PHONE NUMBER":2349033724061,"DEAL LOCATION":"","INTERNAL NOTE":"WILLIAMSTYLERXX@ICLOUD.COM","EXPENSE AMOUNT":"","CALCULATED PROFIT":"","EXPENSE DESCRIPTION":"","IMEI FOR SWAPPED DEAL":""}</t>
  </si>
  <si>
    <t>5f4d002251112aaa5e8019d713f4056f4fae7e639b4f7f19e3335ae8e2e5a45f</t>
  </si>
  <si>
    <t>2026-05-09T00:00:00+01:00</t>
  </si>
  <si>
    <t>{"in":"","DATE":"05/09/2026","IMEI":"","NAME":"ANNIE","TIME":"12:00","PRICE":"\u20a62,500.00","STATUS":"PAID","PAID DATE":"","RECORD_ID":"c24d0edaa33a4c86a1586adc827b8c4e","Amount paid":"\u20a62,500.00","DESCRIPTION":"iPhone 13 Pro Graphite 128GB IOS UPDATE","PHONE NUMBER":2348141375361,"DEAL LOCATION":"","INTERNAL NOTE":"","EXPENSE AMOUNT":"","CALCULATED PROFIT":"","EXPENSE DESCRIPTION":"","IMEI FOR SWAPPED DEAL":""}</t>
  </si>
  <si>
    <t>5461778b40d350f07180ec8ac645c24d5e841cbff75a8529346bbca50d18f586</t>
  </si>
  <si>
    <t>{"in":"","DATE":"05/09/2026","IMEI":351829319886468,"NAME":"TEE BEST GADGET","TIME":"12:55","PRICE":"\u20a6820,000.00","STATUS":"PAID","PAID DATE":"","RECORD_ID":"bd6aff48c2a34972bca8da9bfe7db07d","Amount paid":"\u20a6820,000.00","DESCRIPTION":"IPHONE 16 P + E","PHONE NUMBER":2348037624066,"DEAL LOCATION":"","INTERNAL NOTE":"","EXPENSE AMOUNT":"","CALCULATED PROFIT":"","EXPENSE DESCRIPTION":"","IMEI FOR SWAPPED DEAL":""}</t>
  </si>
  <si>
    <t>8f07a9e43b387e1be9b3d01275687e87ccb5288ca13644ce2b81a1af25ec6790</t>
  </si>
  <si>
    <t>{"in":"","DATE":"05/09/2026","IMEI":"","NAME":"ANNIE","TIME":"13:01","PRICE":"\u20a62,500.00","STATUS":"PAID","PAID DATE":"","RECORD_ID":"b7ff5d04ddec432abf74c27e83a8b7f5","Amount paid":"\u20a62,500.00","DESCRIPTION":"IPHONE 14 PRO MAX IOS UPDATE: Space Black","PHONE NUMBER":2348141375361,"DEAL LOCATION":"","INTERNAL NOTE":"","EXPENSE AMOUNT":"","CALCULATED PROFIT":"","EXPENSE DESCRIPTION":"","IMEI FOR SWAPPED DEAL":""}</t>
  </si>
  <si>
    <t>776a4c47782f1df220599f0f066e6958ba09643bd1024f152cb229afdd5d6e3b</t>
  </si>
  <si>
    <t>{"in":"","DATE":"05/09/2026","IMEI":"","NAME":"DON","TIME":"13:06","PRICE":"\u20a62,500.00","STATUS":"UNPAID","PAID DATE":"","RECORD_ID":"a3c574aa9ead48018c691ac18436b97a","Amount paid":"\u20a60.00","DESCRIPTION":"IPHONE 11 BATTERY CALIBRATION: Green","PHONE NUMBER":2348137676322,"DEAL LOCATION":"","INTERNAL NOTE":"","EXPENSE AMOUNT":"","CALCULATED PROFIT":"","EXPENSE DESCRIPTION":"","IMEI FOR SWAPPED DEAL":""}</t>
  </si>
  <si>
    <t>2bb82905934a58eb495ab25e6e2efde7ba84883b614805de3c29f89308274c9d</t>
  </si>
  <si>
    <t>{"in":"","DATE":"05/09/2026","IMEI":"","NAME":"FORMULA","TIME":"13:30","PRICE":"\u20a62,500.00","STATUS":"UNPAID","PAID DATE":"","RECORD_ID":"c67dd8aed73c4e73b8ad56e7b66a64e3","Amount paid":"\u20a60.00","DESCRIPTION":"IPHONE AIR IOS UPDATE: CLOUD EHITE","PHONE NUMBER":2347067612418,"DEAL LOCATION":"","INTERNAL NOTE":"","EXPENSE AMOUNT":"","CALCULATED PROFIT":"","EXPENSE DESCRIPTION":"","IMEI FOR SWAPPED DEAL":""}</t>
  </si>
  <si>
    <t>09d7a98f9e1c7a5ad050829388b96617a23d6a607248fc827182b18ac1b69095</t>
  </si>
  <si>
    <t>{"in":"","DATE":"05/09/2026","IMEI":"","NAME":"D_HYSE","TIME":"14:35","PRICE":"\u20a628,000.00","STATUS":"UNPAID","PAID DATE":"","RECORD_ID":"a616317a394e426c879fe05b0b66c2bb","Amount paid":"\u20a60.00","DESCRIPTION":"IPHONE 13 CHIP UNLOCKING","PHONE NUMBER":2347025790985,"DEAL LOCATION":"","INTERNAL NOTE":"","EXPENSE AMOUNT":"","CALCULATED PROFIT":"","EXPENSE DESCRIPTION":"","IMEI FOR SWAPPED DEAL":""}</t>
  </si>
  <si>
    <t>64ce150cd707883b8b079e1dd363c4d03e98f0b162a18db6e08e130617d84c2a</t>
  </si>
  <si>
    <t>{"in":"","DATE":"05/09/2026","IMEI":"","NAME":"ZEE TECH","TIME":"15:48","PRICE":"\u20a62,500.00","STATUS":"UNPAID","PAID DATE":"","RECORD_ID":"39aa022136974f5ea9bf635363925bb9","Amount paid":"\u20a60.00","DESCRIPTION":"iPhone 14 Pro Max Space Black 128GB IOS UPDATE","PHONE NUMBER":2349033724061,"DEAL LOCATION":"","INTERNAL NOTE":"","EXPENSE AMOUNT":"","CALCULATED PROFIT":"","EXPENSE DESCRIPTION":"","IMEI FOR SWAPPED DEAL":""}</t>
  </si>
  <si>
    <t>09b540de836c9f1a4f6e4bacc7d16814666f1ebe2a39cc346259ad18ffda08fb</t>
  </si>
  <si>
    <t>{"in":"","DATE":"05/09/2026","IMEI":"","NAME":"DON","TIME":"16:17","PRICE":"\u20a62,500.00","STATUS":"UNPAID","PAID DATE":"","RECORD_ID":"ec2f957b10894b5aa7c8e1fb98af20a7","Amount paid":"\u20a60.00","DESCRIPTION":"IPHONE 11 IOS UPDATE","PHONE NUMBER":2348137676322,"DEAL LOCATION":"","INTERNAL NOTE":"","EXPENSE AMOUNT":"","CALCULATED PROFIT":"","EXPENSE DESCRIPTION":"","IMEI FOR SWAPPED DEAL":""}</t>
  </si>
  <si>
    <t>ab4e82377ffb046c073c027dcb14847dcc60d975333e5e98f1ebbe2c7da8eb3e</t>
  </si>
  <si>
    <t>2026-05-11T00:00:00+01:00</t>
  </si>
  <si>
    <t>{"in":"","DATE":"05/11/2026","IMEI":"","NAME":"FOLAKEMI","TIME":"10:42","PRICE":"\u20a65,000.00","STATUS":"PAID","PAID DATE":"2026-05-11","RECORD_ID":"3b29a209fd4e4872b0eb9918053440e0","Amount paid":"\u20a65,000.00","DESCRIPTION":"iPhone 15 Yellow 256GB UPGRADE &amp; WIPING","PHONE NUMBER":2349075624207,"DEAL LOCATION":"","INTERNAL NOTE":"","EXPENSE AMOUNT":0,"CALCULATED PROFIT":5000,"EXPENSE DESCRIPTION":"iPhone 15 Yellow 256GB UPGRADE &amp; WIPING","IMEI FOR SWAPPED DEAL":""}</t>
  </si>
  <si>
    <t>3b228c02cd839f112e67685a47d7118bb47fa26c4c8f7d73a8401d6779f4e812</t>
  </si>
  <si>
    <t>{"in":"","DATE":"05/11/2026","IMEI":"","NAME":"DAMBOX","TIME":"11:02","PRICE":"\u20a63,000.00","STATUS":"UNPAID","PAID DATE":"","RECORD_ID":"3bb04f960f0d4fddad489307c7bb8601","Amount paid":"\u20a60.00","DESCRIPTION":"iPhone 17 Pro Sliver 256GB IOS UPDATE","PHONE NUMBER":2349040943517,"DEAL LOCATION":"","INTERNAL NOTE":"","EXPENSE AMOUNT":0,"CALCULATED PROFIT":0,"EXPENSE DESCRIPTION":"","IMEI FOR SWAPPED DEAL":""}</t>
  </si>
  <si>
    <t>936068f51380eb52a477182d23cb0c6a2a5898d2ea627c57478f023aebab398d</t>
  </si>
  <si>
    <t>{"in":"","DATE":"05/11/2026","IMEI":"","NAME":"STARBOX","TIME":"11:41","PRICE":"\u20a6600,000.00","STATUS":"UNPAID","PAID DATE":"","RECORD_ID":"892ea329b06b4449aa5df5ed45839b54","Amount paid":"\u20a60.00","DESCRIPTION":"600K CASH","PHONE NUMBER":2349063620334,"DEAL LOCATION":"","INTERNAL NOTE":"","EXPENSE AMOUNT":600000,"CALCULATED PROFIT":0,"EXPENSE DESCRIPTION":600000,"IMEI FOR SWAPPED DEAL":""}</t>
  </si>
  <si>
    <t>a88bb61f2bcf0aa01fba074f04c59ad179ddb2a4dd7b4f1511e6a728fc198f12</t>
  </si>
  <si>
    <t>{"in":"","DATE":"05/11/2026","IMEI":"","NAME":"SAINTYUNG","TIME":"12:00","PRICE":"\u20a65,000.00","STATUS":"PAID","PAID DATE":"2026-05-11 12:00:19","RECORD_ID":"2056d34f4ebe4d709a850e67b341fdf9","Amount paid":"\u20a65,000.00","DESCRIPTION":"ICLOUD OPENING: Nigeria","PHONE NUMBER":2348105251875,"DEAL LOCATION":"","INTERNAL NOTE":"Josiahclinton078@gmail.com  09014272599 Josiah Clinton Aust, 3th 1997 mad121@Z","EXPENSE AMOUNT":0,"CALCULATED PROFIT":5000,"EXPENSE DESCRIPTION":"Josiahclinton078@gmail.com  09014272599 Josiah Clinton Aust, 3th 1997 mad121@Z","IMEI FOR SWAPPED DEAL":""}</t>
  </si>
  <si>
    <t>93847b8a020204c00c3fb96f18dcdb60883583b999b3ee96c345efa9f7104d76</t>
  </si>
  <si>
    <t>{"in":"","DATE":"05/11/2026","IMEI":355818455602793,"NAME":"CLEARIES GASGETS","TIME":"12:39","PRICE":"\u20a6380,000.00","STATUS":"RETURNED","PAID DATE":"","RECORD_ID":"d3dfc67f18f3481ebd0730c250fb3338","Amount paid":"\u20a60.00","DESCRIPTION":"IPHONE 13","PHONE NUMBER":2348142735624,"DEAL LOCATION":"","INTERNAL NOTE":"","EXPENSE AMOUNT":0,"CALCULATED PROFIT":0,"EXPENSE DESCRIPTION":"","IMEI FOR SWAPPED DEAL":""}</t>
  </si>
  <si>
    <t>a417ef22e9488923f203ff337a36ccfb9dc7f77e0adb06f04070adc1faf7d994</t>
  </si>
  <si>
    <t>{"in":"","DATE":"05/11/2026","IMEI":"","NAME":"PROMISE OKON","TIME":"13:17","PRICE":"\u20a63,000.00","STATUS":"PAID","PAID DATE":"2026-05-11 13:17:25","RECORD_ID":"d76476da699148bf9d3cb4224295e64d","Amount paid":"\u20a63,000.00","DESCRIPTION":"ICLOUD OPENING: Nigeria","PHONE NUMBER":2348138306902,"DEAL LOCATION":"","INTERNAL NOTE":"Promise Okon okonpromise073@gmail.com 08138306902 14 March 2001 AppleID2026#","EXPENSE AMOUNT":0,"CALCULATED PROFIT":3000,"EXPENSE DESCRIPTION":"Promise Okon okonpromise073@gmail.com 08138306902 14 March 2001 AppleID2026#","IMEI FOR SWAPPED DEAL":""}</t>
  </si>
  <si>
    <t>9715983aa2bf7aff90140e3da4792c646b5b8c4239de4c3e05b831838cc2e6f0</t>
  </si>
  <si>
    <t>{"in":"","DATE":"05/11/2026","IMEI":353718462738667,"NAME":"OGRICHIE GADGETS","TIME":"14:14","PRICE":"\u20a6800,000.00","STATUS":"PART PAYMENT","PAID DATE":"","RECORD_ID":"f12b3c51d2cb44acbc866af079b2cfc2","Amount paid":"\u20a6350,000.00","DESCRIPTION":"IPHONE 16 P + E","PHONE NUMBER":2348162302777,"DEAL LOCATION":"","INTERNAL NOTE":"","EXPENSE AMOUNT":0,"CALCULATED PROFIT":0,"EXPENSE DESCRIPTION":"","IMEI FOR SWAPPED DEAL":""}</t>
  </si>
  <si>
    <t>bc02b5943b5f27a10d180c92bea3a7cfe5fa31a5a3cd492a79628a5dfb51867b</t>
  </si>
  <si>
    <t>{"in":"","DATE":"05/11/2026","IMEI":"","NAME":"JOHNG","TIME":"15:27","PRICE":"\u20a62,500.00","STATUS":"UNPAID","PAID DATE":"","RECORD_ID":"79153994b5044c19ad277506f30da1fb","Amount paid":"\u20a60.00","DESCRIPTION":"IPHONE 14 PRO MAX: Deep Purple","PHONE NUMBER":2349160254317,"DEAL LOCATION":"","INTERNAL NOTE":"","EXPENSE AMOUNT":0,"CALCULATED PROFIT":0,"EXPENSE DESCRIPTION":"","IMEI FOR SWAPPED DEAL":""}</t>
  </si>
  <si>
    <t>64eca17ea1ff7b69c3a82ccf65b8f826c54d59f6852bb9e10b4264fd3a8488df</t>
  </si>
  <si>
    <t>{"in":"","DATE":"05/11/2026","IMEI":"","NAME":"SMART","TIME":"15:55","PRICE":"\u20a62,500.00","STATUS":"PAID","PAID DATE":"2026-05-11","RECORD_ID":"bbfd9daa92b946ba8b5650cf50555475","Amount paid":"\u20a62,500.00","DESCRIPTION":"IPHONE 15 IOS UPDATE: Black","PHONE NUMBER":2347059966105,"DEAL LOCATION":"","INTERNAL NOTE":"","EXPENSE AMOUNT":0,"CALCULATED PROFIT":2500,"EXPENSE DESCRIPTION":"IPHONE 15 IOS UPDATE: Black","IMEI FOR SWAPPED DEAL":""}</t>
  </si>
  <si>
    <t>a25531e4b646a9691e7f0ea7d6f9a080e207c0a82e654f29ec9f763f10d63bc9</t>
  </si>
  <si>
    <t>{"in":"","DATE":"5/11/2026","IMEI":"","NAME":"ACTIVE","TIME":"6:16:55 PM","PRICE":"\u20a62,500.00","STATUS":"UNPAID","PAID DATE":"","RECORD_ID":"72690371600d4b95b2409b480f12eef1","Amount paid":"","DESCRIPTION":"iPhone 14 Pro Space Black 128GB IOS UPDATE","PHONE NUMBER":2348145310779,"DEAL LOCATION":"","INTERNAL NOTE":"","EXPENSE AMOUNT":"","CALCULATED PROFIT":"","EXPENSE DESCRIPTION":"","IMEI FOR SWAPPED DEAL":""}</t>
  </si>
  <si>
    <t>771015c78f1d39066ec5c6412de5d7ca900fa7d8a6be7bf117ea6d90a5855aa3</t>
  </si>
  <si>
    <t>{"in":"","DATE":"","IMEI":"","NAME":"DAPPER","TIME":"","PRICE":"\u20a62,500.00","STATUS":"UNPAID","PAID DATE":"","RECORD_ID":"2729da159e384d008043a353f22ff6ac","Amount paid":"","DESCRIPTION":"iPhone 14 Pro Max Space Black 128GB IOS UPDATE","PHONE NUMBER":2349166394378,"DEAL LOCATION":"","INTERNAL NOTE":"","EXPENSE AMOUNT":"","CALCULATED PROFIT":"","EXPENSE DESCRIPTION":"","IMEI FOR SWAPPED DEAL":""}</t>
  </si>
  <si>
    <t>f4c0873e338746d89216ac34497d6f0b</t>
  </si>
  <si>
    <t>14a8cfe388308096c071b929309db327aa00bc0bd9a7e0cb8be6c50c4e9dd2ab</t>
  </si>
  <si>
    <t>IYANUOLUWA DEMIGLOBAL</t>
  </si>
  <si>
    <t>SOLD</t>
  </si>
  <si>
    <t>{"S/N":"1","IMEI":"359428791784739","TIME":"","COLOUR":"BLUE TITANIUM","DEVICE":"IPHONE","STORAGE":"256GB","Column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DATE":"","RECORD_ID":"f4c0873e338746d89216ac34497d6f0b","BATTERY. H":"89","CONDITIONS":"NONE","COST PRICE":"","DATE BOUGHT":"OCTOBER, 6, 2024","DESCRIPTION":"IPHONE 15 PRO MAX","DEAL LOCATION":"","INTERNAL NOTE":"","NAME OF BUYER":"IYANUOLUWA DEMIGLOBAL","EXPENSE AMOUNT":"","NAME OF SELLER":"O.Z GADGET","PRODUCT STATUS":"SOLD","STATUS OF DEVICE":"LOCKED","CALCULATED PROFIT":"","EXPENSE DESCRIPTION":"","PHONE NUMBER OF BUYER":"08088480573","AVAILABILITY/DATE SOLD":"","PHONE NUMBER OF SELLER":"08106293924","RECEIPT &amp; EVIDIENCE LINK":""}</t>
  </si>
  <si>
    <t>2026-05-11T22:24:59.340311+01:00</t>
  </si>
  <si>
    <t>3768e50b53064b5ba6ba5b400c6d2b89</t>
  </si>
  <si>
    <t>2a7873bf50294f5b00dea2eb84e63f1f5018f8f5c69dd9bd1650e67c9bd88982</t>
  </si>
  <si>
    <t>{"S/N":"2","IMEI":"352846114777907","TIME":"","COLOUR":"GOLD","DEVICE":"IPHONE","STORAGE":"128GB","Column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DATE":"","RECORD_ID":"3768e50b53064b5ba6ba5b400c6d2b89","BATTERY. H":"90","CONDITIONS":"NONE","COST PRICE":"","DATE BOUGHT":"SEPTEMBER, 30, 2024","DESCRIPTION":"IPHONE 13 PRO MAX","DEAL LOCATION":"","INTERNAL NOTE":"","NAME OF BUYER":"OLUFAD TELECOMMUNICATION","EXPENSE AMOUNT":"","NAME OF SELLER":"PAPPYTECH GADGET","PRODUCT STATUS":"SOLD","STATUS OF DEVICE":"LOCKED (THEN UNLOCKED)","CALCULATED PROFIT":"","EXPENSE DESCRIPTION":"","PHONE NUMBER OF BUYER":"09033780767","AVAILABILITY/DATE SOLD":"12/23/2024","PHONE NUMBER OF SELLER":"09064677372","RECEIPT &amp; EVIDIENCE LINK":""}</t>
  </si>
  <si>
    <t>2026-05-11T22:00:10.014056+01:00</t>
  </si>
  <si>
    <t>cfa6b8aee46f496baf1bbf870b763913</t>
  </si>
  <si>
    <t>340828b1a19347fddcc37394bc5c1079fa907512081be760f04273f3ee20640c</t>
  </si>
  <si>
    <t>RWRGQWTLDG</t>
  </si>
  <si>
    <t>RUL</t>
  </si>
  <si>
    <t>{"S/N":"3","IMEI":"RWRGQWTLDG","TIME":"","COLOUR":"BLACK","DEVICE":"IWATCH","STORAGE":"90+","Column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DATE":"","RECORD_ID":"cfa6b8aee46f496baf1bbf870b763913","BATTERY. H":"97","CONDITIONS":"NONE","COST PRICE":"","DATE BOUGHT":"SEPTEMBER, 30, 2024","DESCRIPTION":"IWATCH SERIES 7","DEAL LOCATION":"","INTERNAL NOTE":"","NAME OF BUYER":"RUL ","EXPENSE AMOUNT":"","NAME OF SELLER":"AKINRULI","PRODUCT STATUS":"SOLD","STATUS OF DEVICE":"UNLOCKED (GPS)","CALCULATED PROFIT":"","EXPENSE DESCRIPTION":"","PHONE NUMBER OF BUYER":"08153978826","AVAILABILITY/DATE SOLD":"","PHONE NUMBER OF SELLER":"08153978826","RECEIPT &amp; EVIDIENCE LINK":""}</t>
  </si>
  <si>
    <t>de50ff235ae54e7bab6d84c727a8dfdb</t>
  </si>
  <si>
    <t>7cc6965aa60791361cff910a084530b1728b34d8017b28783e3c8291cf1cdfa3</t>
  </si>
  <si>
    <t>{"S/N":"4","IMEI":"351646277325994","TIME":"","COLOUR":"BLUE TITANIUM","DEVICE":"IPHONE","STORAGE":"256GB","Column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DATE":"","RECORD_ID":"de50ff235ae54e7bab6d84c727a8dfdb","BATTERY. H":"100","CONDITIONS":"NONE","COST PRICE":"","DATE BOUGHT":"SEPTEMBER, 25, 2024","DESCRIPTION":"IPHONE 15 PRO MAX","DEAL LOCATION":"","INTERNAL NOTE":"","NAME OF BUYER":"MARVY FCG","EXPENSE AMOUNT":"","NAME OF SELLER":"O.Z GADGET","PRODUCT STATUS":"SOLD","STATUS OF DEVICE":"LOCKED","CALCULATED PROFIT":"","EXPENSE DESCRIPTION":"","PHONE NUMBER OF BUYER":"08138375326","AVAILABILITY/DATE SOLD":"October 26, 2024","PHONE NUMBER OF SELLER":"08106293924","RECEIPT &amp; EVIDIENCE LINK":""}</t>
  </si>
  <si>
    <t>66863ec018eb4afcaa4f3d1c0dd63c8c</t>
  </si>
  <si>
    <t>62d23667755195e63b5d5234f30938f95904ff364f3992fe99461567ff17b30e</t>
  </si>
  <si>
    <t>AZIMUTHAL</t>
  </si>
  <si>
    <t>{"S/N":"5","IMEI":"357343096709841","TIME":"","COLOUR":"BLUE","DEVICE":"IPHONE","STORAGE":"64GB","Column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DATE":"","RECORD_ID":"66863ec018eb4afcaa4f3d1c0dd63c8c","BATTERY. H":"86","CONDITIONS":"NONE","COST PRICE":"","DATE BOUGHT":"OCTOBER, 9, 2024","DESCRIPTION":"IPHONE XR ","DEAL LOCATION":"","INTERNAL NOTE":"","NAME OF BUYER":"AZIMUTHAL","EXPENSE AMOUNT":"","NAME OF SELLER":"COWBELL","PRODUCT STATUS":"SOLD","STATUS OF DEVICE":"UNLOCKED","CALCULATED PROFIT":"","EXPENSE DESCRIPTION":"","PHONE NUMBER OF BUYER":"08135659717","AVAILABILITY/DATE SOLD":"OCTOBER, 9, 2024","PHONE NUMBER OF SELLER":"08027964718","RECEIPT &amp; EVIDIENCE LINK":""}</t>
  </si>
  <si>
    <t>a7c86fc0132e49188954358ad06be091</t>
  </si>
  <si>
    <t>914a6f96c95e55f4d90856c90dcc818e71f98e5910ac6810cd4f5586f1f5e81e</t>
  </si>
  <si>
    <t>AYOMIDE FROM KING</t>
  </si>
  <si>
    <t>{"S/N":"6","IMEI":"355591190747054","TIME":"","COLOUR":"PACIFIC BLUE","DEVICE":"IPHONE","STORAGE":"128GB","Column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DATE":"","RECORD_ID":"a7c86fc0132e49188954358ad06be091","BATTERY. H":"89","CONDITIONS":"NONE","COST PRICE":"","DATE BOUGHT":"SEPTEMBER, 5, 2024","DESCRIPTION":"IPHONE 12 PRO MAX","DEAL LOCATION":"","INTERNAL NOTE":"","NAME OF BUYER":"AYOMIDE FROM KING","EXPENSE AMOUNT":"","NAME OF SELLER":"HAYKINZ TECH","PRODUCT STATUS":"SOLD","STATUS OF DEVICE":"LOCKED","CALCULATED PROFIT":"","EXPENSE DESCRIPTION":"","PHONE NUMBER OF BUYER":"07036545521","AVAILABILITY/DATE SOLD":"OCTOBER, 25, 2024","PHONE NUMBER OF SELLER":"07030279101","RECEIPT &amp; EVIDIENCE LINK":""}</t>
  </si>
  <si>
    <t>0b280c8acbac4c488c0d68ea13e375b9</t>
  </si>
  <si>
    <t>d514a45e827bc32624e7f37fd801279408187400d9d64b3dbb8657d62a7f01ba</t>
  </si>
  <si>
    <t>CLARK TMOBILE</t>
  </si>
  <si>
    <t>{"S/N":"7","IMEI":"358614725800789","TIME":"","COLOUR":"YELLOW","DEVICE":"IPHONE","STORAGE":"128GB","Column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DATE":"","RECORD_ID":"0b280c8acbac4c488c0d68ea13e375b9","BATTERY. H":"100","CONDITIONS":"NONE","COST PRICE":"","DATE BOUGHT":"OCTOBER, 9, 2024","DESCRIPTION":"IPHONE 15","DEAL LOCATION":"","INTERNAL NOTE":"","NAME OF BUYER":"CLARK TMOBILE","EXPENSE AMOUNT":"","NAME OF SELLER":"STAR BOX","PRODUCT STATUS":"SOLD","STATUS OF DEVICE":"LOCKED/INACTIVE (THEN UNLOCKED)","CALCULATED PROFIT":"","EXPENSE DESCRIPTION":"","PHONE NUMBER OF BUYER":"07064459910","AVAILABILITY/DATE SOLD":"OCTOBER, 9, 2024","PHONE NUMBER OF SELLER":"09063620334","RECEIPT &amp; EVIDIENCE LINK":""}</t>
  </si>
  <si>
    <t>1fd8108519d94ba4ab573f6929f093e1</t>
  </si>
  <si>
    <t>776c74d1412901845cd096bbc3fd3bd345fc84d89855d51676b4b61b17ed922d</t>
  </si>
  <si>
    <t>{"S/N":"8","IMEI":"356028100922757","TIME":"","COLOUR":"BLUE","DEVICE":"SAMSUNG ","STORAGE":"8/128G","Column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DATE":"","RECORD_ID":"1fd8108519d94ba4ab573f6929f093e1","BATTERY. H":"-","CONDITIONS":"NONE","COST PRICE":"","DATE BOUGHT":"OCTOBER, 5, 2024","DESCRIPTION":"SAMSUNG GALAXY S10","DEAL LOCATION":"","INTERNAL NOTE":"","NAME OF BUYER":"AZIMUTHAL","EXPENSE AMOUNT":"","NAME OF SELLER":"DENIS4WARD TECHNOLOGY ","PRODUCT STATUS":"SOLD","STATUS OF DEVICE":"UNLOCKED","CALCULATED PROFIT":"","EXPENSE DESCRIPTION":"","PHONE NUMBER OF BUYER":"08135659717","AVAILABILITY/DATE SOLD":"OCTOBER, 9, 2024","PHONE NUMBER OF SELLER":"08038551439","RECEIPT &amp; EVIDIENCE LINK":""}</t>
  </si>
  <si>
    <t>4e9da763a2e2438a88fed668796c4ca4</t>
  </si>
  <si>
    <t>ab85df81f1e5166a4ddb7d6ff8c3f908a979e585842eb959c7e6ee5d4693c9ca</t>
  </si>
  <si>
    <t>{"S/N":"9","IMEI":"356611841620473","TIME":"","COLOUR":"NATURAL TITANIUM","DEVICE":"IPHONE","STORAGE":"128GB","Column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DATE":"","RECORD_ID":"4e9da763a2e2438a88fed668796c4ca4","BATTERY. H":"100","CONDITIONS":"NONE","COST PRICE":"","DATE BOUGHT":"OCTOBER, 11, 2024","DESCRIPTION":"IPHONE 15 PRO","DEAL LOCATION":"","INTERNAL NOTE":"","NAME OF BUYER":"STARBOX","EXPENSE AMOUNT":"","NAME OF SELLER":"DENIS IPHONE CART","PRODUCT STATUS":"SOLD","STATUS OF DEVICE":"LOCKED","CALCULATED PROFIT":"","EXPENSE DESCRIPTION":"","PHONE NUMBER OF BUYER":"09063620334","AVAILABILITY/DATE SOLD":"OCTOBER, 29, 2024","PHONE NUMBER OF SELLER":"07019540544","RECEIPT &amp; EVIDIENCE LINK":""}</t>
  </si>
  <si>
    <t>3da6080066fd4c92b3d68a4eb2d3352e</t>
  </si>
  <si>
    <t>0d7902f183f31b329c93ba8901cc54f3ae20ecc58a158b541d0d9d8010168fff</t>
  </si>
  <si>
    <t>C02CQ657ML7H</t>
  </si>
  <si>
    <t>{"S/N":"10","IMEI":"C02CQ657ML7H","TIME":"","COLOUR":"SILVER","DEVICE":"MACBOOK","STORAGE":"16/512GB","Column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DATE":"","RECORD_ID":"3da6080066fd4c92b3d68a4eb2d3352e","BATTERY. H":"192 cc","CONDITIONS":"NONE","COST PRICE":"","DATE BOUGHT":"OCTOBER, 11, 2024","DESCRIPTION":"MACBOOK PRO 2020","DEAL LOCATION":"","INTERNAL NOTE":"","NAME OF BUYER":"","EXPENSE AMOUNT":"","NAME OF SELLER":"GADGET AND EXCHANGE","PRODUCT STATUS":"SOLD","STATUS OF DEVICE":"UNLOCKED (NO FMI)","CALCULATED PROFIT":"","EXPENSE DESCRIPTION":"","PHONE NUMBER OF BUYER":"","AVAILABILITY/DATE SOLD":"","PHONE NUMBER OF SELLER":"08142246838","RECEIPT &amp; EVIDIENCE LINK":""}</t>
  </si>
  <si>
    <t>7b37f8c77cba4eeeb6a371dc23875e9b</t>
  </si>
  <si>
    <t>4d3fd4677d4701cf5f6e764b52627b3caf855eff4900ce886c2ca8b3ba2f0982</t>
  </si>
  <si>
    <t>358835961632491/17</t>
  </si>
  <si>
    <t>GEORGE</t>
  </si>
  <si>
    <t>{"S/N":"11","IMEI":"358835961632491/17","TIME":"","COLOUR":"BLACK","DEVICE":"SAMSUNG ","STORAGE":"12/512GB","Column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DATE":"","RECORD_ID":"7b37f8c77cba4eeeb6a371dc23875e9b","BATTERY. H":"100","CONDITIONS":"NONE","COST PRICE":"","DATE BOUGHT":"AUGUST, 5, 2024","DESCRIPTION":"SAMSUNG GALAXY S23 ULTRA","DEAL LOCATION":"","INTERNAL NOTE":"","NAME OF BUYER":"GEORGE","EXPENSE AMOUNT":"","NAME OF SELLER":"DAMBOX GADGETS","PRODUCT STATUS":"SOLD","STATUS OF DEVICE":"UNLOCKED","CALCULATED PROFIT":"","EXPENSE DESCRIPTION":"","PHONE NUMBER OF BUYER":"08168364881","AVAILABILITY/DATE SOLD":"12/7/2024","PHONE NUMBER OF SELLER":"09040943517","RECEIPT &amp; EVIDIENCE LINK":""}</t>
  </si>
  <si>
    <t>d9b909f7d5084ca7a454f266ee9ce09b</t>
  </si>
  <si>
    <t>695e7926165babe9e52ddbb29a13846a34fbc68d92f96948ad996aed324a8b89</t>
  </si>
  <si>
    <t>{"S/N":"12","IMEI":"356370160169592","TIME":"","COLOUR":"SIERRA BLUE","DEVICE":"IPHONE","STORAGE":"128GB","Column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DATE":"","RECORD_ID":"d9b909f7d5084ca7a454f266ee9ce09b","BATTERY. H":"93","CONDITIONS":"NONE","COST PRICE":"","DATE BOUGHT":"AUGUST, 31, 2024","DESCRIPTION":"IPHONE 13 PRO MAX","DEAL LOCATION":"","INTERNAL NOTE":"","NAME OF BUYER":"NURUDEEN","EXPENSE AMOUNT":"","NAME OF SELLER":"NURUDEEN","PRODUCT STATUS":"SOLD","STATUS OF DEVICE":"LOCKED","CALCULATED PROFIT":"","EXPENSE DESCRIPTION":"","PHONE NUMBER OF BUYER":"07067426927","AVAILABILITY/DATE SOLD":"OCTOBER, 12, 2024","PHONE NUMBER OF SELLER":"07067426927","RECEIPT &amp; EVIDIENCE LINK":""}</t>
  </si>
  <si>
    <t>f2b348f4a09343e68a415a8ec8b27f21</t>
  </si>
  <si>
    <t>0f05bd745789c58be669981c00606126eabe6cba7ae62badef102c3c91f902ce</t>
  </si>
  <si>
    <t>{"S/N":"13","IMEI":"351048874153335","TIME":"","COLOUR":"MIDNIGHT","DEVICE":"IPHONE","STORAGE":"128GB","Column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DATE":"","RECORD_ID":"f2b348f4a09343e68a415a8ec8b27f21","BATTERY. H":"98","CONDITIONS":"NONE","COST PRICE":"","DATE BOUGHT":"OCTOBER, 12, 2024","DESCRIPTION":"IPHONE 15","DEAL LOCATION":"","INTERNAL NOTE":"","NAME OF BUYER":"ZEE TECH","EXPENSE AMOUNT":"","NAME OF SELLER":"IYANUOLUWA (WHYTE)","PRODUCT STATUS":"SOLD","STATUS OF DEVICE":"LOCKED","CALCULATED PROFIT":"","EXPENSE DESCRIPTION":"","PHONE NUMBER OF BUYER":"09033724061","AVAILABILITY/DATE SOLD":"OCTOBER, 12, 2024","PHONE NUMBER OF SELLER":"08088480573","RECEIPT &amp; EVIDIENCE LINK":""}</t>
  </si>
  <si>
    <t>7c4f6b6c5d884933af704e01adf21dfd</t>
  </si>
  <si>
    <t>5c32a8a5122cd94b2733d5dea5538d6753094f7d33502e204b6d34e8b049392b</t>
  </si>
  <si>
    <t>3555609473866646</t>
  </si>
  <si>
    <t>{"S/N":"14","IMEI":"3555609473866646","TIME":"","COLOUR":"GOLD","DEVICE":"IPHONE","STORAGE":"256GB","Column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DATE":"","RECORD_ID":"7c4f6b6c5d884933af704e01adf21dfd","BATTERY. H":"87","CONDITIONS":"NONE","COST PRICE":"","DATE BOUGHT":"OCTOBER 14, 2024","DESCRIPTION":"IPHONE 14 PRO MAX ","DEAL LOCATION":"","INTERNAL NOTE":"","NAME OF BUYER":"OZ GADGET","EXPENSE AMOUNT":"","NAME OF SELLER":"MOBILETRENDS LTD","PRODUCT STATUS":"SOLD","STATUS OF DEVICE":"LOCKED (THEN UNLOCKED)","CALCULATED PROFIT":"","EXPENSE DESCRIPTION":"","PHONE NUMBER OF BUYER":"08106293924","AVAILABILITY/DATE SOLD":"OCTOBERR, 16, 2024","PHONE NUMBER OF SELLER":"08034378180","RECEIPT &amp; EVIDIENCE LINK":""}</t>
  </si>
  <si>
    <t>a63214b0adaa4d1799c3214ba977256c</t>
  </si>
  <si>
    <t>227e4e61b0d6e7b42078e1051bb5ca912273da40c82d856edec44c453e70bf2e</t>
  </si>
  <si>
    <t>{"S/N":"15","IMEI":"353342884127308","TIME":"","COLOUR":"PURPLE","DEVICE":"IPHONE","STORAGE":"64GB","Column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DATE":"","RECORD_ID":"a63214b0adaa4d1799c3214ba977256c","BATTERY. H":"87","CONDITIONS":"NONE","COST PRICE":"","DATE BOUGHT":"AUGUST, 28, 2024","DESCRIPTION":"IPHONE 12","DEAL LOCATION":"","INTERNAL NOTE":"","NAME OF BUYER":"PHLEMZY","EXPENSE AMOUNT":"","NAME OF SELLER":"BROOKS","PRODUCT STATUS":"SOLD","STATUS OF DEVICE":"LOCKED (THEN UNLOCKED)","CALCULATED PROFIT":"","EXPENSE DESCRIPTION":"","PHONE NUMBER OF BUYER":"09065642565","AVAILABILITY/DATE SOLD":"OCTOBER, 14, 2024","PHONE NUMBER OF SELLER":"08136762183","RECEIPT &amp; EVIDIENCE LINK":""}</t>
  </si>
  <si>
    <t>bd88096ea70d4c45829a1fa6c83ac3e5</t>
  </si>
  <si>
    <t>6d97d67bf0e2614e356d6391a6d6944065ea943ca74b6cdff4332e3228368d7c</t>
  </si>
  <si>
    <t>5CG8263RYB</t>
  </si>
  <si>
    <t>{"S/N":"16","IMEI":"5CG8263RYB","TIME":"","COLOUR":"SILVER","DEVICE":"LAPTOP","STORAGE":"8GB + 256GB(SSD) + 7TH GEN + i5 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DATE":"","RECORD_ID":"bd88096ea70d4c45829a1fa6c83ac3e5","BATTERY. H":"2CC","CONDITIONS":"NONE","COST PRICE":"","DATE BOUGHT":"OCTOBER, 17, 2024","DESCRIPTION":"HP ELITEBOOK X360 1030 G2 // TOUCH SCREEN // 2CC","DEAL LOCATION":"","INTERNAL NOTE":"","NAME OF BUYER":"FM LORD","EXPENSE AMOUNT":"","NAME OF SELLER":"DENIS4WARD TECHNOLOGY ","PRODUCT STATUS":"SOLD","STATUS OF DEVICE":"","CALCULATED PROFIT":"","EXPENSE DESCRIPTION":"","PHONE NUMBER OF BUYER":"08157806332","AVAILABILITY/DATE SOLD":"October, 17, 2024","PHONE NUMBER OF SELLER":"08038551439","RECEIPT &amp; EVIDIENCE LINK":""}</t>
  </si>
  <si>
    <t>27712ecfa97942f588ddb6ae92a448df</t>
  </si>
  <si>
    <t>01eaec41d3d112bf7cecd2e6977d658f2db1de402b88e41539d7a54746fb3630</t>
  </si>
  <si>
    <t>MARIAM ADEDEJI</t>
  </si>
  <si>
    <t>{"S/N":"17","IMEI":"355185496137241","TIME":"","COLOUR":"MIDNIGHT","DEVICE":"IPHONE","STORAGE":"128GB","Column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DATE":"","RECORD_ID":"27712ecfa97942f588ddb6ae92a448df","BATTERY. H":"100","CONDITIONS":"NONE","COST PRICE":"","DATE BOUGHT":"OCTOBER, 17, 2024","DESCRIPTION":"IPHONE 14 ","DEAL LOCATION":"","INTERNAL NOTE":"","NAME OF BUYER":"MARIAM ADEDEJI","EXPENSE AMOUNT":"","NAME OF SELLER":"KAYWISE","PRODUCT STATUS":"SOLD","STATUS OF DEVICE":"LOCKED","CALCULATED PROFIT":"","EXPENSE DESCRIPTION":"","PHONE NUMBER OF BUYER":"09129850861","AVAILABILITY/DATE SOLD":"OCTOBER, 17, 2024","PHONE NUMBER OF SELLER":"09032611871","RECEIPT &amp; EVIDIENCE LINK":""}</t>
  </si>
  <si>
    <t>b5ab29a5c6e449e98d85812fd69da4b5</t>
  </si>
  <si>
    <t>053b6a136681aa93fb93a2c25e6ebf45f9599baba203079b0ae35e356a9f9676</t>
  </si>
  <si>
    <t>STOP PLAYING FROM Muller</t>
  </si>
  <si>
    <t>{"S/N":"18","IMEI":"354242631252863","TIME":"","COLOUR":"BLACK TITANIUM","DEVICE":"IPHONE","STORAGE":"256GB","Column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DATE":"","RECORD_ID":"b5ab29a5c6e449e98d85812fd69da4b5","BATTERY. H":"100","CONDITIONS":"NONE","COST PRICE":"","DATE BOUGHT":"OCTOBER, 17, 2024","DESCRIPTION":"IPHONE 15 PRO MAX (PHYSICAL + ESIM)","DEAL LOCATION":"","INTERNAL NOTE":"","NAME OF BUYER":"STOP PLAYING FROM Muller","EXPENSE AMOUNT":"","NAME OF SELLER":"O.Z GADGET","PRODUCT STATUS":"SOLD","STATUS OF DEVICE":"UNLOCKED","CALCULATED PROFIT":"","EXPENSE DESCRIPTION":"","PHONE NUMBER OF BUYER":"08100428708","AVAILABILITY/DATE SOLD":"OCTOBER, 17, 2024","PHONE NUMBER OF SELLER":"08106293924","RECEIPT &amp; EVIDIENCE LINK":""}</t>
  </si>
  <si>
    <t>6f31a787d1c84b538703747615d2ceb6</t>
  </si>
  <si>
    <t>a4ecff8323d80e61414658f1c1285b4bcab859338e24a656f50052223c5a778a</t>
  </si>
  <si>
    <t>KHAFE GADGET</t>
  </si>
  <si>
    <t>{"S/N":"19","IMEI":"353303090689978","TIME":"","COLOUR":"LILAC","DEVICE":"SAMSUNG","STORAGE":"8/64GB","Column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DATE":"","RECORD_ID":"6f31a787d1c84b538703747615d2ceb6","BATTERY. H":"-","CONDITIONS":"NONE","COST PRICE":"","DATE BOUGHT":"OCTOBER, 17, 2024","DESCRIPTION":"SAMSUNG GALAXY S9","DEAL LOCATION":"","INTERNAL NOTE":"","NAME OF BUYER":"KHAFE GADGET","EXPENSE AMOUNT":"","NAME OF SELLER":"LOVE STORE","PRODUCT STATUS":"SOLD","STATUS OF DEVICE":"UNLOCKED","CALCULATED PROFIT":"","EXPENSE DESCRIPTION":"","PHONE NUMBER OF BUYER":"07048121888","AVAILABILITY/DATE SOLD":"OCTOBER, 25, 2024","PHONE NUMBER OF SELLER":"09169140149","RECEIPT &amp; EVIDIENCE LINK":""}</t>
  </si>
  <si>
    <t>9c6dff5ba86c460dbe3006034398ef34</t>
  </si>
  <si>
    <t>3c3066b5dd80434c5999d397454eaa35994edc12fde13227c2ff5b536709853e</t>
  </si>
  <si>
    <t>5CG9459DK7</t>
  </si>
  <si>
    <t>{"S/N":"20","IMEI":"5CG9459DK7","TIME":"","COLOUR":"SILVER","DEVICE":"IPHONE","STORAGE":"8GB + 256GB(SSD) + 7TH GEN + i5 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DATE":"","RECORD_ID":"9c6dff5ba86c460dbe3006034398ef34","BATTERY. H":"25CC","CONDITIONS":"NONE","COST PRICE":"","DATE BOUGHT":"OCTOBER 19, 2024","DESCRIPTION":"HP ELITEBOOK X360 1030 G2 // TOUCH SCREEN // 25CC","DEAL LOCATION":"","INTERNAL NOTE":"","NAME OF BUYER":"FM LORD","EXPENSE AMOUNT":"","NAME OF SELLER":"SEYI HYPO","PRODUCT STATUS":"SOLD","STATUS OF DEVICE":"-","CALCULATED PROFIT":"","EXPENSE DESCRIPTION":"","PHONE NUMBER OF BUYER":"08157806332","AVAILABILITY/DATE SOLD":"OCTOBER, 22, 2024","PHONE NUMBER OF SELLER":"08149133935","RECEIPT &amp; EVIDIENCE LINK":""}</t>
  </si>
  <si>
    <t>b66154cbd4bb4b8483e30393c1a86b25</t>
  </si>
  <si>
    <t>fa916da081c9d081332ddbb66042405f88448713c97d3628a22f306f1061a419</t>
  </si>
  <si>
    <t>{"S/N":"21","IMEI":"353629306995779","TIME":"","COLOUR":"NATURAL TITANIUM","DEVICE":"IPHONE","STORAGE":"128GB","Column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DATE":"","RECORD_ID":"b66154cbd4bb4b8483e30393c1a86b25","BATTERY. H":"76(96)","CONDITIONS":"NONE","COST PRICE":"","DATE BOUGHT":"OCTOBER, 22, 2024","DESCRIPTION":"PHYSICAL SIM IPHONE 15 PRO ","DEAL LOCATION":"","INTERNAL NOTE":"","NAME OF BUYER":"ZEE TECH","EXPENSE AMOUNT":"","NAME OF SELLER":"SEBASTINE","PRODUCT STATUS":"SOLD","STATUS OF DEVICE":"UNLOCKED","CALCULATED PROFIT":"","EXPENSE DESCRIPTION":"","PHONE NUMBER OF BUYER":"09033724061","AVAILABILITY/DATE SOLD":"OCTOBER, 25, 2024","PHONE NUMBER OF SELLER":"07032069012","RECEIPT &amp; EVIDIENCE LINK":""}</t>
  </si>
  <si>
    <t>2a06cb692cf64aed9b8c10f82c8b91ce</t>
  </si>
  <si>
    <t>d4f72ea8c338a3cbbefe70b040c8d4662ca845f9c410cbfe446756c645b9304b</t>
  </si>
  <si>
    <t>{"S/N":"22","IMEI":"353629303850753","TIME":"","COLOUR":"BLUE TITANIUM","DEVICE":"IPHONE","STORAGE":"128GB","Column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DATE":"","RECORD_ID":"2a06cb692cf64aed9b8c10f82c8b91ce","BATTERY. H":"100 (10CC)","CONDITIONS":"NONE","COST PRICE":"","DATE BOUGHT":"OCTOBER, 22, 2024","DESCRIPTION":"IPHONE 15 PRO","DEAL LOCATION":"","INTERNAL NOTE":"","NAME OF BUYER":"NURUDEEN","EXPENSE AMOUNT":"","NAME OF SELLER":"DEMIGLOBAL MULTISERVICE","PRODUCT STATUS":"SOLD","STATUS OF DEVICE":"LOCKED","CALCULATED PROFIT":"","EXPENSE DESCRIPTION":"","PHONE NUMBER OF BUYER":"07067426927","AVAILABILITY/DATE SOLD":"OCTOBER, 26, 2024","PHONE NUMBER OF SELLER":"09066720385","RECEIPT &amp; EVIDIENCE LINK":""}</t>
  </si>
  <si>
    <t>7056142f696849f4be32c48b948bcd7d</t>
  </si>
  <si>
    <t>92b795ed3080dab9373046b5930b9587bcb0238e006d89122c6f499e365fecf1</t>
  </si>
  <si>
    <t>DENIS4WARD TECHNOLOGY</t>
  </si>
  <si>
    <t>{"S/N":"23","IMEI":"350686386107454","TIME":"","COLOUR":"BLACK TITANIUM","DEVICE":"IPHONE","STORAGE":"128GB","Column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DATE":"","RECORD_ID":"7056142f696849f4be32c48b948bcd7d","BATTERY. H":"100","CONDITIONS":"NONE","COST PRICE":"","DATE BOUGHT":"OCTOBER, 22, 2025","DESCRIPTION":"IPHONE 15 PLUS","DEAL LOCATION":"","INTERNAL NOTE":"","NAME OF BUYER":"DENIS4WARD TECHNOLOGY","EXPENSE AMOUNT":"","NAME OF SELLER":"SAMUEL. TBERNIES","PRODUCT STATUS":"SOLD","STATUS OF DEVICE":"LOCKED","CALCULATED PROFIT":"","EXPENSE DESCRIPTION":"","PHONE NUMBER OF BUYER":"08038551439","AVAILABILITY/DATE SOLD":"OCTOBER, 28, 2024","PHONE NUMBER OF SELLER":"08157806332","RECEIPT &amp; EVIDIENCE LINK":""}</t>
  </si>
  <si>
    <t>7aaf1228897c43c487ea4e41805efc43</t>
  </si>
  <si>
    <t>5c50bce5970f2e70806bf077d4897dd92e9a07e89e791ca2446cd005ced3543d</t>
  </si>
  <si>
    <t>FAME GADGET</t>
  </si>
  <si>
    <t>{"S/N":"24","IMEI":"352851114282700","TIME":"","COLOUR":"GOLD","DEVICE":"IPHONE","STORAGE":"256GB","Column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DATE":"","RECORD_ID":"7aaf1228897c43c487ea4e41805efc43","BATTERY. H":"73(92)","CONDITIONS":"NONE","COST PRICE":"","DATE BOUGHT":"OCTOBER, 25, 2024","DESCRIPTION":"IPHONE 11 PRO MAX ","DEAL LOCATION":"","INTERNAL NOTE":"","NAME OF BUYER":"FAME GADGET","EXPENSE AMOUNT":"","NAME OF SELLER":"DAMILOLA ADEFUNKE","PRODUCT STATUS":"SOLD","STATUS OF DEVICE":"LOCKED (THEN UNLOCKED)","CALCULATED PROFIT":"","EXPENSE DESCRIPTION":"","PHONE NUMBER OF BUYER":"08144970435","AVAILABILITY/DATE SOLD":"OCTOBER, 28, 2024","PHONE NUMBER OF SELLER":"07036545521","RECEIPT &amp; EVIDIENCE LINK":""}</t>
  </si>
  <si>
    <t>dfcd6b7ae48742f6a29a94066198460a</t>
  </si>
  <si>
    <t>af83f2de81854b8fc3dc50c00b86796b7e78748a092843fb0fdeeb543ed38076</t>
  </si>
  <si>
    <t>OFFICIALYUNG</t>
  </si>
  <si>
    <t>{"S/N":"25","IMEI":"357275795496378","TIME":"","COLOUR":"BLUE TITANIUM","DEVICE":"IPHONE","STORAGE":"256GB","Column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DATE":"","RECORD_ID":"dfcd6b7ae48742f6a29a94066198460a","BATTERY. H":"100","CONDITIONS":"NONE","COST PRICE":"","DATE BOUGHT":"OCTOBER, 28, 2024","DESCRIPTION":"IPHONE 15 PRO MAX eSIM (104cc)","DEAL LOCATION":"","INTERNAL NOTE":"","NAME OF BUYER":"OFFICIALYUNG","EXPENSE AMOUNT":"","NAME OF SELLER":"ZEE TECH","PRODUCT STATUS":"SOLD","STATUS OF DEVICE":"LOCKED(THEN UNLOCKED)","CALCULATED PROFIT":"","EXPENSE DESCRIPTION":"","PHONE NUMBER OF BUYER":"07083395113","AVAILABILITY/DATE SOLD":"NOVEMBER, 02, 2024","PHONE NUMBER OF SELLER":"09033724061","RECEIPT &amp; EVIDIENCE LINK":""}</t>
  </si>
  <si>
    <t>86e1b0b7b94c4bacb0e7f18ae9ecb1f0</t>
  </si>
  <si>
    <t>5e92a74d98e0467666f5f1ea86b820eb4ebd11fcaf2b5c91f3a01e63936d8f91</t>
  </si>
  <si>
    <t>{"S/N":"26","IMEI":"351698478562347","TIME":"","COLOUR":"PINK","DEVICE":"IPHONE","STORAGE":"128GB","Column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DATE":"","RECORD_ID":"86e1b0b7b94c4bacb0e7f18ae9ecb1f0","BATTERY. H":"100","CONDITIONS":"NONE","COST PRICE":"","DATE BOUGHT":"OCTOBER, 30, 2024","DESCRIPTION":"IPHONE 15 ","DEAL LOCATION":"","INTERNAL NOTE":"","NAME OF BUYER":"IPRO GADGET","EXPENSE AMOUNT":"","NAME OF SELLER":"AYANFE","PRODUCT STATUS":"SOLD","STATUS OF DEVICE":"LOCKED (UNLOCKED)","CALCULATED PROFIT":"","EXPENSE DESCRIPTION":"","PHONE NUMBER OF BUYER":"08109344663","AVAILABILITY/DATE SOLD":"","PHONE NUMBER OF SELLER":"08138108648","RECEIPT &amp; EVIDIENCE LINK":""}</t>
  </si>
  <si>
    <t>d35e393cbd73432281c20c5cac08cc3f</t>
  </si>
  <si>
    <t>f7d5234b95e8c48106bfa1a551f6d0dab60e915f8edc19ebd865d657ebdee3b6</t>
  </si>
  <si>
    <t>SCOTT STORE</t>
  </si>
  <si>
    <t>{"S/N":"27","IMEI":"356028100922757","TIME":"","COLOUR":"BLUE","DEVICE":"SAMSUNG","STORAGE":"128GB","Column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DATE":"","RECORD_ID":"d35e393cbd73432281c20c5cac08cc3f","BATTERY. H":"-","CONDITIONS":"NONE","COST PRICE":"","DATE BOUGHT":"11/04/2024","DESCRIPTION":"SAMSUNG GALAXY S10","DEAL LOCATION":"","INTERNAL NOTE":"","NAME OF BUYER":"SCOTT STORE","EXPENSE AMOUNT":"","NAME OF SELLER":"AZIMUTHAL","PRODUCT STATUS":"SOLD","STATUS OF DEVICE":"UNLOCKED","CALCULATED PROFIT":"","EXPENSE DESCRIPTION":"","PHONE NUMBER OF BUYER":"09161940149","AVAILABILITY/DATE SOLD":"NOVEMBER, 05, 2024","PHONE NUMBER OF SELLER":"08135659717","RECEIPT &amp; EVIDIENCE LINK":""}</t>
  </si>
  <si>
    <t>20417ee2bbfb4429bd619245524b031e</t>
  </si>
  <si>
    <t>ed9083e8b84d4fa0db325f30f9bfce24e87944499b033165fe7f2e4a2c0d1066</t>
  </si>
  <si>
    <t>{"S/N":"28","IMEI":"357330100397389","TIME":"","COLOUR":"BLUE","DEVICE":"SAMSUNG","STORAGE":"128GB","Column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DATE":"","RECORD_ID":"20417ee2bbfb4429bd619245524b031e","BATTERY. H":"-","CONDITIONS":"NONE","COST PRICE":"","DATE BOUGHT":"11/05/2024","DESCRIPTION":"SAMSUNG GALAXY S10 PLUS","DEAL LOCATION":"","INTERNAL NOTE":"","NAME OF BUYER":"NURUDEEN","EXPENSE AMOUNT":"","NAME OF SELLER":"FM LORD","PRODUCT STATUS":"SOLD","STATUS OF DEVICE":"UNLOCKED","CALCULATED PROFIT":"","EXPENSE DESCRIPTION":"","PHONE NUMBER OF BUYER":"07067426927","AVAILABILITY/DATE SOLD":"NOVEMBER, 08, 2024","PHONE NUMBER OF SELLER":"08157806332","RECEIPT &amp; EVIDIENCE LINK":""}</t>
  </si>
  <si>
    <t>5cb1975f141841a18602fcdc4496dc9c</t>
  </si>
  <si>
    <t>fcac8d09d6c71b9198eeb9f7e77e1058851216deec6ba679cbea4a9730461b67</t>
  </si>
  <si>
    <t>{"S/N":"29","IMEI":"357343096709541","TIME":"","COLOUR":"BLUE","DEVICE":"IPHONE","STORAGE":"64GB","Column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DATE":"","RECORD_ID":"5cb1975f141841a18602fcdc4496dc9c","BATTERY. H":"83","CONDITIONS":"NONE","COST PRICE":"","DATE BOUGHT":"11/06/2024","DESCRIPTION":"IPHONE XR","DEAL LOCATION":"","INTERNAL NOTE":"","NAME OF BUYER":"PANKYGEE","EXPENSE AMOUNT":"","NAME OF SELLER":"AZIMUTHAL","PRODUCT STATUS":"SOLD","STATUS OF DEVICE":"UNLOCKED","CALCULATED PROFIT":"","EXPENSE DESCRIPTION":"","PHONE NUMBER OF BUYER":"07052247397","AVAILABILITY/DATE SOLD":"NOVEMBER, 07, 2024","PHONE NUMBER OF SELLER":"08135659717","RECEIPT &amp; EVIDIENCE LINK":""}</t>
  </si>
  <si>
    <t>a551359b10894c01b924ff9cd60ef59a</t>
  </si>
  <si>
    <t>02509d5996fdac6f1510d956efac1a22e19c1e7ce606006d19437e2d9a481193</t>
  </si>
  <si>
    <t>{"S/N":"30","IMEI":"353065102623234","TIME":"","COLOUR":"RED","DEVICE":"IPHONE","STORAGE":"64GB","Column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DATE":"","RECORD_ID":"a551359b10894c01b924ff9cd60ef59a","BATTERY. H":"80","CONDITIONS":"NONE","COST PRICE":"","DATE BOUGHT":"11/11/2024","DESCRIPTION":"IPHONE XR ","DEAL LOCATION":"","INTERNAL NOTE":"","NAME OF BUYER":"DENIS4WARD TECHNOLOGY","EXPENSE AMOUNT":"","NAME OF SELLER":"O.Z GADGET","PRODUCT STATUS":"SOLD","STATUS OF DEVICE":"UNLOCKED","CALCULATED PROFIT":"","EXPENSE DESCRIPTION":"","PHONE NUMBER OF BUYER":"08038551439","AVAILABILITY/DATE SOLD":"NOVEMBER, 12, 2024","PHONE NUMBER OF SELLER":"08106293924","RECEIPT &amp; EVIDIENCE LINK":""}</t>
  </si>
  <si>
    <t>21b9eef9d5954558a57a313df42fbaa2</t>
  </si>
  <si>
    <t>09b1d710a4976c93526ac1f781926f5c7d71c221bfd304e19efedda876eebb6f</t>
  </si>
  <si>
    <t>{"S/N":"31","IMEI":"359271101948523","TIME":"","COLOUR":"BLACK","DEVICE":"SAMSUNG","STORAGE":"6GB + 256GB","Column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DATE":"","RECORD_ID":"21b9eef9d5954558a57a313df42fbaa2","BATTERY. H":"-","CONDITIONS":"NONE","COST PRICE":"","DATE BOUGHT":"11/14/2024","DESCRIPTION":"SAMSUNG GALAXY NOTE 10+","DEAL LOCATION":"","INTERNAL NOTE":"","NAME OF BUYER":"AZIMUTHAL","EXPENSE AMOUNT":"","NAME OF SELLER":"SAMMY CONCEPT","PRODUCT STATUS":"SOLD","STATUS OF DEVICE":"UNLOCKED","CALCULATED PROFIT":"","EXPENSE DESCRIPTION":"","PHONE NUMBER OF BUYER":"08135659717","AVAILABILITY/DATE SOLD":"11/14/2024","PHONE NUMBER OF SELLER":"09037002617","RECEIPT &amp; EVIDIENCE LINK":""}</t>
  </si>
  <si>
    <t>a9035bf92cf4472a97fb6db5b3d079b6</t>
  </si>
  <si>
    <t>765dfe4238abba24154670e9e36df8c957990d2ff73ff1e3b011ccb884edacb7</t>
  </si>
  <si>
    <t>{"S/N":"32","IMEI":"353427814057830","TIME":"","COLOUR":"GOLD","DEVICE":"IPHONE","STORAGE":"128GB","Column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DATE":"","RECORD_ID":"a9035bf92cf4472a97fb6db5b3d079b6","BATTERY. H":"87%","CONDITIONS":"NONE","COST PRICE":"","DATE BOUGHT":"11/06/2024","DESCRIPTION":"IPHONE 14 PRO MAX ","DEAL LOCATION":"","INTERNAL NOTE":"","NAME OF BUYER":"DENIS4WARD TECHNOLOGY","EXPENSE AMOUNT":"","NAME OF SELLER":"OFFICIALYUNG (SWAP)","PRODUCT STATUS":"SOLD","STATUS OF DEVICE":"UNLOCKED","CALCULATED PROFIT":"","EXPENSE DESCRIPTION":"","PHONE NUMBER OF BUYER":"08038551439","AVAILABILITY/DATE SOLD":"11/15/2024","PHONE NUMBER OF SELLER":"07083395113","RECEIPT &amp; EVIDIENCE LINK":""}</t>
  </si>
  <si>
    <t>cc94009572c24989a5514db5b8d23aad</t>
  </si>
  <si>
    <t>af3f2a84be9d7c7f7366a28ec84148625acd93b5d3ff411840f4f3a443d9df86</t>
  </si>
  <si>
    <t>AYANFE DENIS</t>
  </si>
  <si>
    <t>{"S/N":"33","IMEI":"352892113711364","TIME":"","COLOUR":"BLACK","DEVICE":"IPHONE","STORAGE":"64GB","Column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DATE":"","RECORD_ID":"cc94009572c24989a5514db5b8d23aad","BATTERY. H":"85(90%)","CONDITIONS":"NONE","COST PRICE":"","DATE BOUGHT":"11/18/2024","DESCRIPTION":"IPHONE XR","DEAL LOCATION":"","INTERNAL NOTE":"","NAME OF BUYER":"AYANFE DENIS","EXPENSE AMOUNT":"","NAME OF SELLER":"DEMIGLOBAL","PRODUCT STATUS":"SOLD","STATUS OF DEVICE":"UNLOCKED","CALCULATED PROFIT":"","EXPENSE DESCRIPTION":"","PHONE NUMBER OF BUYER":"08138108648","AVAILABILITY/DATE SOLD":"11/19/2024","PHONE NUMBER OF SELLER":"09066720385","RECEIPT &amp; EVIDIENCE LINK":""}</t>
  </si>
  <si>
    <t>38cbdbcde2a84e2a9ddbc6633b374e7d</t>
  </si>
  <si>
    <t>741170661503e6579aa413158f84791ccae0c8776b71a8ec3662e4de201cda03</t>
  </si>
  <si>
    <t>SAMUEL SLATT</t>
  </si>
  <si>
    <t>{"S/N":"34","IMEI":"357447889986875","TIME":"","COLOUR":"SIERRA BLUE","DEVICE":"IPHONE","STORAGE":"128","Column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DATE":"","RECORD_ID":"38cbdbcde2a84e2a9ddbc6633b374e7d","BATTERY. H":"85%","CONDITIONS":"NONE","COST PRICE":"","DATE BOUGHT":"11/18/2024","DESCRIPTION":"IPHONE 13 PRO MAX","DEAL LOCATION":"","INTERNAL NOTE":"","NAME OF BUYER":"SAMUEL SLATT","EXPENSE AMOUNT":"","NAME OF SELLER":"CHRIS CHRONICLES","PRODUCT STATUS":"SOLD","STATUS OF DEVICE":"LOCKED","CALCULATED PROFIT":"","EXPENSE DESCRIPTION":"","PHONE NUMBER OF BUYER":"09061496515","AVAILABILITY/DATE SOLD":"11/22/2024","PHONE NUMBER OF SELLER":"08138408833","RECEIPT &amp; EVIDIENCE LINK":""}</t>
  </si>
  <si>
    <t>2c88ab1e97424d2697338ad478dae300</t>
  </si>
  <si>
    <t>8af9154b5aa080a10f4a25e89a0b3151f0c2f2fb03285c778732efee724adde6</t>
  </si>
  <si>
    <t>JOY IPHONE 13</t>
  </si>
  <si>
    <t>{"S/N":"35","IMEI":"356295374969208","TIME":"","COLOUR":"MIDNIGHT","DEVICE":"IPHONE","STORAGE":"128GB","Column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DATE":"","RECORD_ID":"2c88ab1e97424d2697338ad478dae300","BATTERY. H":"87%","CONDITIONS":"SWAP WITH 13 PRO ","COST PRICE":"","DATE BOUGHT":"11/19/2024","DESCRIPTION":"IPHONE 14 PLUS ","DEAL LOCATION":"","INTERNAL NOTE":"","NAME OF BUYER":"JOY IPHONE 13","EXPENSE AMOUNT":"","NAME OF SELLER":"HAYKINZ  TECH","PRODUCT STATUS":"SOLD","STATUS OF DEVICE":"LOCKED","CALCULATED PROFIT":"","EXPENSE DESCRIPTION":"","PHONE NUMBER OF BUYER":"08100725239","AVAILABILITY/DATE SOLD":"","PHONE NUMBER OF SELLER":"07030279101","RECEIPT &amp; EVIDIENCE LINK":""}</t>
  </si>
  <si>
    <t>99f89449c0164d1bb23db7684ac2ec06</t>
  </si>
  <si>
    <t>f152b74426854012050036e481dc3e213443821a0f1d209be5ba96a1a2aa8aa3</t>
  </si>
  <si>
    <t>{"S/N":"36","IMEI":"351280859196050","TIME":"","COLOUR":"PINK","DEVICE":"IPHONE","STORAGE":"128GB","Column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DATE":"","RECORD_ID":"99f89449c0164d1bb23db7684ac2ec06","BATTERY. H":"100%","CONDITIONS":"SWAP WITH 16 AT&amp;T","COST PRICE":"","DATE BOUGHT":"11/19/2024","DESCRIPTION":"IPHONE 16","DEAL LOCATION":"","INTERNAL NOTE":"","NAME OF BUYER":"IYANUOLUWA DEMIGLOBAL","EXPENSE AMOUNT":"","NAME OF SELLER":"HAYKINZ  TECH","PRODUCT STATUS":"SOLD","STATUS OF DEVICE":"LOCKED","CALCULATED PROFIT":"","EXPENSE DESCRIPTION":"","PHONE NUMBER OF BUYER":"08088480573","AVAILABILITY/DATE SOLD":"11/19/2024","PHONE NUMBER OF SELLER":"07030279101","RECEIPT &amp; EVIDIENCE LINK":""}</t>
  </si>
  <si>
    <t>7bf4bf9e79024ec3899d0b114d65c4a6</t>
  </si>
  <si>
    <t>3c542e42f8c69bc184b89694fe937a592ccd221e9b471f156378f693a3c1a5d8</t>
  </si>
  <si>
    <t>AREMO GADGET</t>
  </si>
  <si>
    <t>{"S/N":"37","IMEI":"351280856222529","TIME":"","COLOUR":"BLACK","DEVICE":"IPHONE","STORAGE":"128GB","Column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DATE":"","RECORD_ID":"7bf4bf9e79024ec3899d0b114d65c4a6","BATTERY. H":"100%","CONDITIONS":"NONE","COST PRICE":"","DATE BOUGHT":"11/19/2024","DESCRIPTION":"IPHONE 16 ","DEAL LOCATION":"","INTERNAL NOTE":"","NAME OF BUYER":"AREMO GADGET","EXPENSE AMOUNT":"","NAME OF SELLER":"IYANUOLUWA (WHYTE)","PRODUCT STATUS":"SOLD","STATUS OF DEVICE":"LOCKED","CALCULATED PROFIT":"","EXPENSE DESCRIPTION":"","PHONE NUMBER OF BUYER":"09037888923","AVAILABILITY/DATE SOLD":"12/2/2024","PHONE NUMBER OF SELLER":"08088480573","RECEIPT &amp; EVIDIENCE LINK":""}</t>
  </si>
  <si>
    <t>8f8749d662d849df938816469e78c6d4</t>
  </si>
  <si>
    <t>893175e82e1208bee0e11abdc5c39be367afa9dea5148396bb1b808f771f6a8b</t>
  </si>
  <si>
    <t>{"S/N":"38","IMEI":"354136651263562","TIME":"","COLOUR":"WHITE","DEVICE":"IPHONE","STORAGE":"256GB","Column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DATE":"","RECORD_ID":"8f8749d662d849df938816469e78c6d4","BATTERY. H":"100%","CONDITIONS":"SWAP WITH 15 PRO","COST PRICE":"","DATE BOUGHT":"11/20/2024","DESCRIPTION":"IPHONE 16 PRO","DEAL LOCATION":"","INTERNAL NOTE":"","NAME OF BUYER":"STARBOX","EXPENSE AMOUNT":"","NAME OF SELLER":"YUSUF","PRODUCT STATUS":"SOLD","STATUS OF DEVICE":"LOCKED","CALCULATED PROFIT":"","EXPENSE DESCRIPTION":"","PHONE NUMBER OF BUYER":"09063620334","AVAILABILITY/DATE SOLD":"3/5/2026","PHONE NUMBER OF SELLER":"09076229406","RECEIPT &amp; EVIDIENCE LINK":""}</t>
  </si>
  <si>
    <t>fa5bd1f181234283a486c7cda8478153</t>
  </si>
  <si>
    <t>844f843382e6934e663610bbf6697e9a106a94ae32ad48657eed70d125502268</t>
  </si>
  <si>
    <t>{"S/N":"39","IMEI":"352657197746218","TIME":"","COLOUR":"GOLD (DESERT)","DEVICE":"IPHONE","STORAGE":"128GB","Column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DATE":"","RECORD_ID":"fa5bd1f181234283a486c7cda8478153","BATTERY. H":"100%","CONDITIONS":"","COST PRICE":"","DATE BOUGHT":"11/20/2024","DESCRIPTION":"IPHONE 16 PRO","DEAL LOCATION":"","INTERNAL NOTE":"","NAME OF BUYER":"AYANFE DENIS","EXPENSE AMOUNT":"","NAME OF SELLER":"YUSUF","PRODUCT STATUS":"SOLD","STATUS OF DEVICE":"LOCKED","CALCULATED PROFIT":"","EXPENSE DESCRIPTION":"","PHONE NUMBER OF BUYER":"08138108648","AVAILABILITY/DATE SOLD":"11/22/2024","PHONE NUMBER OF SELLER":"09076229406","RECEIPT &amp; EVIDIENCE LINK":""}</t>
  </si>
  <si>
    <t>76ff941391e046ab8ab636a75a0a371b</t>
  </si>
  <si>
    <t>00c412cc166dbc649c19512d76fbcedcf11d767eb4623293fd43eccbaf538b7d</t>
  </si>
  <si>
    <t>ALEX GADGET</t>
  </si>
  <si>
    <t>{"S/N":"40","IMEI":"","TIME":"","COLOUR":"BLUE","DEVICE":"IPHONE","STORAGE":"128GB","Column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DATE":"","RECORD_ID":"76ff941391e046ab8ab636a75a0a371b","BATTERY. H":"76%(89%)","CONDITIONS":"NONE","COST PRICE":"","DATE BOUGHT":"11/15/2024","DESCRIPTION":"IPHONE 13","DEAL LOCATION":"","INTERNAL NOTE":"","NAME OF BUYER":"ALEX GADGET","EXPENSE AMOUNT":"","NAME OF SELLER":"TOLULOPE ADIO MEE","PRODUCT STATUS":"SOLD","STATUS OF DEVICE":"UNLOCKED","CALCULATED PROFIT":"","EXPENSE DESCRIPTION":"","PHONE NUMBER OF BUYER":"07025451690","AVAILABILITY/DATE SOLD":"11/20/2024","PHONE NUMBER OF SELLER":"09015069889","RECEIPT &amp; EVIDIENCE LINK":""}</t>
  </si>
  <si>
    <t>cb9e758ea6dc4f17b3c58cd00d94582f</t>
  </si>
  <si>
    <t>3aefa4f2bdb9d0dd1b9467e91d1bc038d1d23b62176871340a279eca33ec7eff</t>
  </si>
  <si>
    <t>{"S/N":"41","IMEI":"353357351413577","TIME":"","COLOUR":"DESERT (GOLD)","DEVICE":"IPHONE","STORAGE":"128GB","Column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DATE":"","RECORD_ID":"cb9e758ea6dc4f17b3c58cd00d94582f","BATTERY. H":"100%","CONDITIONS":"NONE","COST PRICE":"","DATE BOUGHT":"11/15/2024","DESCRIPTION":"IPHONE 16 PRO BRAND NEW","DEAL LOCATION":"","INTERNAL NOTE":"","NAME OF BUYER":"PHLEMZY","EXPENSE AMOUNT":"","NAME OF SELLER":"MD GADGETS","PRODUCT STATUS":"SOLD","STATUS OF DEVICE":"LOCKED","CALCULATED PROFIT":"","EXPENSE DESCRIPTION":"","PHONE NUMBER OF BUYER":"09065642565","AVAILABILITY/DATE SOLD":"11/15/2024","PHONE NUMBER OF SELLER":"08166860603","RECEIPT &amp; EVIDIENCE LINK":""}</t>
  </si>
  <si>
    <t>a995a8af989d476cb74ae74e0f8d9b94</t>
  </si>
  <si>
    <t>2581d8adf630106dc8b5a21d23b6444a4378a07cd413ef0ecf7f01e7f0959881</t>
  </si>
  <si>
    <t>{"S/N":"42","IMEI":"356314952615065","TIME":"","COLOUR":"ALPINE GREEN","DEVICE":"IPHONE","STORAGE":"256GB","Column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DATE":"","RECORD_ID":"a995a8af989d476cb74ae74e0f8d9b94","BATTERY. H":"94%","CONDITIONS":"NONE","COST PRICE":"","DATE BOUGHT":"11/19/2024","DESCRIPTION":"IPHONE 13 PRO","DEAL LOCATION":"","INTERNAL NOTE":"","NAME OF BUYER":"AYANFE DENIS","EXPENSE AMOUNT":"","NAME OF SELLER":"JOY(JUMAT)","PRODUCT STATUS":"SOLD","STATUS OF DEVICE":"UNLOCKED","CALCULATED PROFIT":"","EXPENSE DESCRIPTION":"","PHONE NUMBER OF BUYER":"08138108648","AVAILABILITY/DATE SOLD":"11/27/2024","PHONE NUMBER OF SELLER":"08100725239","RECEIPT &amp; EVIDIENCE LINK":""}</t>
  </si>
  <si>
    <t>734c0b3fa85a4fb0b2389c19d1f20d5f</t>
  </si>
  <si>
    <t>236c414d46e92249a238d834bd6dc0aa83480f875d26394c67099d9b02e71e82</t>
  </si>
  <si>
    <t>MHIDEY FROM BECKZ</t>
  </si>
  <si>
    <t>{"S/N":"43","IMEI":"353237107467616","TIME":"","COLOUR":"SPACE GREY","DEVICE":"IPHONE","STORAGE":"64GB","Column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DATE":"","RECORD_ID":"734c0b3fa85a4fb0b2389c19d1f20d5f","BATTERY. H":"71%(92%)","CONDITIONS":"","COST PRICE":"","DATE BOUGHT":"11/19/2024","DESCRIPTION":"IPHONE 11 PRO","DEAL LOCATION":"","INTERNAL NOTE":"","NAME OF BUYER":"MHIDEY FROM BECKZ","EXPENSE AMOUNT":"","NAME OF SELLER":"IYANUOLUWA (WHYTE)","PRODUCT STATUS":"SOLD","STATUS OF DEVICE":"LOCKED","CALCULATED PROFIT":"","EXPENSE DESCRIPTION":"","PHONE NUMBER OF BUYER":"008032783523","AVAILABILITY/DATE SOLD":"","PHONE NUMBER OF SELLER":"08088480573","RECEIPT &amp; EVIDIENCE LINK":""}</t>
  </si>
  <si>
    <t>96f7dd02c3aa4061b05d6c0fd7cec541</t>
  </si>
  <si>
    <t>d3e36fb6fd7fede8222c34f943cbabb028bbe559da64f4f5f02c4f3e9d18db13</t>
  </si>
  <si>
    <t>BEAUTYHAVEN FROM SEUN</t>
  </si>
  <si>
    <t>{"S/N":"44","IMEI":"355591192643863","TIME":"","COLOUR":"GOLD","DEVICE":"IPHONE","STORAGE":"512GB","Column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DATE":"","RECORD_ID":"96f7dd02c3aa4061b05d6c0fd7cec541","BATTERY. H":"80%","CONDITIONS":"SWAPPED WITH 11 PRO MAX","COST PRICE":"","DATE BOUGHT":"11/20/2024","DESCRIPTION":"IPHONE 12 PRO MAX","DEAL LOCATION":"","INTERNAL NOTE":"","NAME OF BUYER":"BEAUTYHAVEN FROM SEUN","EXPENSE AMOUNT":"","NAME OF SELLER":"DENIS4WARD TECHNOLOGY ","PRODUCT STATUS":"SOLD","STATUS OF DEVICE":"UNLOCKED","CALCULATED PROFIT":"","EXPENSE DESCRIPTION":"","PHONE NUMBER OF BUYER":"07046502373","AVAILABILITY/DATE SOLD":"11/20/2024","PHONE NUMBER OF SELLER":"08038551439","RECEIPT &amp; EVIDIENCE LINK":""}</t>
  </si>
  <si>
    <t>e378b29fdbba4af8bc44e603c7285a8b</t>
  </si>
  <si>
    <t>dc8c0244d7a7df037cd542d360dcde549f3418c8e1ce42a1af024251c5f705bb</t>
  </si>
  <si>
    <t>CH4 STORE</t>
  </si>
  <si>
    <t>{"S/N":"45","IMEI":"35391505816351","TIME":"","COLOUR":"GOLD","DEVICE":"IPHONE","STORAGE":"256GB","Column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DATE":"","RECORD_ID":"e378b29fdbba4af8bc44e603c7285a8b","BATTERY. H":"76%(89%)","CONDITIONS":"$485,000.00","COST PRICE":"","DATE BOUGHT":"11/20/2024","DESCRIPTION":"IPHONE 11 PRO MAX ","DEAL LOCATION":"","INTERNAL NOTE":"","NAME OF BUYER":"CH4 STORE","EXPENSE AMOUNT":"","NAME OF SELLER":"BEAUTYHAVEN. NG","PRODUCT STATUS":"SOLD","STATUS OF DEVICE":"UNLOCKED","CALCULATED PROFIT":"","EXPENSE DESCRIPTION":"","PHONE NUMBER OF BUYER":"08131941406","AVAILABILITY/DATE SOLD":"11/30/2024","PHONE NUMBER OF SELLER":"07046502373","RECEIPT &amp; EVIDIENCE LINK":""}</t>
  </si>
  <si>
    <t>79016fcb141349ff85e5b2207c157f4c</t>
  </si>
  <si>
    <t>a853776fbd2ff7b2cafc327f3f9ab6259bdd9866beeff315d8a5213cf0de58e8</t>
  </si>
  <si>
    <t>{"S/N":"46","IMEI":"357938432786689","TIME":"","COLOUR":"PURPLE","DEVICE":"IPHONE","STORAGE":"128GB","Column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DATE":"","RECORD_ID":"79016fcb141349ff85e5b2207c157f4c","BATTERY. H":"92%","CONDITIONS":"$700,000.00","COST PRICE":"","DATE BOUGHT":"11/19/2024","DESCRIPTION":"IPHONE 14 PRO MAX ","DEAL LOCATION":"","INTERNAL NOTE":"","NAME OF BUYER":"IYANUOLUWA DEMIGLOBAL","EXPENSE AMOUNT":"","NAME OF SELLER":"SEYIFUNMI","PRODUCT STATUS":"SOLD","STATUS OF DEVICE":"LOCKED","CALCULATED PROFIT":"","EXPENSE DESCRIPTION":"","PHONE NUMBER OF BUYER":"08088480573","AVAILABILITY/DATE SOLD":"11/30/2024","PHONE NUMBER OF SELLER":"07036446358","RECEIPT &amp; EVIDIENCE LINK":""}</t>
  </si>
  <si>
    <t>59b5ffb464f54257acfe265dc3afcc3f</t>
  </si>
  <si>
    <t>a7fea1e833807ba875c089b57d3b610345bdedc97d1c3a3fcea90c98252cabc3</t>
  </si>
  <si>
    <t>ENNY'S GADGET</t>
  </si>
  <si>
    <t>{"S/N":"47","IMEI":"353223141615691","TIME":"","COLOUR":"PURPLE","DEVICE":"IPHONE","STORAGE":"256GB","Column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DATE":"","RECORD_ID":"59b5ffb464f54257acfe265dc3afcc3f","BATTERY. H":"93%","CONDITIONS":"$1,150,000.00","COST PRICE":"","DATE BOUGHT":"11/20/2024","DESCRIPTION":"IPHONE 14 PRO MAX ","DEAL LOCATION":"","INTERNAL NOTE":"","NAME OF BUYER":"ENNY'S GADGET","EXPENSE AMOUNT":"","NAME OF SELLER":"MOBILETRENDS LTD","PRODUCT STATUS":"SOLD","STATUS OF DEVICE":"LOCKED(THEN UNLOCKED)","CALCULATED PROFIT":"","EXPENSE DESCRIPTION":"","PHONE NUMBER OF BUYER":"09023824556","AVAILABILITY/DATE SOLD":"11/21/2024","PHONE NUMBER OF SELLER":"08034378180","RECEIPT &amp; EVIDIENCE LINK":""}</t>
  </si>
  <si>
    <t>80a08bfb1ad8410586745ad44282b5f4</t>
  </si>
  <si>
    <t>d20cd91da9c57b5ec100d7fc1806a5e70e7a656cc42a14a35fe6815612fccb80</t>
  </si>
  <si>
    <t>SWEET BOY</t>
  </si>
  <si>
    <t>{"S/N":"48","IMEI":"357084343408616","TIME":"","COLOUR":"RED","DEVICE":"IPHONE","STORAGE":"128GB","Column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DATE":"","RECORD_ID":"80a08bfb1ad8410586745ad44282b5f4","BATTERY. H":"86%","CONDITIONS":"$465,000.00","COST PRICE":"","DATE BOUGHT":"11/22/2024","DESCRIPTION":"IPHONE 13","DEAL LOCATION":"","INTERNAL NOTE":"","NAME OF BUYER":"SWEET BOY","EXPENSE AMOUNT":"","NAME OF SELLER":"SAMUEL SLAWT","PRODUCT STATUS":"SOLD","STATUS OF DEVICE":"LOCKED","CALCULATED PROFIT":"","EXPENSE DESCRIPTION":"","PHONE NUMBER OF BUYER":"09039519037","AVAILABILITY/DATE SOLD":"11/23/2024","PHONE NUMBER OF SELLER":"09061496515","RECEIPT &amp; EVIDIENCE LINK":""}</t>
  </si>
  <si>
    <t>35697e891b3544928d20cb9fe98c0b6c</t>
  </si>
  <si>
    <t>a6d170c522bf63feec88238bc070bfd66156a7865321487b204f8544f77491a7</t>
  </si>
  <si>
    <t>IMOLE DC</t>
  </si>
  <si>
    <t>{"S/N":"49","IMEI":"353360940914956","TIME":"","COLOUR":"PURPLE","DEVICE":"IPHONE","STORAGE":"256GB","Column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DATE":"","RECORD_ID":"35697e891b3544928d20cb9fe98c0b6c","BATTERY. H":"85%","CONDITIONS":"$770,000.00","COST PRICE":"","DATE BOUGHT":"11/27/2024","DESCRIPTION":"IPHONE 14 PRO MAX ","DEAL LOCATION":"","INTERNAL NOTE":"","NAME OF BUYER":"IMOLE DC","EXPENSE AMOUNT":"","NAME OF SELLER":"DEMIGLOBAL MULTISERVICE","PRODUCT STATUS":"SOLD","STATUS OF DEVICE":"LOCKED","CALCULATED PROFIT":"","EXPENSE DESCRIPTION":"","PHONE NUMBER OF BUYER":"08101680421","AVAILABILITY/DATE SOLD":"02/10/2025","PHONE NUMBER OF SELLER":"09066720385","RECEIPT &amp; EVIDIENCE LINK":""}</t>
  </si>
  <si>
    <t>7b1194df76484e409180355fa319bf8d</t>
  </si>
  <si>
    <t>8fd2635d8d03b6f3953de5622a2418df60c1d18e25664cdc6b23780e3bbc14db</t>
  </si>
  <si>
    <t>{"S/N":"50","IMEI":"350636593325274","TIME":"","COLOUR":"PURPLE","DEVICE":"IPHONE","STORAGE":"256GB","Column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DATE":"","RECORD_ID":"7b1194df76484e409180355fa319bf8d","BATTERY. H":"89%","CONDITIONS":"$1,150,000.00","COST PRICE":"","DATE BOUGHT":"11/26/2024","DESCRIPTION":"IPHONE 14 PRO MAX ","DEAL LOCATION":"","INTERNAL NOTE":"","NAME OF BUYER":"DEMIGLOBAL MULTISERVICE","EXPENSE AMOUNT":"","NAME OF SELLER":"SEYIFUNMI","PRODUCT STATUS":"SOLD","STATUS OF DEVICE":"UNLOCKED","CALCULATED PROFIT":"","EXPENSE DESCRIPTION":"","PHONE NUMBER OF BUYER":"09066720385","AVAILABILITY/DATE SOLD":"11/26/2024","PHONE NUMBER OF SELLER":"07065500068","RECEIPT &amp; EVIDIENCE LINK":""}</t>
  </si>
  <si>
    <t>d19ba25a660d416c92f7f1920def282f</t>
  </si>
  <si>
    <t>ba2026c101ad2ef999a8c316c8d548961b190029f6b0e1e126789b82837d6953</t>
  </si>
  <si>
    <t>KINGZGADGET</t>
  </si>
  <si>
    <t>{"S/N":"51","IMEI":"353429712968993","TIME":"","COLOUR":"PURPLE","DEVICE":"IPHONE","STORAGE":"256GB","Column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DATE":"","RECORD_ID":"d19ba25a660d416c92f7f1920def282f","BATTERY. H":"93%","CONDITIONS":"$975,000.00","COST PRICE":"","DATE BOUGHT":"11/27/2024","DESCRIPTION":"IPHONE 14 PRO","DEAL LOCATION":"","INTERNAL NOTE":"","NAME OF BUYER":"KINGZGADGET","EXPENSE AMOUNT":"","NAME OF SELLER":"HAYKINZ TECH","PRODUCT STATUS":"SOLD","STATUS OF DEVICE":"LOCKED","CALCULATED PROFIT":"","EXPENSE DESCRIPTION":"","PHONE NUMBER OF BUYER":"07076133809","AVAILABILITY/DATE SOLD":"12/27/2024","PHONE NUMBER OF SELLER":"07030279101","RECEIPT &amp; EVIDIENCE LINK":""}</t>
  </si>
  <si>
    <t>a277dd9ca5c047a68b6f328899ce1b3d</t>
  </si>
  <si>
    <t>1a87d6b09183931cb70624f5d6ed28805e3721ae34e1689650cc0539c9d0974e</t>
  </si>
  <si>
    <t>ADESINA SEIDU</t>
  </si>
  <si>
    <t>{"S/N":"52","IMEI":"350496301218398","TIME":"","COLOUR":"WHITE","DEVICE":"IPHONE","STORAGE":"256GB","Column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DATE":"","RECORD_ID":"a277dd9ca5c047a68b6f328899ce1b3d","BATTERY. H":"90%","CONDITIONS":"$1,400,000.00","COST PRICE":"","DATE BOUGHT":"11/27/2024","DESCRIPTION":"IPHONE 15 PRO MAX ","DEAL LOCATION":"","INTERNAL NOTE":"","NAME OF BUYER":"ADESINA SEIDU","EXPENSE AMOUNT":"","NAME OF SELLER":"HAYKINZ TECH","PRODUCT STATUS":"SOLD","STATUS OF DEVICE":"LOCKED(THEN UNLOCKED)","CALCULATED PROFIT":"","EXPENSE DESCRIPTION":"","PHONE NUMBER OF BUYER":"08106081752","AVAILABILITY/DATE SOLD":"11/30/2024","PHONE NUMBER OF SELLER":"07030279101","RECEIPT &amp; EVIDIENCE LINK":""}</t>
  </si>
  <si>
    <t>deabebd7900547ed9b3a8f2f40f18483</t>
  </si>
  <si>
    <t>760129d7aa4d74b024bc7bb0ee3f11eef93c3f27a07d8d8a9314fa203ff8832b</t>
  </si>
  <si>
    <t>COWBELL</t>
  </si>
  <si>
    <t>{"S/N":"53","IMEI":"356684166696477","TIME":"","COLOUR":"PURPLE","DEVICE":"IPHONE","STORAGE":"128GB","Column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DATE":"","RECORD_ID":"deabebd7900547ed9b3a8f2f40f18483","BATTERY. H":"84%","CONDITIONS":"","COST PRICE":"","DATE BOUGHT":"11/27/2024","DESCRIPTION":"IPHONE 14 PRO MAX ","DEAL LOCATION":"","INTERNAL NOTE":"","NAME OF BUYER":"COWBELL","EXPENSE AMOUNT":"","NAME OF SELLER":"HAYKINZ TECH","PRODUCT STATUS":"SOLD","STATUS OF DEVICE":"LOCKED(THEN UNLOCKED)","CALCULATED PROFIT":"","EXPENSE DESCRIPTION":"","PHONE NUMBER OF BUYER":"08027964718","AVAILABILITY/DATE SOLD":"","PHONE NUMBER OF SELLER":"07030279101","RECEIPT &amp; EVIDIENCE LINK":""}</t>
  </si>
  <si>
    <t>c75ae706546344d598988a357baf0f0c</t>
  </si>
  <si>
    <t>1154528a86d13b5ff855ed6309a750941ab51cdfc071307ef9cb3c8993a820ac</t>
  </si>
  <si>
    <t>{"S/N":"54","IMEI":"352396473006100","TIME":"","COLOUR":"MIDNIGHT","DEVICE":"IPHONE","STORAGE":"128GB","Column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DATE":"","RECORD_ID":"c75ae706546344d598988a357baf0f0c","BATTERY. H":"80(92%)","CONDITIONS":"$600,000.00","COST PRICE":"","DATE BOUGHT":"11/29/2024","DESCRIPTION":"IPHONE 13","DEAL LOCATION":"","INTERNAL NOTE":"","NAME OF BUYER":"KINGZGADGET","EXPENSE AMOUNT":"","NAME OF SELLER":"SUNKYSTILES AUTOs","PRODUCT STATUS":"SOLD","STATUS OF DEVICE":"UNLOCKED","CALCULATED PROFIT":"","EXPENSE DESCRIPTION":"","PHONE NUMBER OF BUYER":"07076133809","AVAILABILITY/DATE SOLD":"","PHONE NUMBER OF SELLER":"07088410985","RECEIPT &amp; EVIDIENCE LINK":""}</t>
  </si>
  <si>
    <t>0a0426fb1ae4477290e960cbbe4ad5f6</t>
  </si>
  <si>
    <t>8b3b1f81ecb31528fb2bb440fa047579c66e9d354191f28550f08ef222402367</t>
  </si>
  <si>
    <t>PHINIXE GADGET</t>
  </si>
  <si>
    <t>{"S/N":"55","IMEI":"358996911474366","TIME":"","COLOUR":"GOLD","DEVICE":"IPHONE","STORAGE":"128GB","Column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DATE":"","RECORD_ID":"0a0426fb1ae4477290e960cbbe4ad5f6","BATTERY. H":"84%","CONDITIONS":"$685,000.00","COST PRICE":"","DATE BOUGHT":"11/30/2024","DESCRIPTION":"IPHONE 14 PRO","DEAL LOCATION":"","INTERNAL NOTE":"","NAME OF BUYER":"PHINIXE GADGET","EXPENSE AMOUNT":"","NAME OF SELLER":"IYANUOLUWA (WHYTE)","PRODUCT STATUS":"SOLD","STATUS OF DEVICE":"LOCKED","CALCULATED PROFIT":"","EXPENSE DESCRIPTION":"","PHONE NUMBER OF BUYER":"09138380700","AVAILABILITY/DATE SOLD":"12/5/2024","PHONE NUMBER OF SELLER":"08088480573","RECEIPT &amp; EVIDIENCE LINK":""}</t>
  </si>
  <si>
    <t>3888ebf01a9e4a20a6276d18b671522f</t>
  </si>
  <si>
    <t>628e4c7a1d748b025e5a2f814564e5c3f45dff083ca5e76b8a6096015645e96a</t>
  </si>
  <si>
    <t>{"S/N":"56","IMEI":"353547798072248","TIME":"","COLOUR":"BLUE","DEVICE":"IPHONE","STORAGE":"128GB","Column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DATE":"","RECORD_ID":"3888ebf01a9e4a20a6276d18b671522f","BATTERY. H":"87%","CONDITIONS":"$630,000.00","COST PRICE":"","DATE BOUGHT":"11/30/2024","DESCRIPTION":"IPHONE 14 PLUS ","DEAL LOCATION":"","INTERNAL NOTE":"","NAME OF BUYER":"DAH UNIQUE","EXPENSE AMOUNT":"","NAME OF SELLER":"OLUWAGESHI GADGET","PRODUCT STATUS":"SOLD","STATUS OF DEVICE":"UNLOCKED","CALCULATED PROFIT":"","EXPENSE DESCRIPTION":"","PHONE NUMBER OF BUYER":"09070536253","AVAILABILITY/DATE SOLD":"12/5/2024","PHONE NUMBER OF SELLER":"09050868602","RECEIPT &amp; EVIDIENCE LINK":""}</t>
  </si>
  <si>
    <t>3ed4038cd56e45e3b4d18d768c4ada3c</t>
  </si>
  <si>
    <t>13fd20d2f114ad0648b65a6ade72ca09d3dcc969279dae2443342f588c38fc5e</t>
  </si>
  <si>
    <t>{"S/N":"57","IMEI":"352400474539877","TIME":"","COLOUR":"BLACK TITANIUM","DEVICE":"IPHONE","STORAGE":"256GB","Column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DATE":"","RECORD_ID":"3ed4038cd56e45e3b4d18d768c4ada3c","BATTERY. H":"87%","CONDITIONS":"$1,280,000.00","COST PRICE":"","DATE BOUGHT":"12/3/2024","DESCRIPTION":"IPHONE 15 PRO","DEAL LOCATION":"","INTERNAL NOTE":"","NAME OF BUYER":"WIDAD","EXPENSE AMOUNT":"","NAME OF SELLER":"STAR BOX","PRODUCT STATUS":"SOLD","STATUS OF DEVICE":"LOCKED(THEN UNLOCKED)","CALCULATED PROFIT":"","EXPENSE DESCRIPTION":"","PHONE NUMBER OF BUYER":"07062514545","AVAILABILITY/DATE SOLD":"12/21/2024","PHONE NUMBER OF SELLER":"09063620334","RECEIPT &amp; EVIDIENCE LINK":""}</t>
  </si>
  <si>
    <t>cf61336f16b644d09c596ac0d8175a8a</t>
  </si>
  <si>
    <t>4a19f979ffe37f0f06daa38827da22f64f73ccde84bc94830fe89b5f264e4f93</t>
  </si>
  <si>
    <t>BLESSING ABILEKO</t>
  </si>
  <si>
    <t>{"S/N":"58","IMEI":"","TIME":"","COLOUR":"BLACK","DEVICE":"SAMSUNG","STORAGE":"128GB","Column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DATE":"","RECORD_ID":"cf61336f16b644d09c596ac0d8175a8a","BATTERY. H":"-","CONDITIONS":"$175,000.00","COST PRICE":"","DATE BOUGHT":"12/6/2024","DESCRIPTION":"SAMSUNG S8","DEAL LOCATION":"","INTERNAL NOTE":"","NAME OF BUYER":"BLESSING ABILEKO","EXPENSE AMOUNT":"","NAME OF SELLER":"DENIS4WARD TECHNOLOGY ","PRODUCT STATUS":"SOLD","STATUS OF DEVICE":"UNLOCKED","CALCULATED PROFIT":"","EXPENSE DESCRIPTION":"","PHONE NUMBER OF BUYER":"07010950790","AVAILABILITY/DATE SOLD":"12/6/2024","PHONE NUMBER OF SELLER":"08038551439","RECEIPT &amp; EVIDIENCE LINK":""}</t>
  </si>
  <si>
    <t>605ea4f748854598b5e4fbebbe649af4</t>
  </si>
  <si>
    <t>7e7f9f01bafbdb967b59c26616770787b26a26cf32ffc3e6068953035b9418a3</t>
  </si>
  <si>
    <t>{"S/N":"59","IMEI":"","TIME":"","COLOUR":"GREY","DEVICE":"SAMSUNG","STORAGE":"128GB","Column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DATE":"","RECORD_ID":"605ea4f748854598b5e4fbebbe649af4","BATTERY. H":"-","CONDITIONS":"$175,000.00","COST PRICE":"","DATE BOUGHT":"12/6/2024","DESCRIPTION":"SAMSUNG S8","DEAL LOCATION":"","INTERNAL NOTE":"","NAME OF BUYER":"BLESSING ABILEKO","EXPENSE AMOUNT":"","NAME OF SELLER":"DENIS4WARD TECHNOLOGY ","PRODUCT STATUS":"SOLD","STATUS OF DEVICE":"UNLOCKED","CALCULATED PROFIT":"","EXPENSE DESCRIPTION":"","PHONE NUMBER OF BUYER":"07010950790","AVAILABILITY/DATE SOLD":"12/6/2024","PHONE NUMBER OF SELLER":"08038551439","RECEIPT &amp; EVIDIENCE LINK":""}</t>
  </si>
  <si>
    <t>064bf17c94d043338d4463e5c1ac8072</t>
  </si>
  <si>
    <t>7c5c781080905ea13114e87584ee860e6b64bdafbf165fc4cb812d0bfb1be75b</t>
  </si>
  <si>
    <t>OKIKI GADGET (KAYWISE)</t>
  </si>
  <si>
    <t>{"S/N":"60","IMEI":"352847943200814","TIME":"","COLOUR":"WHITE","DEVICE":"IPHONE","STORAGE":"256GB","Column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DATE":"","RECORD_ID":"064bf17c94d043338d4463e5c1ac8072","BATTERY. H":"87%","CONDITIONS":"$1,390,000.00","COST PRICE":"","DATE BOUGHT":"12/5/2024","DESCRIPTION":"IPHONE 15 PRO MAX","DEAL LOCATION":"","INTERNAL NOTE":"","NAME OF BUYER":"OKIKI GADGET (KAYWISE)","EXPENSE AMOUNT":"","NAME OF SELLER":"HAYKINZ TECH","PRODUCT STATUS":"SOLD","STATUS OF DEVICE":"LOCKED(THEN UNLOCKED)","CALCULATED PROFIT":"","EXPENSE DESCRIPTION":"","PHONE NUMBER OF BUYER":"08105344911","AVAILABILITY/DATE SOLD":"04/01/2024","PHONE NUMBER OF SELLER":"07030279101","RECEIPT &amp; EVIDIENCE LINK":""}</t>
  </si>
  <si>
    <t>f9739895a7bc42cd8585f2c74591c976</t>
  </si>
  <si>
    <t>32a96aaa31adb12b108247b4021ea55967662cfff4d96ed79a5a4af722c6fa39</t>
  </si>
  <si>
    <t>{"S/N":"61","IMEI":"359428791784739","TIME":"","COLOUR":"BLUE TITANIUM","DEVICE":"IPHONE","STORAGE":"256GB","Column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DATE":"","RECORD_ID":"f9739895a7bc42cd8585f2c74591c976","BATTERY. H":"89","CONDITIONS":"","COST PRICE":"","DATE BOUGHT":"12/5/2024","DESCRIPTION":"IPHONE 15 PRO MAX","DEAL LOCATION":"","INTERNAL NOTE":"","NAME OF BUYER":"THANKGOD CONCEPT","EXPENSE AMOUNT":"","NAME OF SELLER":"NURUDEEN","PRODUCT STATUS":"SOLD","STATUS OF DEVICE":"LOCKED(THEN UNLOCKED)","CALCULATED PROFIT":"","EXPENSE DESCRIPTION":"","PHONE NUMBER OF BUYER":"09060695934","AVAILABILITY/DATE SOLD":"5/1/2025","PHONE NUMBER OF SELLER":"07067426927","RECEIPT &amp; EVIDIENCE LINK":""}</t>
  </si>
  <si>
    <t>de7b345cb9eb43eb9648a6ea3328a7b9</t>
  </si>
  <si>
    <t>31610b35420f4b83260d7fd859ec750fdfa36094b1fc755c312d4d2f5efd0f49</t>
  </si>
  <si>
    <t>GF6WF4RXRQ</t>
  </si>
  <si>
    <t>FISTECH GADGET</t>
  </si>
  <si>
    <t>{"S/N":"62","IMEI":"GF6WF4RXRQ","TIME":"","COLOUR":"BLACK","DEVICE":"IWATCH","STORAGE":"-","Column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DATE":"","RECORD_ID":"de7b345cb9eb43eb9648a6ea3328a7b9","BATTERY. H":"-","CONDITIONS":"$240,000.00","COST PRICE":"","DATE BOUGHT":"11/26/2024","DESCRIPTION":"SERIES 7","DEAL LOCATION":"","INTERNAL NOTE":"","NAME OF BUYER":"FISTECH GADGET","EXPENSE AMOUNT":"","NAME OF SELLER":"DEMIGLOBAL MULTISERVICE","PRODUCT STATUS":"SOLD","STATUS OF DEVICE":"UNLOCKED","CALCULATED PROFIT":"","EXPENSE DESCRIPTION":"","PHONE NUMBER OF BUYER":"09069888050","AVAILABILITY/DATE SOLD":"12/15/2024","PHONE NUMBER OF SELLER":"09066720385","RECEIPT &amp; EVIDIENCE LINK":""}</t>
  </si>
  <si>
    <t>5e5264bc388e4d079347535bc0cf2a13</t>
  </si>
  <si>
    <t>5e2da7c680645b8e544a5cebc55d32c4db6e4d6547c69693a4fc5f9b95f501ff</t>
  </si>
  <si>
    <t>BAHMS GADGS</t>
  </si>
  <si>
    <t>{"S/N":"63","IMEI":"354820297742432","TIME":"","COLOUR":"PINK","DEVICE":"IPHONE","STORAGE":"128GB","Column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DATE":"","RECORD_ID":"5e5264bc388e4d079347535bc0cf2a13","BATTERY. H":"95","CONDITIONS":"$750,000.00","COST PRICE":"","DATE BOUGHT":"12/17/2024","DESCRIPTION":"IPHONE 15 PLUS","DEAL LOCATION":"","INTERNAL NOTE":"","NAME OF BUYER":"BAHMS GADGS","EXPENSE AMOUNT":"","NAME OF SELLER":"MD GADGETS","PRODUCT STATUS":"SOLD","STATUS OF DEVICE":"LOCKED","CALCULATED PROFIT":"","EXPENSE DESCRIPTION":"","PHONE NUMBER OF BUYER":"090669477050","AVAILABILITY/DATE SOLD":"12/22/2024","PHONE NUMBER OF SELLER":"08166860603","RECEIPT &amp; EVIDIENCE LINK":""}</t>
  </si>
  <si>
    <t>e228bca8d68c43418961814492df66f7</t>
  </si>
  <si>
    <t>9f63de49c8e166cc699efb23018b0e63a79829c2efd0194cfd3b74cd18277761</t>
  </si>
  <si>
    <t>{"S/N":"64","IMEI":"351582377070406","TIME":"","COLOUR":"BLACK","DEVICE":"IPHONE","STORAGE":"128GB","Column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DATE":"","RECORD_ID":"e228bca8d68c43418961814492df66f7","BATTERY. H":"100","CONDITIONS":"$910,000.00","COST PRICE":"","DATE BOUGHT":"12/20/2024","DESCRIPTION":"IPHONE 16","DEAL LOCATION":"","INTERNAL NOTE":"","NAME OF BUYER":"STARBOX","EXPENSE AMOUNT":"","NAME OF SELLER":"OZ GADGETS","PRODUCT STATUS":"SOLD","STATUS OF DEVICE":"LOCKED","CALCULATED PROFIT":"","EXPENSE DESCRIPTION":"","PHONE NUMBER OF BUYER":"09063620334","AVAILABILITY/DATE SOLD":"1/14/2025","PHONE NUMBER OF SELLER":"08106293924","RECEIPT &amp; EVIDIENCE LINK":""}</t>
  </si>
  <si>
    <t>33a2fb49b99c4d45be13830376acb480</t>
  </si>
  <si>
    <t>5178ada44cda7e8858023dee0199e438a872be2e5aa774c22712131cdfa2f4f0</t>
  </si>
  <si>
    <t>{"S/N":"65","IMEI":"356166896719985","TIME":"","COLOUR":"BLACK","DEVICE":"IPHONE","STORAGE":"128GB","Column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DATE":"","RECORD_ID":"33a2fb49b99c4d45be13830376acb480","BATTERY. H":"100","CONDITIONS":"","COST PRICE":"","DATE BOUGHT":"12/21/2024","DESCRIPTION":"IPHONE 16","DEAL LOCATION":"","INTERNAL NOTE":"","NAME OF BUYER":"RETURNED","EXPENSE AMOUNT":"","NAME OF SELLER":"OZ GADGETS","PRODUCT STATUS":"SOLD","STATUS OF DEVICE":"LOCKED","CALCULATED PROFIT":"","EXPENSE DESCRIPTION":"","PHONE NUMBER OF BUYER":"RETURNED","AVAILABILITY/DATE SOLD":"","PHONE NUMBER OF SELLER":"08106293925","RECEIPT &amp; EVIDIENCE LINK":""}</t>
  </si>
  <si>
    <t>958aaf17a8a5466da1f4d07dfd5ca4fa</t>
  </si>
  <si>
    <t>9f424c36a09d2bc2d1bdad7df792131acf3df26e81c00e5726a56fd7ba6b2a48</t>
  </si>
  <si>
    <t>{"S/N":"66","IMEI":"359954318707176","TIME":"","COLOUR":"BLACK","DEVICE":"IPHONE","STORAGE":"128GB","Column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DATE":"","RECORD_ID":"958aaf17a8a5466da1f4d07dfd5ca4fa","BATTERY. H":"100","CONDITIONS":"$985,000.00","COST PRICE":"","DATE BOUGHT":"12/22/2024","DESCRIPTION":"IPHONE 16","DEAL LOCATION":"","INTERNAL NOTE":"","NAME OF BUYER":"IYANUOLUWA DEMIGLOBAL ","EXPENSE AMOUNT":"","NAME OF SELLER":"OZ GADGETS","PRODUCT STATUS":"SOLD","STATUS OF DEVICE":"LOCKED","CALCULATED PROFIT":"","EXPENSE DESCRIPTION":"","PHONE NUMBER OF BUYER":"08088480573","AVAILABILITY/DATE SOLD":"1/16/2025","PHONE NUMBER OF SELLER":"08106293926","RECEIPT &amp; EVIDIENCE LINK":""}</t>
  </si>
  <si>
    <t>c77edb9056ec4aaea8002d9b4173f8ca</t>
  </si>
  <si>
    <t>3e6a61b7730878686199512921e0174a8864a3cb743bcdc57c4d1483edb4ae91</t>
  </si>
  <si>
    <t>{"S/N":"67","IMEI":"352845110550730","TIME":"","COLOUR":"SPACE GREY","DEVICE":"IPHONE","STORAGE":"256GB","Column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DATE":"","RECORD_ID":"c77edb9056ec4aaea8002d9b4173f8ca","BATTERY. H":"87%","CONDITIONS":"$480,000.00","COST PRICE":"","DATE BOUGHT":"12/16/2024","DESCRIPTION":"IPHONE 11 PRO MAX ","DEAL LOCATION":"","INTERNAL NOTE":"","NAME OF BUYER":"MIDE GADGET","EXPENSE AMOUNT":"","NAME OF SELLER":"KEMISOLA","PRODUCT STATUS":"SOLD","STATUS OF DEVICE":"UNLOCKED","CALCULATED PROFIT":"","EXPENSE DESCRIPTION":"","PHONE NUMBER OF BUYER":"09066003937","AVAILABILITY/DATE SOLD":"1/13/2025","PHONE NUMBER OF SELLER":"08068736319","RECEIPT &amp; EVIDIENCE LINK":""}</t>
  </si>
  <si>
    <t>4fb8ff281f434810a55f43f64ca40d8b</t>
  </si>
  <si>
    <t>5e99e92dc05a45111a63ac5c71d87f3b644048014c8e04dc664422ef67a41212</t>
  </si>
  <si>
    <t>TUNDE Babz</t>
  </si>
  <si>
    <t>{"S/N":"68","IMEI":"353468912889807","TIME":"","COLOUR":"BLUE TITANIUM","DEVICE":"IPHONE","STORAGE":"128GB","Column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DATE":"","RECORD_ID":"4fb8ff281f434810a55f43f64ca40d8b","BATTERY. H":"95","CONDITIONS":"","COST PRICE":"","DATE BOUGHT":"12/19/2024","DESCRIPTION":"IPHONE 15 PRO","DEAL LOCATION":"","INTERNAL NOTE":"","NAME OF BUYER":"TUNDE Babz","EXPENSE AMOUNT":"","NAME OF SELLER":"DENIS4WARD TECHNOLOGY","PRODUCT STATUS":"SOLD","STATUS OF DEVICE":"UNLOCKED","CALCULATED PROFIT":"","EXPENSE DESCRIPTION":"","PHONE NUMBER OF BUYER":"0813 079 3960","AVAILABILITY/DATE SOLD":"","PHONE NUMBER OF SELLER":"08038551439","RECEIPT &amp; EVIDIENCE LINK":""}</t>
  </si>
  <si>
    <t>ac4ad297b0d44c469d2fa53805b2f8c1</t>
  </si>
  <si>
    <t>a4a57b57a150790cc2626ea09ec41b5d54b5a1688c51337c4b82ddef97a50a69</t>
  </si>
  <si>
    <t>OLUWASEUN</t>
  </si>
  <si>
    <t>{"S/N":"69","IMEI":"","TIME":"","COLOUR":"SIERRA BLUE","DEVICE":"IPHONE","STORAGE":"128GB","Column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DATE":"","RECORD_ID":"ac4ad297b0d44c469d2fa53805b2f8c1","BATTERY. H":"87%","CONDITIONS":"","COST PRICE":"","DATE BOUGHT":"12/18/2024","DESCRIPTION":"IPHONE 13 PRO MAX","DEAL LOCATION":"","INTERNAL NOTE":"","NAME OF BUYER":"OLUWASEUN","EXPENSE AMOUNT":"","NAME OF SELLER":"THANKGOD CONCEPT","PRODUCT STATUS":"SOLD","STATUS OF DEVICE":"UNLOCKED","CALCULATED PROFIT":"","EXPENSE DESCRIPTION":"","PHONE NUMBER OF BUYER":"","AVAILABILITY/DATE SOLD":"","PHONE NUMBER OF SELLER":"09060695934","RECEIPT &amp; EVIDIENCE LINK":""}</t>
  </si>
  <si>
    <t>e7ab16997ce4485e8cb79a89c69c4070</t>
  </si>
  <si>
    <t>5a0ed4abaa47e3dc44ca9c9a7613b6644b81b45e7e7c85b5e797c3ea4d908ffe</t>
  </si>
  <si>
    <t>KEMI (FROM SEUN)</t>
  </si>
  <si>
    <t>{"S/N":"70","IMEI":"356487145927504","TIME":"","COLOUR":"GRAPHITE","DEVICE":"IPHONE","STORAGE":"256GB","Column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DATE":"","RECORD_ID":"e7ab16997ce4485e8cb79a89c69c4070","BATTERY. H":"100%","CONDITIONS":"","COST PRICE":"","DATE BOUGHT":"12/16/2024","DESCRIPTION":"IPHONE 12 PRO MAX","DEAL LOCATION":"","INTERNAL NOTE":"","NAME OF BUYER":"KEMI (FROM SEUN)","EXPENSE AMOUNT":"","NAME OF SELLER":"DENIS4WARD TECHNOLOGY","PRODUCT STATUS":"SOLD","STATUS OF DEVICE":"UNLOCKED","CALCULATED PROFIT":"","EXPENSE DESCRIPTION":"","PHONE NUMBER OF BUYER":"08068736319","AVAILABILITY/DATE SOLD":"12/16/2024","PHONE NUMBER OF SELLER":"08038551439","RECEIPT &amp; EVIDIENCE LINK":""}</t>
  </si>
  <si>
    <t>3faa08d1ea6a4f8c9ea46af7e3c25c00</t>
  </si>
  <si>
    <t>ff6d77a5ab174fe9e2cc94227c6065e9032317abcf825f83e7cb4255d8dedc67</t>
  </si>
  <si>
    <t>{"S/N":"71","IMEI":"353268391218019","TIME":"","COLOUR":"DESERT","DEVICE":"IPHONE","STORAGE":"128GB","Column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DATE":"","RECORD_ID":"3faa08d1ea6a4f8c9ea46af7e3c25c00","BATTERY. H":"100%","CONDITIONS":"$1,600,000.00","COST PRICE":"","DATE BOUGHT":"12/3/2024","DESCRIPTION":"IPHONE 16 PRO","DEAL LOCATION":"","INTERNAL NOTE":"","NAME OF BUYER":"THANKGOD CONCEPT","EXPENSE AMOUNT":"","NAME OF SELLER":"DENIS4WARD TECHNOLOGY","PRODUCT STATUS":"SOLD","STATUS OF DEVICE":"LOCKED(UNLOCKED)","CALCULATED PROFIT":"","EXPENSE DESCRIPTION":"","PHONE NUMBER OF BUYER":"09060695934","AVAILABILITY/DATE SOLD":"1/4/2025","PHONE NUMBER OF SELLER":"08038551439","RECEIPT &amp; EVIDIENCE LINK":""}</t>
  </si>
  <si>
    <t>51eeb4fc85e84a51bc29b5ce4ce27a1e</t>
  </si>
  <si>
    <t>c9d7301caecd0b96e753c76124dbb1f7700866051de4ef693c9f6acb7f9f6fd5</t>
  </si>
  <si>
    <t>OLA BTC</t>
  </si>
  <si>
    <t>{"S/N":"72","IMEI":"357348095438059","TIME":"","COLOUR":"BLACK","DEVICE":"IPHONE","STORAGE":"64GB","Column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DATE":"","RECORD_ID":"51eeb4fc85e84a51bc29b5ce4ce27a1e","BATTERY. H":"76%(87%)","CONDITIONS":"$230,000.00","COST PRICE":"","DATE BOUGHT":"12/20/2024","DESCRIPTION":"IPHONE XR","DEAL LOCATION":"","INTERNAL NOTE":"","NAME OF BUYER":"OLA BTC","EXPENSE AMOUNT":"","NAME OF SELLER":"MHIDE FROM (BECKZ)","PRODUCT STATUS":"SOLD","STATUS OF DEVICE":"UNLOCKED","CALCULATED PROFIT":"","EXPENSE DESCRIPTION":"","PHONE NUMBER OF BUYER":"07061613141","AVAILABILITY/DATE SOLD":"12/26/2024","PHONE NUMBER OF SELLER":"008032783523","RECEIPT &amp; EVIDIENCE LINK":""}</t>
  </si>
  <si>
    <t>de263eff9a45471298eb7dd169093909</t>
  </si>
  <si>
    <t>ec72b4b73ff1844d13c6110ac6a6218f64b28f04e269a273b37f672492625b29</t>
  </si>
  <si>
    <t>{"S/N":"73","IMEI":"","TIME":"","COLOUR":"GREEN","DEVICE":"IPHONE","STORAGE":"64GB","Column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DATE":"","RECORD_ID":"de263eff9a45471298eb7dd169093909","BATTERY. H":"79%","CONDITIONS":"$450,000.00","COST PRICE":"","DATE BOUGHT":"12/11/2024","DESCRIPTION":"IPHONE 12","DEAL LOCATION":"","INTERNAL NOTE":"","NAME OF BUYER":"AZIMUTHAL","EXPENSE AMOUNT":"","NAME OF SELLER":"GLORY","PRODUCT STATUS":"SOLD","STATUS OF DEVICE":"UNLOCKED","CALCULATED PROFIT":"","EXPENSE DESCRIPTION":"","PHONE NUMBER OF BUYER":"08135659717","AVAILABILITY/DATE SOLD":"12/11/2024","PHONE NUMBER OF SELLER":"09060584225","RECEIPT &amp; EVIDIENCE LINK":""}</t>
  </si>
  <si>
    <t>34f72e529b054dc2b64919acef1ed32d</t>
  </si>
  <si>
    <t>ff90a7f7f367d1980954992f454067b0c414fd25548a748b945cd87e985362f2</t>
  </si>
  <si>
    <t>{"S/N":"74","IMEI":"359271101948523","TIME":"","COLOUR":"BLACK","DEVICE":"SAMSUNG","STORAGE":"64GB","Column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DATE":"","RECORD_ID":"34f72e529b054dc2b64919acef1ed32d","BATTERY. H":"-","CONDITIONS":"$345,000.00","COST PRICE":"","DATE BOUGHT":"12/11/2024","DESCRIPTION":"SAMSUNG NOTE 10+","DEAL LOCATION":"","INTERNAL NOTE":"","NAME OF BUYER":"STARBOX","EXPENSE AMOUNT":"","NAME OF SELLER":"AZIMUTHAL","PRODUCT STATUS":"SOLD","STATUS OF DEVICE":"UNLOCKED","CALCULATED PROFIT":"","EXPENSE DESCRIPTION":"","PHONE NUMBER OF BUYER":"09063620334","AVAILABILITY/DATE SOLD":"12/20/2024","PHONE NUMBER OF SELLER":"08135659717","RECEIPT &amp; EVIDIENCE LINK":""}</t>
  </si>
  <si>
    <t>f32a6ea785b0409397762e628cf06bad</t>
  </si>
  <si>
    <t>a3a28eaa68654f3187623b1a76a4a608341dfe907b7230e0d13a49d259331cc1</t>
  </si>
  <si>
    <t>{"S/N":"75","IMEI":"355300183605562","TIME":"","COLOUR":"WHITE TITANIUM","DEVICE":"IPHONE","STORAGE":"512GB","Column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DATE":"","RECORD_ID":"f32a6ea785b0409397762e628cf06bad","BATTERY. H":"100%","CONDITIONS":"$1,550,000.00","COST PRICE":"\u20a61,550,000.00","DATE BOUGHT":"12/31/2024","DESCRIPTION":"IPHONE 16 PRO MAX BRAND NEW","DEAL LOCATION":"","INTERNAL NOTE":"","NAME OF BUYER":"ARMY MIGHTY ","EXPENSE AMOUNT":"","NAME OF SELLER":"DENIS4WARD TECHNOLOGY","PRODUCT STATUS":"SOLD","STATUS OF DEVICE":"LOCKED","CALCULATED PROFIT":"","EXPENSE DESCRIPTION":"","PHONE NUMBER OF BUYER":"08169094027","AVAILABILITY/DATE SOLD":"4/20/2026","PHONE NUMBER OF SELLER":"08038551439","RECEIPT &amp; EVIDIENCE LINK":""}</t>
  </si>
  <si>
    <t>a69653bd5d064160a326f62db36fab4e</t>
  </si>
  <si>
    <t>f95b69c82fe94cc9e03f3052c14f6a77cbf3b97ac8c5de99a18b2d84447df30a</t>
  </si>
  <si>
    <t>{"S/N":"76","IMEI":"350686383077569","TIME":"","COLOUR":"BLACK TITANIUM","DEVICE":"IPHONE","STORAGE":"128GB","Column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DATE":"","RECORD_ID":"a69653bd5d064160a326f62db36fab4e","BATTERY. H":"99%","CONDITIONS":"$980,000.00","COST PRICE":"","DATE BOUGHT":"12/31/2024","DESCRIPTION":"IPHONE 15 PLUS","DEAL LOCATION":"","INTERNAL NOTE":"","NAME OF BUYER":"BAHMS GADGS","EXPENSE AMOUNT":"","NAME OF SELLER":"ARMY MIGHTY","PRODUCT STATUS":"SOLD","STATUS OF DEVICE":"UNLOCKED","CALCULATED PROFIT":"","EXPENSE DESCRIPTION":"","PHONE NUMBER OF BUYER":"09069477050","AVAILABILITY/DATE SOLD":"1/8/2025","PHONE NUMBER OF SELLER":"08169094027","RECEIPT &amp; EVIDIENCE LINK":""}</t>
  </si>
  <si>
    <t>126fbcb7af074f89b094d53618cf12c5</t>
  </si>
  <si>
    <t>79608ca5b6c2f765940c1caec9ca91ef3d7e6b9fdd7f793ddcb9bf6e42d0e5f8</t>
  </si>
  <si>
    <t>{"S/N":"77","IMEI":"356462525826972","TIME":"","COLOUR":"GOLD","DEVICE":"IPHONE","STORAGE":"256GB","Column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DATE":"","RECORD_ID":"126fbcb7af074f89b094d53618cf12c5","BATTERY. H":"77%","CONDITIONS":"","COST PRICE":"","DATE BOUGHT":"12/30/2024","DESCRIPTION":"IPHONE 12 PRO","DEAL LOCATION":"","INTERNAL NOTE":"","NAME OF BUYER":"MIDE GADGET","EXPENSE AMOUNT":"","NAME OF SELLER":"MALI GADGET","PRODUCT STATUS":"SOLD","STATUS OF DEVICE":"LOCKED","CALCULATED PROFIT":"","EXPENSE DESCRIPTION":"","PHONE NUMBER OF BUYER":"09066003937","AVAILABILITY/DATE SOLD":"","PHONE NUMBER OF SELLER":"08115570178","RECEIPT &amp; EVIDIENCE LINK":""}</t>
  </si>
  <si>
    <t>32c7e9bef76845f4b712207c77c0cbda</t>
  </si>
  <si>
    <t>07b24c99c188f4fd990e7b611e33033a3d24845de5500e2c1bb0931da3c1cf9e</t>
  </si>
  <si>
    <t>{"S/N":"78","IMEI":"","TIME":"","COLOUR":"PURPLE","DEVICE":"IPHONE","STORAGE":"64GB","Column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DATE":"","RECORD_ID":"32c7e9bef76845f4b712207c77c0cbda","BATTERY. H":"72%","CONDITIONS":"$280,000.00","COST PRICE":"","DATE BOUGHT":"1/5/2025","DESCRIPTION":"IPHONE 11","DEAL LOCATION":"","INTERNAL NOTE":"","NAME OF BUYER":"IPRO GADGET","EXPENSE AMOUNT":"","NAME OF SELLER":"JAPHET","PRODUCT STATUS":"SOLD","STATUS OF DEVICE":"UNLOCKED","CALCULATED PROFIT":"","EXPENSE DESCRIPTION":"","PHONE NUMBER OF BUYER":"08109344663","AVAILABILITY/DATE SOLD":"05/01/2024","PHONE NUMBER OF SELLER":"09050037923","RECEIPT &amp; EVIDIENCE LINK":""}</t>
  </si>
  <si>
    <t>1158896726bd4fe5bf7d0f906ffa639c</t>
  </si>
  <si>
    <t>b3b4dac862eafec0e833aabea9b3303bce9cac821e183dbe64348c7195353968</t>
  </si>
  <si>
    <t>{"S/N":"79","IMEI":"350056592721102","TIME":"","COLOUR":"GOLD","DEVICE":"IPHONE","STORAGE":"128GB","Column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DATE":"","RECORD_ID":"1158896726bd4fe5bf7d0f906ffa639c","BATTERY. H":"87%","CONDITIONS":"$940,000.00","COST PRICE":"","DATE BOUGHT":"1/3/2025","DESCRIPTION":"IPHONE 14 PRO (P + E)","DEAL LOCATION":"","INTERNAL NOTE":"","NAME OF BUYER":"PANKY GEE","EXPENSE AMOUNT":"","NAME OF SELLER":"THANKGOD CONCEPT","PRODUCT STATUS":"SOLD","STATUS OF DEVICE":"UNLOCKED","CALCULATED PROFIT":"","EXPENSE DESCRIPTION":"","PHONE NUMBER OF BUYER":"07052247397","AVAILABILITY/DATE SOLD":"1/12/2025","PHONE NUMBER OF SELLER":"","RECEIPT &amp; EVIDIENCE LINK":""}</t>
  </si>
  <si>
    <t>30bccf2c9b744fd89788a68d27784f73</t>
  </si>
  <si>
    <t>2dca06012b7685f58822a5547b5f3940645d979e00e63c3dd2695005cc95b0dc</t>
  </si>
  <si>
    <t>MG997FR63F</t>
  </si>
  <si>
    <t>{"S/N":"80","IMEI":"MG997FR63F","TIME":"","COLOUR":"BLACK","DEVICE":"IWATCH","STORAGE":"-","Column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DATE":"","RECORD_ID":"30bccf2c9b744fd89788a68d27784f73","BATTERY. H":"-","CONDITIONS":"RETURNED","COST PRICE":"","DATE BOUGHT":"1/6/2025","DESCRIPTION":"IWATCH SERIES 7","DEAL LOCATION":"","INTERNAL NOTE":"","NAME OF BUYER":"DEMIGLOBAL MULTISERVICE","EXPENSE AMOUNT":"","NAME OF SELLER":"DEMIGLOBAL MULTISERVICE","PRODUCT STATUS":"SOLD","STATUS OF DEVICE":"UNLOCKED","CALCULATED PROFIT":"","EXPENSE DESCRIPTION":"","PHONE NUMBER OF BUYER":"09066720385","AVAILABILITY/DATE SOLD":"1/7/2025","PHONE NUMBER OF SELLER":"","RECEIPT &amp; EVIDIENCE LINK":""}</t>
  </si>
  <si>
    <t>0001a5968788456482cfdae3e13e753b</t>
  </si>
  <si>
    <t>da6cbccda6a66d32423e91d27435a2d4b4405077eda150c8e001280c3446fb1d</t>
  </si>
  <si>
    <t>DREY GADGET</t>
  </si>
  <si>
    <t>{"S/N":"81","IMEI":"355224389539567","TIME":"","COLOUR":"SIERRA BLUE","DEVICE":"IPHONE","STORAGE":"256GB","Column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DATE":"","RECORD_ID":"0001a5968788456482cfdae3e13e753b","BATTERY. H":"82 (85%)","CONDITIONS":"$720,000.00","COST PRICE":"","DATE BOUGHT":"1/16/2025","DESCRIPTION":"IPHONE 13 PRO","DEAL LOCATION":"","INTERNAL NOTE":"","NAME OF BUYER":"DREY GADGET","EXPENSE AMOUNT":"","NAME OF SELLER":"KHAFE GADGET","PRODUCT STATUS":"SOLD","STATUS OF DEVICE":"UNLOCKED","CALCULATED PROFIT":"","EXPENSE DESCRIPTION":"","PHONE NUMBER OF BUYER":"09135770042","AVAILABILITY/DATE SOLD":"1/17/2025","PHONE NUMBER OF SELLER":"07048121888","RECEIPT &amp; EVIDIENCE LINK":""}</t>
  </si>
  <si>
    <t>df1230dc64394ab7b5a963e8f53e2db3</t>
  </si>
  <si>
    <t>d49aa247bd4c19c4f49abb85564edfe08c16b6f36ba0e63af0478884d86d1a5f</t>
  </si>
  <si>
    <t>{"S/N":"82","IMEI":"353967815303147","TIME":"","COLOUR":"GOLD","DEVICE":"IPHONE","STORAGE":"128GB","Column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DATE":"","RECORD_ID":"df1230dc64394ab7b5a963e8f53e2db3","BATTERY. H":"93%","CONDITIONS":"$800,000.00","COST PRICE":"","DATE BOUGHT":"1/13/2025","DESCRIPTION":"IPHONE 13 PRO MAX","DEAL LOCATION":"","INTERNAL NOTE":"","NAME OF BUYER":"ZEE TECH","EXPENSE AMOUNT":"","NAME OF SELLER":"IBRAHIM GADGET","PRODUCT STATUS":"SOLD","STATUS OF DEVICE":"UNLOCKED","CALCULATED PROFIT":"","EXPENSE DESCRIPTION":"","PHONE NUMBER OF BUYER":"09033724061","AVAILABILITY/DATE SOLD":"1/27/2025","PHONE NUMBER OF SELLER":"09060724788","RECEIPT &amp; EVIDIENCE LINK":""}</t>
  </si>
  <si>
    <t>10b59a02ebbd40b7b9039b96a5755885</t>
  </si>
  <si>
    <t>0bc0b1e66cda938b13c3bfa722d065f5681444626f8c0af512bdda053e2bb6f9</t>
  </si>
  <si>
    <t>{"S/N":"83","IMEI":"352051692366989","TIME":"","COLOUR":"SIERRA BLUE","DEVICE":"IPHONE","STORAGE":"128GB","Column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DATE":"","RECORD_ID":"10b59a02ebbd40b7b9039b96a5755885","BATTERY. H":"86%","CONDITIONS":"$700,000.00","COST PRICE":"","DATE BOUGHT":"1/21/2025","DESCRIPTION":"IPHONE 13 PRO MAX","DEAL LOCATION":"","INTERNAL NOTE":"","NAME OF BUYER":"SEYIFUNMI","EXPENSE AMOUNT":"","NAME OF SELLER":"SEYIFUNMI","PRODUCT STATUS":"SOLD","STATUS OF DEVICE":"LOCKED","CALCULATED PROFIT":"","EXPENSE DESCRIPTION":"","PHONE NUMBER OF BUYER":"07065500068","AVAILABILITY/DATE SOLD":"2/11/2025","PHONE NUMBER OF SELLER":"07065500068","RECEIPT &amp; EVIDIENCE LINK":""}</t>
  </si>
  <si>
    <t>b8fcf342b09f4f70ae8957e0483f44b8</t>
  </si>
  <si>
    <t>e515e61b3949f9a83632399cf210aa20ae6aca82f691ad572ae2f3a0cb0632ae</t>
  </si>
  <si>
    <t>{"S/N":"84","IMEI":"354553492615901","TIME":"","COLOUR":"BLACK TITANIUM","DEVICE":"IPHONE","STORAGE":"128GB","Column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DATE":"","RECORD_ID":"b8fcf342b09f4f70ae8957e0483f44b8","BATTERY. H":"88%","CONDITIONS":"","COST PRICE":"","DATE BOUGHT":"1/18/2025","DESCRIPTION":"IPHONE 15 (OPENED BOX)","DEAL LOCATION":"","INTERNAL NOTE":"","NAME OF BUYER":"DON ","EXPENSE AMOUNT":"","NAME OF SELLER":"MD GADGETS","PRODUCT STATUS":"SOLD","STATUS OF DEVICE":"LOCKED","CALCULATED PROFIT":"","EXPENSE DESCRIPTION":"","PHONE NUMBER OF BUYER":"08137676322","AVAILABILITY/DATE SOLD":"","PHONE NUMBER OF SELLER":"08166860603","RECEIPT &amp; EVIDIENCE LINK":""}</t>
  </si>
  <si>
    <t>f0439129618347b08d4844b2641522f7</t>
  </si>
  <si>
    <t>6d9ed4f23a4e7af53e57f3f31984aa631572bd912ba97f59e028c20a4f25eb04</t>
  </si>
  <si>
    <t>{"S/N":"85","IMEI":"357938432786689","TIME":"","COLOUR":"PURPLE","DEVICE":"IPHONE","STORAGE":"128GB","Column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DATE":"","RECORD_ID":"f0439129618347b08d4844b2641522f7","BATTERY. H":"91%","CONDITIONS":"$680,000.00","COST PRICE":"","DATE BOUGHT":"1/19/2025","DESCRIPTION":"IPHONE 14 PRO MAX ","DEAL LOCATION":"","INTERNAL NOTE":"","NAME OF BUYER":"AREMO GADGET","EXPENSE AMOUNT":"","NAME OF SELLER":"IYANUOLUWA (WHYTE)","PRODUCT STATUS":"SOLD","STATUS OF DEVICE":"LOCKED","CALCULATED PROFIT":"","EXPENSE DESCRIPTION":"","PHONE NUMBER OF BUYER":"09037888923","AVAILABILITY/DATE SOLD":"1/29/2025","PHONE NUMBER OF SELLER":"08088480573","RECEIPT &amp; EVIDIENCE LINK":""}</t>
  </si>
  <si>
    <t>7e8a573b28c64b9bb981aa7a2073e299</t>
  </si>
  <si>
    <t>2c67a32dee560c9fa277eff34886482daa2a6e788870737644efcb2920191a99</t>
  </si>
  <si>
    <t>{"S/N":"86","IMEI":"354178508141252","TIME":"","COLOUR":"BLACK","DEVICE":"IPHONE","STORAGE":"256GB","Column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DATE":"","RECORD_ID":"7e8a573b28c64b9bb981aa7a2073e299","BATTERY. H":"100%","CONDITIONS":"$1,280,000.00","COST PRICE":"","DATE BOUGHT":"1/20/2025","DESCRIPTION":"IPHONE 16","DEAL LOCATION":"","INTERNAL NOTE":"","NAME OF BUYER":"NURUDEEN","EXPENSE AMOUNT":"","NAME OF SELLER":"HAYKINZ TECH","PRODUCT STATUS":"SOLD","STATUS OF DEVICE":"LOCKED(UNLOCKED)","CALCULATED PROFIT":"","EXPENSE DESCRIPTION":"","PHONE NUMBER OF BUYER":"09122727950","AVAILABILITY/DATE SOLD":"1/30/2025","PHONE NUMBER OF SELLER":"07030279101","RECEIPT &amp; EVIDIENCE LINK":""}</t>
  </si>
  <si>
    <t>f8fe1b07b7a34b3ea5e85254ebdf7e98</t>
  </si>
  <si>
    <t>ec43743aee2e91bd02cfd4cb19a9620a6ba2e9eff235d267a17618fa4c59ae07</t>
  </si>
  <si>
    <t>{"S/N":"87","IMEI":"350753692386469","TIME":"","COLOUR":"BLACK","DEVICE":"IPHONE","STORAGE":"256GB","Column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DATE":"","RECORD_ID":"f8fe1b07b7a34b3ea5e85254ebdf7e98","BATTERY. H":"100%","CONDITIONS":"$950,000.00","COST PRICE":"","DATE BOUGHT":"1/24/2025","DESCRIPTION":"IPHONE 16","DEAL LOCATION":"","INTERNAL NOTE":"","NAME OF BUYER":"RUL","EXPENSE AMOUNT":"","NAME OF SELLER":"HAYKINZ TECH","PRODUCT STATUS":"SOLD","STATUS OF DEVICE":"LOCKED","CALCULATED PROFIT":"","EXPENSE DESCRIPTION":"","PHONE NUMBER OF BUYER":"08153978826","AVAILABILITY/DATE SOLD":"1/23/2025","PHONE NUMBER OF SELLER":"07030279101","RECEIPT &amp; EVIDIENCE LINK":""}</t>
  </si>
  <si>
    <t>d4aa610da3b14fe2a89c54ae76c090c9</t>
  </si>
  <si>
    <t>98a0f375643778526b95b1dd1346d00583b15f84bb569514add6af7b0761751b</t>
  </si>
  <si>
    <t>SOMEFUN</t>
  </si>
  <si>
    <t>{"S/N":"88","IMEI":"358298662648144","TIME":"","COLOUR":"ALPINE GREEN","DEVICE":"SAMSUNG","STORAGE":"12/256GB","Column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DATE":"","RECORD_ID":"d4aa610da3b14fe2a89c54ae76c090c9","BATTERY. H":"-","CONDITIONS":"","COST PRICE":"","DATE BOUGHT":"1/24/2025","DESCRIPTION":"SAMSUNG GALAXY S22 ULTRA","DEAL LOCATION":"","INTERNAL NOTE":"","NAME OF BUYER":"SOMEFUN","EXPENSE AMOUNT":"","NAME OF SELLER":"DENIS4WARD TECHNOLOGY","PRODUCT STATUS":"SOLD","STATUS OF DEVICE":"UNLOCKED","CALCULATED PROFIT":"","EXPENSE DESCRIPTION":"","PHONE NUMBER OF BUYER":"09131148777","AVAILABILITY/DATE SOLD":"","PHONE NUMBER OF SELLER":"08038551439","RECEIPT &amp; EVIDIENCE LINK":""}</t>
  </si>
  <si>
    <t>b50a5e0c4aa0447797999c24d8ac1149</t>
  </si>
  <si>
    <t>cc35345505676f3c498ce17daced0907da410460b07d8ddf951cfb21be21cdb8</t>
  </si>
  <si>
    <t>{"S/N":"89","IMEI":"357917879684136","TIME":"","COLOUR":"WHITE","DEVICE":"IPHONE","STORAGE":"256GB","Column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DATE":"","RECORD_ID":"b50a5e0c4aa0447797999c24d8ac1149","BATTERY. H":"87%","CONDITIONS":"$1,180,000.00","COST PRICE":"","DATE BOUGHT":"1/25/2025","DESCRIPTION":"IPHONE 14 PRO MAX ","DEAL LOCATION":"","INTERNAL NOTE":"","NAME OF BUYER":"ADESINA SEIDU","EXPENSE AMOUNT":"","NAME OF SELLER":"FAME","PRODUCT STATUS":"SOLD","STATUS OF DEVICE":"UNLOCKED","CALCULATED PROFIT":"","EXPENSE DESCRIPTION":"","PHONE NUMBER OF BUYER":"08106081752","AVAILABILITY/DATE SOLD":"1/25/2025","PHONE NUMBER OF SELLER":"08144970435","RECEIPT &amp; EVIDIENCE LINK":""}</t>
  </si>
  <si>
    <t>cc5e9c24a0f5429389f68cd70db64692</t>
  </si>
  <si>
    <t>8c0f27b1835923265c0d9983fcbd1b3e0a287e5e6fd333e3a969a60fcf699999</t>
  </si>
  <si>
    <t>SIRMTECH CVE</t>
  </si>
  <si>
    <t>{"S/N":"90","IMEI":"358073461428968","TIME":"","COLOUR":"BLACK","DEVICE":"IPHONE","STORAGE":"256GB","Column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DATE":"","RECORD_ID":"cc5e9c24a0f5429389f68cd70db64692","BATTERY. H":"91%","CONDITIONS":"$980,000.00","COST PRICE":"","DATE BOUGHT":"1/30/2025","DESCRIPTION":"IPHONE 14 PRO ","DEAL LOCATION":"","INTERNAL NOTE":"","NAME OF BUYER":"SIRMTECH CVE","EXPENSE AMOUNT":"","NAME OF SELLER":"NURUDEEN","PRODUCT STATUS":"SOLD","STATUS OF DEVICE":"UNLOCKED","CALCULATED PROFIT":"","EXPENSE DESCRIPTION":"","PHONE NUMBER OF BUYER":"08142646173","AVAILABILITY/DATE SOLD":"1/30/2025","PHONE NUMBER OF SELLER":"09122727950","RECEIPT &amp; EVIDIENCE LINK":""}</t>
  </si>
  <si>
    <t>6eaffbb2338146bd89b172cfcb8cc3b0</t>
  </si>
  <si>
    <t>b66a507142e4550f4506bf40980aa9264dc744f3cdf54eaa30a24829e4250ded</t>
  </si>
  <si>
    <t>{"S/N":"91","IMEI":"352806849074186","TIME":"","COLOUR":"SIERRA BLUE","DEVICE":"IPHONE","STORAGE":"128GB","Column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DATE":"","RECORD_ID":"6eaffbb2338146bd89b172cfcb8cc3b0","BATTERY. H":"92%","CONDITIONS":"$730,000.00","COST PRICE":"","DATE BOUGHT":"1/30/2025","DESCRIPTION":"IPHONE 13 PRO","DEAL LOCATION":"","INTERNAL NOTE":"","NAME OF BUYER":"SWEET BOY","EXPENSE AMOUNT":"","NAME OF SELLER":"SIRMTECH","PRODUCT STATUS":"SOLD","STATUS OF DEVICE":"UNLOCKED","CALCULATED PROFIT":"","EXPENSE DESCRIPTION":"","PHONE NUMBER OF BUYER":"09039519037","AVAILABILITY/DATE SOLD":"2/1/2025","PHONE NUMBER OF SELLER":"08142646173","RECEIPT &amp; EVIDIENCE LINK":""}</t>
  </si>
  <si>
    <t>e401f637f6bf4ae5a8d89145288f644a</t>
  </si>
  <si>
    <t>f806a0c3bd4ed2de16da1192f6086d96ccb5fbae52b2403de047268526833d74</t>
  </si>
  <si>
    <t>ADIO TOLULOPE</t>
  </si>
  <si>
    <t>{"S/N":"92","IMEI":"354183138726928","TIME":"","COLOUR":"Gold","DEVICE":"IPHONE","STORAGE":"512GB","Column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DATE":"","RECORD_ID":"e401f637f6bf4ae5a8d89145288f644a","BATTERY. H":"100%","CONDITIONS":"$1,150,000.00","COST PRICE":"","DATE BOUGHT":"17/11/2024","DESCRIPTION":"Brand new iPhone 14 Pro","DEAL LOCATION":"","INTERNAL NOTE":"","NAME OF BUYER":"ADIO TOLULOPE","EXPENSE AMOUNT":"","NAME OF SELLER":"OZ GADGETS","PRODUCT STATUS":"SOLD","STATUS OF DEVICE":"UNLOCKED","CALCULATED PROFIT":"","EXPENSE DESCRIPTION":"","PHONE NUMBER OF BUYER":"09015069889","AVAILABILITY/DATE SOLD":"17/11/2024","PHONE NUMBER OF SELLER":"08106293924","RECEIPT &amp; EVIDIENCE LINK":""}</t>
  </si>
  <si>
    <t>c940a67913144b5dbd361da21e8854b2</t>
  </si>
  <si>
    <t>23ecaa35ebea429ad44201465c0a900b05c5e1d855005c318ed4c3e4f5a0387d</t>
  </si>
  <si>
    <t>{"S/N":"93","IMEI":"357647733147117","TIME":"","COLOUR":"BLUE","DEVICE":"SAMSUNG","STORAGE":"8GB/128GB","Column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DATE":"","RECORD_ID":"c940a67913144b5dbd361da21e8854b2","BATTERY. H":"-","CONDITIONS":"$210,000.00","COST PRICE":"","DATE BOUGHT":"2/1/2025","DESCRIPTION":"SAMSUNG GALAXY A71","DEAL LOCATION":"","INTERNAL NOTE":"","NAME OF BUYER":"DEMIGLOBAL MULTISERVICE","EXPENSE AMOUNT":"","NAME OF SELLER":"DENIS4WARD TECHNOLOGY","PRODUCT STATUS":"SOLD","STATUS OF DEVICE":"UNLOCKED","CALCULATED PROFIT":"","EXPENSE DESCRIPTION":"","PHONE NUMBER OF BUYER":"09066720385","AVAILABILITY/DATE SOLD":"2/1/2025","PHONE NUMBER OF SELLER":"08038551439","RECEIPT &amp; EVIDIENCE LINK":""}</t>
  </si>
  <si>
    <t>2cdc3399e01844229b8c3343c7af8084</t>
  </si>
  <si>
    <t>8517851ed16128ae2d2f9f1862bfe3eba53173b368206350427935949265e561</t>
  </si>
  <si>
    <t>{"S/N":"94","IMEI":"351385224078451","TIME":"","COLOUR":"BLACK","DEVICE":"SAMSUNG","STORAGE":"6/128GB","Column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DATE":"","RECORD_ID":"2cdc3399e01844229b8c3343c7af8084","BATTERY. H":"-","CONDITIONS":"$170,000.00","COST PRICE":"","DATE BOUGHT":"2/1/2025","DESCRIPTION":"SAMSUNG GALAXY A53","DEAL LOCATION":"","INTERNAL NOTE":"","NAME OF BUYER":"DEMIGLOBAL MULTISERVICE","EXPENSE AMOUNT":"","NAME OF SELLER":"DENIS4WARD TECHNOLOGY","PRODUCT STATUS":"SOLD","STATUS OF DEVICE":"UNLOCKED","CALCULATED PROFIT":"","EXPENSE DESCRIPTION":"","PHONE NUMBER OF BUYER":"09066720385","AVAILABILITY/DATE SOLD":"2/1/2025","PHONE NUMBER OF SELLER":"08038551439","RECEIPT &amp; EVIDIENCE LINK":""}</t>
  </si>
  <si>
    <t>3366f1061a864ef19bc81e2172ae7e24</t>
  </si>
  <si>
    <t>cc38c98bbd37a5d70ac52a1b1db161f331513cd6dfa0690eb78e43c781ed8b87</t>
  </si>
  <si>
    <t>{"S/N":"95","IMEI":"351048874474137","TIME":"","COLOUR":"GREEN","DEVICE":"IPHONE","STORAGE":"128GB","Column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DATE":"","RECORD_ID":"3366f1061a864ef19bc81e2172ae7e24","BATTERY. H":"100","CONDITIONS":"$480,000.00","COST PRICE":"","DATE BOUGHT":"2/1/2025","DESCRIPTION":"IPHONE 15 ","DEAL LOCATION":"","INTERNAL NOTE":"","NAME OF BUYER":"DEMIGLOBAL MULTISERVICE","EXPENSE AMOUNT":"","NAME OF SELLER":"DEMIGLOBAL MULTISERVICE","PRODUCT STATUS":"SOLD","STATUS OF DEVICE":"LOCKED","CALCULATED PROFIT":"","EXPENSE DESCRIPTION":"","PHONE NUMBER OF BUYER":"09066720385","AVAILABILITY/DATE SOLD":"2/11/2025","PHONE NUMBER OF SELLER":"09066720385","RECEIPT &amp; EVIDIENCE LINK":""}</t>
  </si>
  <si>
    <t>ec8aa38a68b84c6a9043629e8b9de453</t>
  </si>
  <si>
    <t>a6eac6062027e3a7243a2eaeae2352d67aa4188245c3d8211f81efaf7d4e8823</t>
  </si>
  <si>
    <t>CHIP OWO</t>
  </si>
  <si>
    <t>{"S/N":"96","IMEI":"357774332463560","TIME":"","COLOUR":"MIDNIGHT","DEVICE":"IPHONE","STORAGE":"128GB","Column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DATE":"","RECORD_ID":"ec8aa38a68b84c6a9043629e8b9de453","BATTERY. H":"80%","CONDITIONS":"","COST PRICE":"","DATE BOUGHT":"2/3/2025","DESCRIPTION":"IPHONE 13","DEAL LOCATION":"","INTERNAL NOTE":"","NAME OF BUYER":"CHIP OWO","EXPENSE AMOUNT":"","NAME OF SELLER":"OZ GADGETS","PRODUCT STATUS":"SOLD","STATUS OF DEVICE":"LOCKED","CALCULATED PROFIT":"","EXPENSE DESCRIPTION":"","PHONE NUMBER OF BUYER":"09133064536","AVAILABILITY/DATE SOLD":"2/10/2025","PHONE NUMBER OF SELLER":"08106293924","RECEIPT &amp; EVIDIENCE LINK":""}</t>
  </si>
  <si>
    <t>cfdaeb9e12ab471d95a34f3c3590ae10</t>
  </si>
  <si>
    <t>76b7c8f432376d4cf2ce7e9520bbd7a369e0d2ae5a79c9c7d5fd3c67d3040f20</t>
  </si>
  <si>
    <t>{"S/N":"97","IMEI":"353990992863535","TIME":"","COLOUR":"SIERRA BLUE","DEVICE":"IPHONE","STORAGE":"128GB","Column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DATE":"","RECORD_ID":"cfdaeb9e12ab471d95a34f3c3590ae10","BATTERY. H":"95%","CONDITIONS":"$650,000.00","COST PRICE":"","DATE BOUGHT":"2/11/2025","DESCRIPTION":"IPHONE 13 PRO","DEAL LOCATION":"","INTERNAL NOTE":"","NAME OF BUYER":"RAYMOND FLASH","EXPENSE AMOUNT":"","NAME OF SELLER":"SEYIFUNMI","PRODUCT STATUS":"SOLD","STATUS OF DEVICE":"UNLOCKED","CALCULATED PROFIT":"","EXPENSE DESCRIPTION":"","PHONE NUMBER OF BUYER":"09161048040","AVAILABILITY/DATE SOLD":"2/18/2025","PHONE NUMBER OF SELLER":"07065500068","RECEIPT &amp; EVIDIENCE LINK":""}</t>
  </si>
  <si>
    <t>73fe3943187b48ea815e6ac660359d88</t>
  </si>
  <si>
    <t>e5689f460e0c4f4e354c5e80a2eab7cbd03a39493d6fe62fc41f33cb038379ea</t>
  </si>
  <si>
    <t>Gadget Galaxy</t>
  </si>
  <si>
    <t>{"S/N":"98","IMEI":"351109799799329","TIME":"","COLOUR":"PURPLE","DEVICE":"IPHONE","STORAGE":"128GB","Column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DATE":"","RECORD_ID":"73fe3943187b48ea815e6ac660359d88","BATTERY. H":"88%","CONDITIONS":"","COST PRICE":"","DATE BOUGHT":"2/15/2025","DESCRIPTION":"IPHONE 14 PRO MAX ","DEAL LOCATION":"","INTERNAL NOTE":"","NAME OF BUYER":"Gadget Galaxy","EXPENSE AMOUNT":"","NAME OF SELLER":"AWILO","PRODUCT STATUS":"SOLD","STATUS OF DEVICE":"LOCKED","CALCULATED PROFIT":"","EXPENSE DESCRIPTION":"","PHONE NUMBER OF BUYER":"09112194009","AVAILABILITY/DATE SOLD":"5/9/2025","PHONE NUMBER OF SELLER":"07075923209","RECEIPT &amp; EVIDIENCE LINK":""}</t>
  </si>
  <si>
    <t>47310e8cc5cf49cfac0b4083233344e1</t>
  </si>
  <si>
    <t>2869de37ed89aae446d47ff5228b6712658e61b5aa0b094ace32ebdd97de565f</t>
  </si>
  <si>
    <t>MONICA</t>
  </si>
  <si>
    <t>{"S/N":"99","IMEI":"359954312840064","TIME":"","COLOUR":"PINK","DEVICE":"IPHONE","STORAGE":"128GB","Column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DATE":"","RECORD_ID":"47310e8cc5cf49cfac0b4083233344e1","BATTERY. H":"100%","CONDITIONS":"870000","COST PRICE":"","DATE BOUGHT":"2/12/2025","DESCRIPTION":"IPHONE 16 BRAND NEW","DEAL LOCATION":"","INTERNAL NOTE":"","NAME OF BUYER":"MONICA","EXPENSE AMOUNT":"","NAME OF SELLER":"DAMBOX","PRODUCT STATUS":"SOLD","STATUS OF DEVICE":"LOCKED","CALCULATED PROFIT":"","EXPENSE DESCRIPTION":"","PHONE NUMBER OF BUYER":"09078545071","AVAILABILITY/DATE SOLD":"2/12/2025","PHONE NUMBER OF SELLER":"09040943517","RECEIPT &amp; EVIDIENCE LINK":""}</t>
  </si>
  <si>
    <t>a8f76223a3c240cea5690fbcb801dd6b</t>
  </si>
  <si>
    <t>4ca709381fb018827e0a273b8cafecf91670fa75593665b48dca45d0596f6cd6</t>
  </si>
  <si>
    <t>{"S/N":"100","IMEI":"354633446483463","TIME":"","COLOUR":"BLACK TITANIUM","DEVICE":"IPHONE","STORAGE":"256GB","Column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DATE":"","RECORD_ID":"a8f76223a3c240cea5690fbcb801dd6b","BATTERY. H":"91%","CONDITIONS":"740000","COST PRICE":"","DATE BOUGHT":"2/12/2025","DESCRIPTION":"IPHONE 15 PRO MAX ","DEAL LOCATION":"","INTERNAL NOTE":"","NAME OF BUYER":"MIKKY","EXPENSE AMOUNT":"","NAME OF SELLER":"MONICA","PRODUCT STATUS":"SOLD","STATUS OF DEVICE":"LOCKED","CALCULATED PROFIT":"","EXPENSE DESCRIPTION":"","PHONE NUMBER OF BUYER":"07033353323","AVAILABILITY/DATE SOLD":"5/12/2025","PHONE NUMBER OF SELLER":"09078545071","RECEIPT &amp; EVIDIENCE LINK":""}</t>
  </si>
  <si>
    <t>45e0558f1dad455d836d1d5fb46379d4</t>
  </si>
  <si>
    <t>f160c63eeaf13cc1380ec8cd0c27e58e6bad2a9c986f91990773667125373287</t>
  </si>
  <si>
    <t>{"S/N":"101","IMEI":"355658239031111","TIME":"","COLOUR":"LOCKED","DEVICE":"IPHONE","STORAGE":"64GB","Column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DATE":"","RECORD_ID":"45e0558f1dad455d836d1d5fb46379d4","BATTERY. H":"84%","CONDITIONS":"260000","COST PRICE":"","DATE BOUGHT":"2/15/2025","DESCRIPTION":"IPHONE 12 ","DEAL LOCATION":"","INTERNAL NOTE":"","NAME OF BUYER":"MD GADGS","EXPENSE AMOUNT":"","NAME OF SELLER":"SAMUEL (SLATT)","PRODUCT STATUS":"SOLD","STATUS OF DEVICE":"LOCKED","CALCULATED PROFIT":"","EXPENSE DESCRIPTION":"","PHONE NUMBER OF BUYER":"08166860603","AVAILABILITY/DATE SOLD":"2/19/2025","PHONE NUMBER OF SELLER":"09061496515","RECEIPT &amp; EVIDIENCE LINK":""}</t>
  </si>
  <si>
    <t>4028bb08f58d4cfab9ba9670d3447bb5</t>
  </si>
  <si>
    <t>c4bedce9dc63a4ce53f0af4a7b9c417d0f544a6c55ff443c4d68701ebcd0f50f</t>
  </si>
  <si>
    <t>SAMUEL (SLATT)</t>
  </si>
  <si>
    <t>{"S/N":"102","IMEI":"353941307592558","TIME":"","COLOUR":"GOLD","DEVICE":"IPHONE","STORAGE":"256GB","Column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DATE":"","RECORD_ID":"4028bb08f58d4cfab9ba9670d3447bb5","BATTERY. H":"100%","CONDITIONS":"","COST PRICE":"","DATE BOUGHT":"2/8/2025","DESCRIPTION":"IPHONE 13 PRO MAX","DEAL LOCATION":"","INTERNAL NOTE":"","NAME OF BUYER":"SAMUEL (SLATT)","EXPENSE AMOUNT":"","NAME OF SELLER":"IMOLE","PRODUCT STATUS":"SOLD","STATUS OF DEVICE":"LOCKED","CALCULATED PROFIT":"","EXPENSE DESCRIPTION":"","PHONE NUMBER OF BUYER":"09061496515","AVAILABILITY/DATE SOLD":"2/15/2025","PHONE NUMBER OF SELLER":"08101680421","RECEIPT &amp; EVIDIENCE LINK":""}</t>
  </si>
  <si>
    <t>92e87470b56e4269947556965d767019</t>
  </si>
  <si>
    <t>04bb01d16fa9350a090d7bffdb2962f0da4a7ac6164527d4f29f66da95e08e17</t>
  </si>
  <si>
    <t>RWRGQWTLDQ</t>
  </si>
  <si>
    <t>{"S/N":"103","IMEI":"RWRGQWTLDQ","TIME":"","COLOUR":"BLACK","DEVICE":"IWATCH","STORAGE":"-","Column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DATE":"","RECORD_ID":"92e87470b56e4269947556965d767019","BATTERY. H":"-","CONDITIONS":"","COST PRICE":"","DATE BOUGHT":"2/14/2025","DESCRIPTION":"IWATCH SERIES 7","DEAL LOCATION":"","INTERNAL NOTE":"","NAME OF BUYER":"RUL","EXPENSE AMOUNT":"","NAME OF SELLER":"RUL","PRODUCT STATUS":"SOLD","STATUS OF DEVICE":"UNLOCKED","CALCULATED PROFIT":"","EXPENSE DESCRIPTION":"","PHONE NUMBER OF BUYER":"08153978826","AVAILABILITY/DATE SOLD":"UNLOCKED","PHONE NUMBER OF SELLER":"08153978826","RECEIPT &amp; EVIDIENCE LINK":""}</t>
  </si>
  <si>
    <t>37fd3306bc534879aa751b661a5a1aa6</t>
  </si>
  <si>
    <t>51e041abb6784bcbd7a2a2f908413e0aff99204388e536504c418723f30df399</t>
  </si>
  <si>
    <t>{"S/N":"104","IMEI":"358654496191471","TIME":"","COLOUR":"MIDNIGHT","DEVICE":"IPHONE","STORAGE":"128GB","Column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DATE":"","RECORD_ID":"37fd3306bc534879aa751b661a5a1aa6","BATTERY. H":"93%","CONDITIONS":"","COST PRICE":"","DATE BOUGHT":"1/24/2025","DESCRIPTION":"IPHONE 13","DEAL LOCATION":"","INTERNAL NOTE":"","NAME OF BUYER":"","EXPENSE AMOUNT":"","NAME OF SELLER":"SWEET BOY","PRODUCT STATUS":"SOLD","STATUS OF DEVICE":"LOCKED","CALCULATED PROFIT":"","EXPENSE DESCRIPTION":"","PHONE NUMBER OF BUYER":"","AVAILABILITY/DATE SOLD":"","PHONE NUMBER OF SELLER":"09039519037","RECEIPT &amp; EVIDIENCE LINK":""}</t>
  </si>
  <si>
    <t>e8fc24a850fe47c282be3708e2948765</t>
  </si>
  <si>
    <t>ed54a28d2e6d38160a5aea49349f3380cc91cf7dbea492a822bb8967ee64af9e</t>
  </si>
  <si>
    <t>{"S/N":"105","IMEI":"","TIME":"","COLOUR":"GOLD","DEVICE":"SAMSUNG","STORAGE":"256GB","Column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DATE":"","RECORD_ID":"e8fc24a850fe47c282be3708e2948765","BATTERY. H":"-","CONDITIONS":"","COST PRICE":"","DATE BOUGHT":"1/12/2025","DESCRIPTION":"SAMSUNG GALAXY S21 ULTRA","DEAL LOCATION":"","INTERNAL NOTE":"","NAME OF BUYER":"SAMMY CONCEPT","EXPENSE AMOUNT":"","NAME OF SELLER":"SOMEFUN","PRODUCT STATUS":"SOLD","STATUS OF DEVICE":"UNLOCKED","CALCULATED PROFIT":"","EXPENSE DESCRIPTION":"","PHONE NUMBER OF BUYER":"09037002617","AVAILABILITY/DATE SOLD":"2/26/2025","PHONE NUMBER OF SELLER":"09131148777","RECEIPT &amp; EVIDIENCE LINK":""}</t>
  </si>
  <si>
    <t>eb1a376d8ed449ac8962fde6121e0c0f</t>
  </si>
  <si>
    <t>ae9dca91f41f991b1cf37bb6432a778c9cd839bc43f107d4be0226155b29c9a8</t>
  </si>
  <si>
    <t>ANOITED SHOLLY</t>
  </si>
  <si>
    <t>{"S/N":"106","IMEI":"356416672408935","TIME":"","COLOUR":"SILVER","DEVICE":"IPHONE","STORAGE":"128GB","Column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DATE":"","RECORD_ID":"eb1a376d8ed449ac8962fde6121e0c0f","BATTERY. H":"78 (92%)","CONDITIONS":"850000","COST PRICE":"","DATE BOUGHT":"2/22/2025","DESCRIPTION":"IPHONE 14 PRO PHYSICAL SIM","DEAL LOCATION":"","INTERNAL NOTE":"","NAME OF BUYER":"ANOITED SHOLLY","EXPENSE AMOUNT":"","NAME OF SELLER":"STAR BOX","PRODUCT STATUS":"SOLD","STATUS OF DEVICE":"UNLOCKED","CALCULATED PROFIT":"","EXPENSE DESCRIPTION":"","PHONE NUMBER OF BUYER":"08141834030","AVAILABILITY/DATE SOLD":"3/1/2025","PHONE NUMBER OF SELLER":"09063620334","RECEIPT &amp; EVIDIENCE LINK":""}</t>
  </si>
  <si>
    <t>97550570b8244d0b80a95a720c1ac88d</t>
  </si>
  <si>
    <t>85a2008c34efd8d653411b7d53727ab32dc0f7fb599499cd884464a236fdedcb</t>
  </si>
  <si>
    <t>{"S/N":"107","IMEI":"354700281636768","TIME":"","COLOUR":"GOLD","DEVICE":"IPHONE","STORAGE":"256GB","Column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DATE":"","RECORD_ID":"97550570b8244d0b80a95a720c1ac88d","BATTERY. H":"73(89% DEFAULT)","CONDITIONS":"","COST PRICE":"","DATE BOUGHT":"3/4/2025","DESCRIPTION":"IPHONE 13 PRO","DEAL LOCATION":"","INTERNAL NOTE":"","NAME OF BUYER":"","EXPENSE AMOUNT":"","NAME OF SELLER":"THANKGOD CONCEPT","PRODUCT STATUS":"SOLD","STATUS OF DEVICE":"LOCKED (UNLOCKED)","CALCULATED PROFIT":"","EXPENSE DESCRIPTION":"","PHONE NUMBER OF BUYER":"","AVAILABILITY/DATE SOLD":"","PHONE NUMBER OF SELLER":"09060695934","RECEIPT &amp; EVIDIENCE LINK":"SWAPPED TO GET IPHONE 16"}</t>
  </si>
  <si>
    <t>e1926cbd977c4b9fb84b0ac97550257d</t>
  </si>
  <si>
    <t>72825f6963d02e50fff81122896e602166e5a117e104e98ec54df8d2c4ee3478</t>
  </si>
  <si>
    <t>{"S/N":"108","IMEI":"351935565754696","TIME":"","COLOUR":"BLACK","DEVICE":"IPHONE","STORAGE":"128GB","Column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DATE":"","RECORD_ID":"e1926cbd977c4b9fb84b0ac97550257d","BATTERY. H":"100% (68CC","CONDITIONS":"","COST PRICE":"","DATE BOUGHT":"01/18/2025","DESCRIPTION":"IPHONE 16","DEAL LOCATION":"","INTERNAL NOTE":"","NAME OF BUYER":"DON","EXPENSE AMOUNT":"","NAME OF SELLER":"PANKYGEE","PRODUCT STATUS":"SOLD","STATUS OF DEVICE":"LOCKED","CALCULATED PROFIT":"","EXPENSE DESCRIPTION":"","PHONE NUMBER OF BUYER":"08137676322","AVAILABILITY/DATE SOLD":"790000","PHONE NUMBER OF SELLER":"07052247397","RECEIPT &amp; EVIDIENCE LINK":""}</t>
  </si>
  <si>
    <t>a3686d184e7e488199746043de8724e4</t>
  </si>
  <si>
    <t>fb2901f5b8e400cecd0c95c15a00895bfbc9f7df6e68dabbe2562d285082f349</t>
  </si>
  <si>
    <t>TINA TONYTRENDS</t>
  </si>
  <si>
    <t>{"S/N":"109","IMEI":"359712289582758","TIME":"","COLOUR":"PURPLE","DEVICE":"IPHONE","STORAGE":"128GB","Column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DATE":"","RECORD_ID":"a3686d184e7e488199746043de8724e4","BATTERY. H":"83%","CONDITIONS":"800000","COST PRICE":"","DATE BOUGHT":"3/7/2025","DESCRIPTION":"PHYSICAL SIM ONLY IPHONE 14 PRO","DEAL LOCATION":"","INTERNAL NOTE":"","NAME OF BUYER":"TINA TONYTRENDS","EXPENSE AMOUNT":"","NAME OF SELLER":"STAR BOX","PRODUCT STATUS":"SOLD","STATUS OF DEVICE":"UNLOCKED","CALCULATED PROFIT":"","EXPENSE DESCRIPTION":"","PHONE NUMBER OF BUYER":"09155225979","AVAILABILITY/DATE SOLD":"3/7/2025","PHONE NUMBER OF SELLER":"09063620334","RECEIPT &amp; EVIDIENCE LINK":""}</t>
  </si>
  <si>
    <t>6f5ddd11731a47dc9a1976ce1cbecd0e</t>
  </si>
  <si>
    <t>ccf7bc3365e6e9c252af6c44f1d4f7a529d63bfa7e511b07811f267e9711dc68</t>
  </si>
  <si>
    <t>{"S/N":"110","IMEI":"","TIME":"","COLOUR":"YELLOW","DEVICE":"IPHONE","STORAGE":"64GB","Column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DATE":"","RECORD_ID":"6f5ddd11731a47dc9a1976ce1cbecd0e","BATTERY. H":"75%","CONDITIONS":"","COST PRICE":"","DATE BOUGHT":"","DESCRIPTION":"IPHONE 11","DEAL LOCATION":"","INTERNAL NOTE":"","NAME OF BUYER":"","EXPENSE AMOUNT":"","NAME OF SELLER":"CHIP OWO","PRODUCT STATUS":"SOLD","STATUS OF DEVICE":"","CALCULATED PROFIT":"","EXPENSE DESCRIPTION":"","PHONE NUMBER OF BUYER":"","AVAILABILITY/DATE SOLD":"","PHONE NUMBER OF SELLER":"","RECEIPT &amp; EVIDIENCE LINK":""}</t>
  </si>
  <si>
    <t>7ef3b262f2a045b9ad4b550ae73a9f33</t>
  </si>
  <si>
    <t>eb063c5a2e51216b29fa6ba8e52cfa99f57dcdd0188b578ba126bf458ba5cf5b</t>
  </si>
  <si>
    <t>{"S/N":"111","IMEI":"352013409590939","TIME":"","COLOUR":"PURPLE","DEVICE":"IPHONE","STORAGE":"128GB","Column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DATE":"","RECORD_ID":"7ef3b262f2a045b9ad4b550ae73a9f33","BATTERY. H":"","CONDITIONS":"","COST PRICE":"","DATE BOUGHT":"","DESCRIPTION":"IPHONE 14","DEAL LOCATION":"","INTERNAL NOTE":"","NAME OF BUYER":"","EXPENSE AMOUNT":"","NAME OF SELLER":"","PRODUCT STATUS":"SOLD","STATUS OF DEVICE":"","CALCULATED PROFIT":"","EXPENSE DESCRIPTION":"","PHONE NUMBER OF BUYER":"","AVAILABILITY/DATE SOLD":"","PHONE NUMBER OF SELLER":"","RECEIPT &amp; EVIDIENCE LINK":""}</t>
  </si>
  <si>
    <t>80bbe4558dd44cedb4a2cb32dded2ed2</t>
  </si>
  <si>
    <t>093d5a598f6443aa3ed5dd63c6305ad4e5ee58cb9dd8dd6f32347f72d7c85b9d</t>
  </si>
  <si>
    <t>MARY CLASSICAL</t>
  </si>
  <si>
    <t>{"S/N":"112","IMEI":"352852114462128","TIME":"","COLOUR":"SPACE GREY","DEVICE":"IPHONE","STORAGE":"256GB","Column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DATE":"","RECORD_ID":"80bbe4558dd44cedb4a2cb32dded2ed2","BATTERY. H":"87%","CONDITIONS":"","COST PRICE":"","DATE BOUGHT":"4/28/2025","DESCRIPTION":"IPHONE 11 PRO MAX ","DEAL LOCATION":"","INTERNAL NOTE":"","NAME OF BUYER":"MARY CLASSICAL","EXPENSE AMOUNT":"","NAME OF SELLER":"DENIS4WARD TECHNOLOGY","PRODUCT STATUS":"SOLD","STATUS OF DEVICE":"UNLOCKED","CALCULATED PROFIT":"","EXPENSE DESCRIPTION":"","PHONE NUMBER OF BUYER":"09055257815","AVAILABILITY/DATE SOLD":"4/28/2025","PHONE NUMBER OF SELLER":"08038551439","RECEIPT &amp; EVIDIENCE LINK":""}</t>
  </si>
  <si>
    <t>25ec99c6d6744818b46d80508a939384</t>
  </si>
  <si>
    <t>7794085721f6123f75457330269525babf277c105a5dfc5429ea6f1224412618</t>
  </si>
  <si>
    <t>350319816240535 / 32</t>
  </si>
  <si>
    <t>{"S/N":"113","IMEI":"350319816240535 / 32","TIME":"","COLOUR":"PURPLE","DEVICE":"SAMSUNG","STORAGE":"12|256GB","Column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DATE":"","RECORD_ID":"25ec99c6d6744818b46d80508a939384","BATTERY. H":"-","CONDITIONS":"","COST PRICE":"","DATE BOUGHT":"","DESCRIPTION":"SANSUNG GALAXY S22 ULTRA","DEAL LOCATION":"","INTERNAL NOTE":"","NAME OF BUYER":"","EXPENSE AMOUNT":"","NAME OF SELLER":"","PRODUCT STATUS":"SOLD","STATUS OF DEVICE":"","CALCULATED PROFIT":"","EXPENSE DESCRIPTION":"","PHONE NUMBER OF BUYER":"","AVAILABILITY/DATE SOLD":"","PHONE NUMBER OF SELLER":"","RECEIPT &amp; EVIDIENCE LINK":""}</t>
  </si>
  <si>
    <t>9d3838b60d75452585a5e30c587a6baf</t>
  </si>
  <si>
    <t>d7f2dc554ec3c4f03d5aa22a76c737d5066754e4322bd3bf9faafa63f5195a0b</t>
  </si>
  <si>
    <t>{"S/N":"114","IMEI":"","TIME":"","COLOUR":"GOLD","DEVICE":"IPHONE","STORAGE":"128GB","Column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DATE":"","RECORD_ID":"9d3838b60d75452585a5e30c587a6baf","BATTERY. H":"89%","CONDITIONS":"","COST PRICE":"","DATE BOUGHT":"4/29/2025","DESCRIPTION":"IPHONE 12 PRO ","DEAL LOCATION":"","INTERNAL NOTE":"","NAME OF BUYER":"MARY CLASSICAL","EXPENSE AMOUNT":"","NAME OF SELLER":"WIZZY KAYWIZE","PRODUCT STATUS":"SOLD","STATUS OF DEVICE":"UNLOCKED","CALCULATED PROFIT":"","EXPENSE DESCRIPTION":"","PHONE NUMBER OF BUYER":"09055257815","AVAILABILITY/DATE SOLD":"","PHONE NUMBER OF SELLER":"08108686713","RECEIPT &amp; EVIDIENCE LINK":""}</t>
  </si>
  <si>
    <t>7f5e6094ffef44daae1778f539608de3</t>
  </si>
  <si>
    <t>a283fc5b5b9845378b655deb78d9cf5433dc0084b09c5e5b3b4837b281b0650b</t>
  </si>
  <si>
    <t>{"S/N":"115","IMEI":"356435109043370","TIME":"","COLOUR":"WHITE","DEVICE":"IPHONE","STORAGE":"64GB","Column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DATE":"","RECORD_ID":"7f5e6094ffef44daae1778f539608de3","BATTERY. H":"80%","CONDITIONS":"","COST PRICE":"","DATE BOUGHT":"4/28/2025","DESCRIPTION":"IPHONE XR","DEAL LOCATION":"","INTERNAL NOTE":"","NAME OF BUYER":"DREY","EXPENSE AMOUNT":"","NAME OF SELLER":"OZ GADGET","PRODUCT STATUS":"SOLD","STATUS OF DEVICE":"UNLOCKED","CALCULATED PROFIT":"","EXPENSE DESCRIPTION":"","PHONE NUMBER OF BUYER":"09135770042","AVAILABILITY/DATE SOLD":"4/30/2025","PHONE NUMBER OF SELLER":"","RECEIPT &amp; EVIDIENCE LINK":""}</t>
  </si>
  <si>
    <t>0921e3d1211344198c04d36c772e0173</t>
  </si>
  <si>
    <t>47f19afcbf9de5ea343224c6c0069ef4bd535bdb797ded42d327eadcc4b54eec</t>
  </si>
  <si>
    <t>BIG STEVE POOL</t>
  </si>
  <si>
    <t>{"S/N":"116","IMEI":"352868110732629","TIME":"","COLOUR":"SPACE GREY","DEVICE":"IPHONE","STORAGE":"64GB","Column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DATE":"","RECORD_ID":"0921e3d1211344198c04d36c772e0173","BATTERY. H":"92%","CONDITIONS":"400000","COST PRICE":"","DATE BOUGHT":"5/1/2025","DESCRIPTION":"IPHONE 11 PRO MAX ","DEAL LOCATION":"","INTERNAL NOTE":"","NAME OF BUYER":"BIG STEVE POOL","EXPENSE AMOUNT":"","NAME OF SELLER":"DON","PRODUCT STATUS":"SOLD","STATUS OF DEVICE":"UNLOCKED","CALCULATED PROFIT":"","EXPENSE DESCRIPTION":"","PHONE NUMBER OF BUYER":"08144131893","AVAILABILITY/DATE SOLD":"5/1/2025","PHONE NUMBER OF SELLER":"08137676322","RECEIPT &amp; EVIDIENCE LINK":""}</t>
  </si>
  <si>
    <t>b5394e7acac842fb9a7d1eb7bb01e216</t>
  </si>
  <si>
    <t>ebcac9991575c61c13e28a86e81027bb682d9dced15b1607a08ee43524f91f6a</t>
  </si>
  <si>
    <t>{"S/N":"117","IMEI":"355818457808349","TIME":"","COLOUR":"BLUE","DEVICE":"IPHONE","STORAGE":"128GB","Column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DATE":"","RECORD_ID":"b5394e7acac842fb9a7d1eb7bb01e216","BATTERY. H":"90%","CONDITIONS":"450000","COST PRICE":"","DATE BOUGHT":"5/1/2025","DESCRIPTION":"iPHONE 13","DEAL LOCATION":"","INTERNAL NOTE":"","NAME OF BUYER":"MARY CLASSICAL","EXPENSE AMOUNT":"","NAME OF SELLER":"THANK GOD","PRODUCT STATUS":"SOLD","STATUS OF DEVICE":"UNLOCKED","CALCULATED PROFIT":"","EXPENSE DESCRIPTION":"","PHONE NUMBER OF BUYER":"09055257815","AVAILABILITY/DATE SOLD":"5/1/2025","PHONE NUMBER OF SELLER":"08144131893","RECEIPT &amp; EVIDIENCE LINK":""}</t>
  </si>
  <si>
    <t>73a2d1934c684e1b80dc71caaad8a9b4</t>
  </si>
  <si>
    <t>f67260ffa81812126933bb8849c1d85754468b46f8c232ac12a2baef80b61ddf</t>
  </si>
  <si>
    <t>{"S/N":"118","IMEI":"359272539676876","TIME":"","COLOUR":"ALPINE GREEN","DEVICE":"IPHONE","STORAGE":"128GB","Column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DATE":"","RECORD_ID":"73a2d1934c684e1b80dc71caaad8a9b4","BATTERY. H":"81%","CONDITIONS":"","COST PRICE":"","DATE BOUGHT":"5/1/2025","DESCRIPTION":"IPHONE 13 PRO MAX","DEAL LOCATION":"","INTERNAL NOTE":"","NAME OF BUYER":"","EXPENSE AMOUNT":"","NAME OF SELLER":"OLUWASEUN","PRODUCT STATUS":"SOLD","STATUS OF DEVICE":"UNLOCKED","CALCULATED PROFIT":"","EXPENSE DESCRIPTION":"","PHONE NUMBER OF BUYER":"","AVAILABILITY/DATE SOLD":"","PHONE NUMBER OF SELLER":"08064943264","RECEIPT &amp; EVIDIENCE LINK":""}</t>
  </si>
  <si>
    <t>8d2fe049b9ba476d97e296d326469b7f</t>
  </si>
  <si>
    <t>8280e986e73c38216a6a97b37cac993eb26e45f5c63d2accb3c92e9de6840871</t>
  </si>
  <si>
    <t>{"S/N":"119","IMEI":"357650616407079","TIME":"","COLOUR":"BLACK (CHANGED)","DEVICE":"IPHONE","STORAGE":"128GB","Column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DATE":"","RECORD_ID":"8d2fe049b9ba476d97e296d326469b7f","BATTERY. H":"82%","CONDITIONS":"","COST PRICE":"","DATE BOUGHT":"5/2/2025","DESCRIPTION":"IPHONE 14 PRO MAX ","DEAL LOCATION":"","INTERNAL NOTE":"","NAME OF BUYER":"MASTERY MOBILE","EXPENSE AMOUNT":"","NAME OF SELLER":"TUNARO ","PRODUCT STATUS":"SOLD","STATUS OF DEVICE":"UNLOCKED","CALCULATED PROFIT":"","EXPENSE DESCRIPTION":"","PHONE NUMBER OF BUYER":"08027964718","AVAILABILITY/DATE SOLD":"5/3/2025","PHONE NUMBER OF SELLER":"09038269473","RECEIPT &amp; EVIDIENCE LINK":""}</t>
  </si>
  <si>
    <t>46b6c51e6a214db985733bdd7876a4b0</t>
  </si>
  <si>
    <t>13a67051252dd0120393870d961137fc64b86413d71e57f5a796a78530a04a39</t>
  </si>
  <si>
    <t>SEBASTINE</t>
  </si>
  <si>
    <t>{"S/N":"120","IMEI":"355822262475625","TIME":"","COLOUR":"WHITE","DEVICE":"IPHONE","STORAGE":"128GB","Column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DATE":"","RECORD_ID":"46b6c51e6a214db985733bdd7876a4b0","BATTERY. H":"86%","CONDITIONS":"SWAPPED WITH 12 PM","COST PRICE":"","DATE BOUGHT":"5/3/2025","DESCRIPTION":"IPHONE 14 PRO MAX ","DEAL LOCATION":"","INTERNAL NOTE":"","NAME OF BUYER":"SEBASTINE","EXPENSE AMOUNT":"","NAME OF SELLER":"HAYKINZ TECH","PRODUCT STATUS":"SOLD","STATUS OF DEVICE":"UNLOCKED","CALCULATED PROFIT":"","EXPENSE DESCRIPTION":"","PHONE NUMBER OF BUYER":"0703 206 9012","AVAILABILITY/DATE SOLD":"5/3/2025","PHONE NUMBER OF SELLER":"07030279101","RECEIPT &amp; EVIDIENCE LINK":""}</t>
  </si>
  <si>
    <t>65fdbb8f220245708477cfd8aa260cd7</t>
  </si>
  <si>
    <t>e1058b3077cb3ba6fbe31e9968199f85f219eed390727fa7cd868822d3825956</t>
  </si>
  <si>
    <t>{"S/N":"121","IMEI":"353776394055543","TIME":"","COLOUR":"GOLD","DEVICE":"IPHONE","STORAGE":"128GB","Column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DATE":"","RECORD_ID":"65fdbb8f220245708477cfd8aa260cd7","BATTERY. H":"78%","CONDITIONS":"","COST PRICE":"","DATE BOUGHT":"5/3/2025","DESCRIPTION":"IPHONE 12 PRO MAXX","DEAL LOCATION":"","INTERNAL NOTE":"","NAME OF BUYER":"THANKGOD CONCEPT","EXPENSE AMOUNT":"","NAME OF SELLER":"SEBASTINE","PRODUCT STATUS":"SOLD","STATUS OF DEVICE":"UNLOCKED","CALCULATED PROFIT":"","EXPENSE DESCRIPTION":"","PHONE NUMBER OF BUYER":"09060695934","AVAILABILITY/DATE SOLD":"","PHONE NUMBER OF SELLER":"0703 206 9012","RECEIPT &amp; EVIDIENCE LINK":""}</t>
  </si>
  <si>
    <t>e99a933a3c3649da8e48aa4e44b383a2</t>
  </si>
  <si>
    <t>95225e88cfa0798ad41a24cba82603426b11f3d2de486561f9505e3f4bec6474</t>
  </si>
  <si>
    <t>JAMEX GADGETS</t>
  </si>
  <si>
    <t>{"S/N":"122","IMEI":"353427810573368","TIME":"","COLOUR":"WHITE","DEVICE":"IPHONE","STORAGE":"128GB","Column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DATE":"","RECORD_ID":"e99a933a3c3649da8e48aa4e44b383a2","BATTERY. H":"87%","CONDITIONS":"630000","COST PRICE":"","DATE BOUGHT":"5/3/2025","DESCRIPTION":"IPHONE 14 PRO MAX ","DEAL LOCATION":"","INTERNAL NOTE":"","NAME OF BUYER":"JAMEX GADGETS","EXPENSE AMOUNT":"","NAME OF SELLER":"AFRIKA","PRODUCT STATUS":"SOLD","STATUS OF DEVICE":"UNLOCKED","CALCULATED PROFIT":"","EXPENSE DESCRIPTION":"","PHONE NUMBER OF BUYER":"07033260364","AVAILABILITY/DATE SOLD":"5/10/2025","PHONE NUMBER OF SELLER":"09032711183","RECEIPT &amp; EVIDIENCE LINK":""}</t>
  </si>
  <si>
    <t>fd52e074c71d4602803a5a570dab2872</t>
  </si>
  <si>
    <t>c76bf7d7bddc759b3cf8f16214974b0d3e6570fe7946ab4a753ed938255487a6</t>
  </si>
  <si>
    <t>{"S/N":"123","IMEI":"352156544136298","TIME":"","COLOUR":"BLACK TITANIUM","DEVICE":"IPHONE","STORAGE":"128GB","Column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DATE":"","RECORD_ID":"fd52e074c71d4602803a5a570dab2872","BATTERY. H":"86%","CONDITIONS":"","COST PRICE":"","DATE BOUGHT":"5/9/2025","DESCRIPTION":"IPHONE 15","DEAL LOCATION":"","INTERNAL NOTE":"","NAME OF BUYER":"OG SCOTT","EXPENSE AMOUNT":"","NAME OF SELLER":"SAMMY CONCEPT","PRODUCT STATUS":"SOLD","STATUS OF DEVICE":"UNLOCKED","CALCULATED PROFIT":"","EXPENSE DESCRIPTION":"","PHONE NUMBER OF BUYER":"08140980933","AVAILABILITY/DATE SOLD":"5/9/2025","PHONE NUMBER OF SELLER":"0903 700 2617","RECEIPT &amp; EVIDIENCE LINK":""}</t>
  </si>
  <si>
    <t>021a5cf04ffb4e748b7e626fe3d00fba</t>
  </si>
  <si>
    <t>3130b066ca185baa6ac9f8752766a09f08ba8c0e645eb5e4a14b806a9e34d244</t>
  </si>
  <si>
    <t>{"S/N":"124","IMEI":"359843525872909","TIME":"","COLOUR":"BLUE","DEVICE":"IPHONE","STORAGE":"256GB","Column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DATE":"","RECORD_ID":"021a5cf04ffb4e748b7e626fe3d00fba","BATTERY. H":"83%","CONDITIONS":"","COST PRICE":"","DATE BOUGHT":"5/9/2025","DESCRIPTION":"IPHONE 14","DEAL LOCATION":"","INTERNAL NOTE":"","NAME OF BUYER":"DEMIGLOBAL MULTISERVICE","EXPENSE AMOUNT":"","NAME OF SELLER":"OG SCOTT","PRODUCT STATUS":"SOLD","STATUS OF DEVICE":"LOCKED","CALCULATED PROFIT":"","EXPENSE DESCRIPTION":"","PHONE NUMBER OF BUYER":"09066720385","AVAILABILITY/DATE SOLD":"","PHONE NUMBER OF SELLER":"08140980933","RECEIPT &amp; EVIDIENCE LINK":""}</t>
  </si>
  <si>
    <t>7d1c070482f64586adf7e177d735ebd1</t>
  </si>
  <si>
    <t>11b548411672eeaf98af40b2b2ecccafb4a79171a24b2399aa7b34b5a5036d29</t>
  </si>
  <si>
    <t>{"S/N":"125","IMEI":"357397892096180","TIME":"","COLOUR":"BLACK TITANIUM","DEVICE":"IPHONE","STORAGE":"128GB","Column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DATE":"","RECORD_ID":"7d1c070482f64586adf7e177d735ebd1","BATTERY. H":"100%","CONDITIONS":"","COST PRICE":"","DATE BOUGHT":"","DESCRIPTION":"IPHONE 15","DEAL LOCATION":"","INTERNAL NOTE":"","NAME OF BUYER":"","EXPENSE AMOUNT":"","NAME OF SELLER":"","PRODUCT STATUS":"SOLD","STATUS OF DEVICE":"","CALCULATED PROFIT":"","EXPENSE DESCRIPTION":"","PHONE NUMBER OF BUYER":"","AVAILABILITY/DATE SOLD":"","PHONE NUMBER OF SELLER":"","RECEIPT &amp; EVIDIENCE LINK":""}</t>
  </si>
  <si>
    <t>f0c324489f734a9682a6859b10a2353c</t>
  </si>
  <si>
    <t>d7bd40daee2e560ffad8f512a8b81d8bbd86bd07eb9375cc58baaccf3f61e81a</t>
  </si>
  <si>
    <t>{"S/N":"126","IMEI":"357397892096180","TIME":"","COLOUR":"BLACK TITANIUM","DEVICE":"IPHONE","STORAGE":"128GB","Column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DATE":"","RECORD_ID":"f0c324489f734a9682a6859b10a2353c","BATTERY. H":"100%","CONDITIONS":"","COST PRICE":"","DATE BOUGHT":"5/9/2025","DESCRIPTION":"IPHONE 15","DEAL LOCATION":"","INTERNAL NOTE":"","NAME OF BUYER":"","EXPENSE AMOUNT":"","NAME OF SELLER":"OZ GADGET","PRODUCT STATUS":"SOLD","STATUS OF DEVICE":"LOCKED","CALCULATED PROFIT":"","EXPENSE DESCRIPTION":"","PHONE NUMBER OF BUYER":"","AVAILABILITY/DATE SOLD":"","PHONE NUMBER OF SELLER":"08106293924","RECEIPT &amp; EVIDIENCE LINK":""}</t>
  </si>
  <si>
    <t>3632ebabd6b24952b392f5999b598dbe</t>
  </si>
  <si>
    <t>623d2a6accf40b73499fe7dd81bc945f63beed3bd51331e43400ee079f3f9af6</t>
  </si>
  <si>
    <t>{"S/N":"127","IMEI":"351183327071659","TIME":"","COLOUR":"WHITE","DEVICE":"IPHONE","STORAGE":"64GB","Column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DATE":"","RECORD_ID":"3632ebabd6b24952b392f5999b598dbe","BATTERY. H":"78%(89%)","CONDITIONS":"320000","COST PRICE":"","DATE BOUGHT":"5/10/2025","DESCRIPTION":"IPHONE 12","DEAL LOCATION":"","INTERNAL NOTE":"","NAME OF BUYER":"BAHMS","EXPENSE AMOUNT":"","NAME OF SELLER":"OLUWASEUN","PRODUCT STATUS":"SOLD","STATUS OF DEVICE":"UNLOCKED","CALCULATED PROFIT":"","EXPENSE DESCRIPTION":"","PHONE NUMBER OF BUYER":"09069477050","AVAILABILITY/DATE SOLD":"5/13/2025","PHONE NUMBER OF SELLER":"09077081894","RECEIPT &amp; EVIDIENCE LINK":""}</t>
  </si>
  <si>
    <t>2b5594111ec642d0afa661a41c8b98d4</t>
  </si>
  <si>
    <t>075ec337c88d8d2452c438f360a69e7779073f3f9a97e25052900e3da9f46f98</t>
  </si>
  <si>
    <t>DAVID</t>
  </si>
  <si>
    <t>{"S/N":"128","IMEI":"354387358117250","TIME":"","COLOUR":"PINK","DEVICE":"IPHONE","STORAGE":"128GB","Column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DATE":"","RECORD_ID":"2b5594111ec642d0afa661a41c8b98d4","BATTERY. H":"99%","CONDITIONS":"","COST PRICE":"","DATE BOUGHT":"5/13/2025","DESCRIPTION":"IPHONW 15 PLUS","DEAL LOCATION":"","INTERNAL NOTE":"","NAME OF BUYER":"DAVID","EXPENSE AMOUNT":"","NAME OF SELLER":"DENIS4WARD TECHNOLOGY","PRODUCT STATUS":"SOLD","STATUS OF DEVICE":"UNLOCKED","CALCULATED PROFIT":"","EXPENSE DESCRIPTION":"","PHONE NUMBER OF BUYER":"09167226596","AVAILABILITY/DATE SOLD":"5/13/2025","PHONE NUMBER OF SELLER":"08038551439","RECEIPT &amp; EVIDIENCE LINK":""}</t>
  </si>
  <si>
    <t>b63526b746a14fc8881953b049363c20</t>
  </si>
  <si>
    <t>52ebd885a23d8ed35b973770f32b5ba5a0b8c81ffb7835467cb3ec1be6f39f09</t>
  </si>
  <si>
    <t>{"S/N":"129","IMEI":"357879430898516","TIME":"","COLOUR":"GOLD","DEVICE":"IPHONE","STORAGE":"128GB","Column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DATE":"","RECORD_ID":"b63526b746a14fc8881953b049363c20","BATTERY. H":"87%","CONDITIONS":"","COST PRICE":"","DATE BOUGHT":"5/15/2025","DESCRIPTION":"IPHONE 14 PRO MAX ","DEAL LOCATION":"","INTERNAL NOTE":"","NAME OF BUYER":"BROOKS","EXPENSE AMOUNT":"","NAME OF SELLER":"DAVID","PRODUCT STATUS":"SOLD","STATUS OF DEVICE":"PHYSICAL UNLOCKED","CALCULATED PROFIT":"","EXPENSE DESCRIPTION":"","PHONE NUMBER OF BUYER":"08136762183","AVAILABILITY/DATE SOLD":"","PHONE NUMBER OF SELLER":"09167226596","RECEIPT &amp; EVIDIENCE LINK":""}</t>
  </si>
  <si>
    <t>0905a3002afc4415836657128b447619</t>
  </si>
  <si>
    <t>41c01030dcd2aa689325dcbc420b3fefa07365b72404c26736be00e96a47457d</t>
  </si>
  <si>
    <t>{"S/N":"130","IMEI":"353115827426841","TIME":"","COLOUR":"PURPLE","DEVICE":"IPHONE","STORAGE":"256GB","Column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DATE":"","RECORD_ID":"0905a3002afc4415836657128b447619","BATTERY. H":"100(REPLACED)","CONDITIONS":"","COST PRICE":"","DATE BOUGHT":"5/15/2025","DESCRIPTION":"IPHONE 14 PRO","DEAL LOCATION":"","INTERNAL NOTE":"","NAME OF BUYER":"","EXPENSE AMOUNT":"","NAME OF SELLER":"OLA","PRODUCT STATUS":"SOLD","STATUS OF DEVICE":"LOCKED","CALCULATED PROFIT":"","EXPENSE DESCRIPTION":"","PHONE NUMBER OF BUYER":"","AVAILABILITY/DATE SOLD":"","PHONE NUMBER OF SELLER":"07079248521","RECEIPT &amp; EVIDIENCE LINK":""}</t>
  </si>
  <si>
    <t>e727bd648d9b49e4afe7732a36f12357</t>
  </si>
  <si>
    <t>da5e4e03841a6051fbd82bd33693609d38b14c8d3e06c2a0644dafe2c7443058</t>
  </si>
  <si>
    <t>{"S/N":"131","IMEI":"350168504403685","TIME":"","COLOUR":"BLACK TITANIUM","DEVICE":"IPHONE","STORAGE":"128GB","Column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DATE":"","RECORD_ID":"e727bd648d9b49e4afe7732a36f12357","BATTERY. H":"100","CONDITIONS":"SWAPPED WITH 14 PRO","COST PRICE":"","DATE BOUGHT":"5/15/2025","DESCRIPTION":"IPHONE 15","DEAL LOCATION":"","INTERNAL NOTE":"","NAME OF BUYER":"OLA","EXPENSE AMOUNT":"","NAME OF SELLER":"OZ GADGET","PRODUCT STATUS":"SOLD","STATUS OF DEVICE":"LOCKED","CALCULATED PROFIT":"","EXPENSE DESCRIPTION":"","PHONE NUMBER OF BUYER":"07079248521","AVAILABILITY/DATE SOLD":"5/15/2025","PHONE NUMBER OF SELLER":"08106293924","RECEIPT &amp; EVIDIENCE LINK":""}</t>
  </si>
  <si>
    <t>48226c0f7b21421abd0ae251b35d4f2a</t>
  </si>
  <si>
    <t>49c90d27993f5dd16d63beb389a1b22313973255c7acd82e57e80fcf915de69c</t>
  </si>
  <si>
    <t>{"S/N":"132","IMEI":"359164493487400","TIME":"","COLOUR":"TEAL (P + E)","DEVICE":"IPHONE","STORAGE":"128GB","Column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DATE":"","RECORD_ID":"48226c0f7b21421abd0ae251b35d4f2a","BATTERY. H":"100%","CONDITIONS":"SWAPPED WITH 15","COST PRICE":"","DATE BOUGHT":"5/16/2025","DESCRIPTION":"IPHONE 16","DEAL LOCATION":"","INTERNAL NOTE":"","NAME OF BUYER":"OG SCOTT","EXPENSE AMOUNT":"","NAME OF SELLER":"HOLLAR GADGET","PRODUCT STATUS":"SOLD","STATUS OF DEVICE":"UNLOCKED","CALCULATED PROFIT":"","EXPENSE DESCRIPTION":"","PHONE NUMBER OF BUYER":"08140980933","AVAILABILITY/DATE SOLD":"5/16/2025","PHONE NUMBER OF SELLER":"07067100970","RECEIPT &amp; EVIDIENCE LINK":""}</t>
  </si>
  <si>
    <t>d06f469969de49569ae1418d3de0af64</t>
  </si>
  <si>
    <t>d0214b6244bceb02a437f4982495343a3135d57d23753f12a369b1f157c775c1</t>
  </si>
  <si>
    <t>MULLER GADGET</t>
  </si>
  <si>
    <t>{"S/N":"133","IMEI":"352156544136298","TIME":"","COLOUR":"BLACK TITANIUM","DEVICE":"IPHONE","STORAGE":"128GB","Column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DATE":"","RECORD_ID":"d06f469969de49569ae1418d3de0af64","BATTERY. H":"86%","CONDITIONS":"","COST PRICE":"","DATE BOUGHT":"5/16/2025","DESCRIPTION":"IPHONE 15","DEAL LOCATION":"","INTERNAL NOTE":"","NAME OF BUYER":"MULLER GADGET","EXPENSE AMOUNT":"","NAME OF SELLER":"OG SCOTT","PRODUCT STATUS":"SOLD","STATUS OF DEVICE":"UNLOCKED","CALCULATED PROFIT":"","EXPENSE DESCRIPTION":"","PHONE NUMBER OF BUYER":"08165523297","AVAILABILITY/DATE SOLD":"5/22/2025","PHONE NUMBER OF SELLER":"08140980933","RECEIPT &amp; EVIDIENCE LINK":""}</t>
  </si>
  <si>
    <t>13f2a5fccb3040d0a222534e85160b0a</t>
  </si>
  <si>
    <t>804a9290ccd538c79b98dc4b33fdb1a41d4f22f5c98e3c4484a85637b4fa9045</t>
  </si>
  <si>
    <t>I-GEE</t>
  </si>
  <si>
    <t>{"S/N":"134","IMEI":"356682116348033","TIME":"","COLOUR":"PACIFIC BLUE","DEVICE":"IPHONE","STORAGE":"128GB","Column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DATE":"","RECORD_ID":"13f2a5fccb3040d0a222534e85160b0a","BATTERY. H":"78 (90)","CONDITIONS":"","COST PRICE":"","DATE BOUGHT":"5/16/2025","DESCRIPTION":"IPHONE 12 PRO","DEAL LOCATION":"","INTERNAL NOTE":"","NAME OF BUYER":"I-GEE","EXPENSE AMOUNT":"","NAME OF SELLER":"SAMMY CONCEPT","PRODUCT STATUS":"SOLD","STATUS OF DEVICE":"LOCKED (UNLOCKED)","CALCULATED PROFIT":"","EXPENSE DESCRIPTION":"","PHONE NUMBER OF BUYER":"07071736488","AVAILABILITY/DATE SOLD":"6/9/2025","PHONE NUMBER OF SELLER":"0903 700 2617","RECEIPT &amp; EVIDIENCE LINK":""}</t>
  </si>
  <si>
    <t>380292520d2847b9811706df1758368e</t>
  </si>
  <si>
    <t>1a30b3153cbde69b52686dfb18c13dec02301f9f6bf9297789f257a6d5c62492</t>
  </si>
  <si>
    <t>IBRAHIM ABDULAZEEZ</t>
  </si>
  <si>
    <t>{"S/N":"135","IMEI":"354068587703306","TIME":"","COLOUR":"NATURAL TITANIUM","DEVICE":"IPHONE","STORAGE":"256GB","Column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DATE":"","RECORD_ID":"380292520d2847b9811706df1758368e","BATTERY. H":"96%","CONDITIONS":"PAID 810K","COST PRICE":"","DATE BOUGHT":"5/16/2025","DESCRIPTION":"IPHONE 15 PRO MAX","DEAL LOCATION":"","INTERNAL NOTE":"","NAME OF BUYER":"IBRAHIM ABDULAZEEZ","EXPENSE AMOUNT":"","NAME OF SELLER":"DENIS4WARD TECHNOLOGY","PRODUCT STATUS":"SOLD","STATUS OF DEVICE":"LOCKED","CALCULATED PROFIT":"","EXPENSE DESCRIPTION":"","PHONE NUMBER OF BUYER":"09020449747","AVAILABILITY/DATE SOLD":"5/16/2025","PHONE NUMBER OF SELLER":"08038551439","RECEIPT &amp; EVIDIENCE LINK":""}</t>
  </si>
  <si>
    <t>363b8bbe740048838650aad11ecd44af</t>
  </si>
  <si>
    <t>e7b08a7a4876e746faa62a164ae556028b0dd05945a89d1c2343906d16d52c6d</t>
  </si>
  <si>
    <t>{"S/N":"136","IMEI":"353974642335037","TIME":"","COLOUR":"WHITE","DEVICE":"IPHONE","STORAGE":"64GB","Column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DATE":"","RECORD_ID":"363b8bbe740048838650aad11ecd44af","BATTERY. H":"85%","CONDITIONS":"","COST PRICE":"","DATE BOUGHT":"5/21/2025","DESCRIPTION":"IPHONE 11","DEAL LOCATION":"","INTERNAL NOTE":"","NAME OF BUYER":"ZEE TECH","EXPENSE AMOUNT":"","NAME OF SELLER":"FLOBOY","PRODUCT STATUS":"SOLD","STATUS OF DEVICE":"UNLOCKED","CALCULATED PROFIT":"","EXPENSE DESCRIPTION":"","PHONE NUMBER OF BUYER":"09033724061","AVAILABILITY/DATE SOLD":"5/22/2025","PHONE NUMBER OF SELLER":"08166507239","RECEIPT &amp; EVIDIENCE LINK":""}</t>
  </si>
  <si>
    <t>86e50ed6a7f84fb9bb27df0bee2d574a</t>
  </si>
  <si>
    <t>e87f0fb1292900be240b09aeff905ca362a98f69bfc03e2bb1a5db532381bbca</t>
  </si>
  <si>
    <t>ALEX GADGETS</t>
  </si>
  <si>
    <t>{"S/N":"137","IMEI":"358197540742717","TIME":"","COLOUR":"BLUE TITANIUM","DEVICE":"IPHONE","STORAGE":"128GB","Column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DATE":"","RECORD_ID":"86e50ed6a7f84fb9bb27df0bee2d574a","BATTERY. H":"89%","CONDITIONS":"","COST PRICE":"","DATE BOUGHT":"6/6/2025","DESCRIPTION":"IPHONE 15 PRO","DEAL LOCATION":"","INTERNAL NOTE":"","NAME OF BUYER":"ALEX GADGETS","EXPENSE AMOUNT":"","NAME OF SELLER":"PHLEMZY","PRODUCT STATUS":"SOLD","STATUS OF DEVICE":"UNLOCKED","CALCULATED PROFIT":"","EXPENSE DESCRIPTION":"","PHONE NUMBER OF BUYER":"07025451690","AVAILABILITY/DATE SOLD":"6/6/2025","PHONE NUMBER OF SELLER":"09065642565","RECEIPT &amp; EVIDIENCE LINK":""}</t>
  </si>
  <si>
    <t>f3c021920b8a495783fe17faa18f9c1a</t>
  </si>
  <si>
    <t>6420eeac233dd9831a08a6576d14b46d69fbb732428470d92707cfaf24e6c8e2</t>
  </si>
  <si>
    <t>{"S/N":"138","IMEI":"354178504848967","TIME":"","COLOUR":"TEAL (P + E)","DEVICE":"IPHONE","STORAGE":"128GB","Column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DATE":"","RECORD_ID":"f3c021920b8a495783fe17faa18f9c1a","BATTERY. H":"100%","CONDITIONS":"","COST PRICE":"","DATE BOUGHT":"5/22/2025","DESCRIPTION":"IPHONE 16","DEAL LOCATION":"","INTERNAL NOTE":"","NAME OF BUYER":"IA GADGET","EXPENSE AMOUNT":"","NAME OF SELLER":"OZ GADGET","PRODUCT STATUS":"SOLD","STATUS OF DEVICE":"ESIM UNLOCKED","CALCULATED PROFIT":"","EXPENSE DESCRIPTION":"","PHONE NUMBER OF BUYER":"07053496009","AVAILABILITY/DATE SOLD":"5/27/2025","PHONE NUMBER OF SELLER":"08106293924","RECEIPT &amp; EVIDIENCE LINK":""}</t>
  </si>
  <si>
    <t>d7144f6783604d1d95f36cf582597b6b</t>
  </si>
  <si>
    <t>7b69fe04936009da5f098d21931f2b666f9b01ee595b7a3cc5f02d7d5c51364b</t>
  </si>
  <si>
    <t>{"S/N":"139","IMEI":"353257395947764","TIME":"","COLOUR":"RED","DEVICE":"IPHONE","STORAGE":"128GB","Column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DATE":"","RECORD_ID":"d7144f6783604d1d95f36cf582597b6b","BATTERY. H":"92%","CONDITIONS":"","COST PRICE":"","DATE BOUGHT":"5/22/2025","DESCRIPTION":"IPHONE 13","DEAL LOCATION":"","INTERNAL NOTE":"","NAME OF BUYER":"","EXPENSE AMOUNT":"","NAME OF SELLER":"DENIS4WARD TECHNOLOGY","PRODUCT STATUS":"SOLD","STATUS OF DEVICE":"UNLOCKED","CALCULATED PROFIT":"","EXPENSE DESCRIPTION":"","PHONE NUMBER OF BUYER":"","AVAILABILITY/DATE SOLD":"","PHONE NUMBER OF SELLER":"08038551439","RECEIPT &amp; EVIDIENCE LINK":""}</t>
  </si>
  <si>
    <t>db4f89a7830c40cbb0c8d64b6932e04d</t>
  </si>
  <si>
    <t>ab6a27fe37475cfbfb657ea5592d5df5e586455125ce71e1c90170b245b0b74b</t>
  </si>
  <si>
    <t>ANDROPOD</t>
  </si>
  <si>
    <t>{"S/N":"140","IMEI":"353038118080608","TIME":"","COLOUR":"GREEN","DEVICE":"IPHONE","STORAGE":"64GB","Column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DATE":"","RECORD_ID":"db4f89a7830c40cbb0c8d64b6932e04d","BATTERY. H":"77%","CONDITIONS":"","COST PRICE":"","DATE BOUGHT":"5/22/2025","DESCRIPTION":"IPHONE 12","DEAL LOCATION":"","INTERNAL NOTE":"","NAME OF BUYER":"ANDROPOD","EXPENSE AMOUNT":"","NAME OF SELLER":"AZIMUTHAL","PRODUCT STATUS":"SOLD","STATUS OF DEVICE":"UNLOCKED","CALCULATED PROFIT":"","EXPENSE DESCRIPTION":"","PHONE NUMBER OF BUYER":"08067961239","AVAILABILITY/DATE SOLD":"6/5/2025","PHONE NUMBER OF SELLER":"08135459717","RECEIPT &amp; EVIDIENCE LINK":""}</t>
  </si>
  <si>
    <t>7612b36f580147d3bcc62d7183887725</t>
  </si>
  <si>
    <t>7259f89d78bc5f4832cbd9a83a67889ed0db388446683efffe25615f8640b4e4</t>
  </si>
  <si>
    <t>{"S/N":"141","IMEI":"354703754987007","TIME":"","COLOUR":"SILVER","DEVICE":"IPHONE","STORAGE":"128GB","Column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DATE":"","RECORD_ID":"7612b36f580147d3bcc62d7183887725","BATTERY. H":"88%","CONDITIONS":"","COST PRICE":"","DATE BOUGHT":"5/22/2025","DESCRIPTION":"IPHONE 12 PRO MAX","DEAL LOCATION":"","INTERNAL NOTE":"","NAME OF BUYER":"","EXPENSE AMOUNT":"","NAME OF SELLER":"OZ GADGET","PRODUCT STATUS":"SOLD","STATUS OF DEVICE":"UNLOCKED","CALCULATED PROFIT":"","EXPENSE DESCRIPTION":"","PHONE NUMBER OF BUYER":"","AVAILABILITY/DATE SOLD":"","PHONE NUMBER OF SELLER":"08106293924","RECEIPT &amp; EVIDIENCE LINK":""}</t>
  </si>
  <si>
    <t>566a7fcee3394a818f249577f2324729</t>
  </si>
  <si>
    <t>f0ba69339273d329e4b65b05c559068774fba769bde3cba73e46ba8d903fd37d</t>
  </si>
  <si>
    <t>{"S/N":"142","IMEI":"350168506619106","TIME":"","COLOUR":"BLACK","DEVICE":"IPHONE","STORAGE":"128GB","Column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DATE":"","RECORD_ID":"566a7fcee3394a818f249577f2324729","BATTERY. H":"100%","CONDITIONS":"","COST PRICE":"","DATE BOUGHT":"5/23/2025","DESCRIPTION":"IPHONE 15","DEAL LOCATION":"","INTERNAL NOTE":"","NAME OF BUYER":"","EXPENSE AMOUNT":"","NAME OF SELLER":"OZ GADGET","PRODUCT STATUS":"SOLD","STATUS OF DEVICE":"LOCKED","CALCULATED PROFIT":"","EXPENSE DESCRIPTION":"","PHONE NUMBER OF BUYER":"","AVAILABILITY/DATE SOLD":"","PHONE NUMBER OF SELLER":"08106293924","RECEIPT &amp; EVIDIENCE LINK":""}</t>
  </si>
  <si>
    <t>f57584d24f8a467d89c0f05618a99a61</t>
  </si>
  <si>
    <t>e82c7421592e0e38975198d9e02c911dd49deb65da83452bd2e6be5fef817465</t>
  </si>
  <si>
    <t>PAMELA ADEWOLA</t>
  </si>
  <si>
    <t>{"S/N":"143","IMEI":"351475534189070","TIME":"","COLOUR":"PINK","DEVICE":"IPHONE","STORAGE":"128gb","Column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DATE":"","RECORD_ID":"f57584d24f8a467d89c0f05618a99a61","BATTERY. H":"100%","CONDITIONS":"AJ LENS BABE","COST PRICE":"","DATE BOUGHT":"5/26/2025","DESCRIPTION":"IPHONE 13","DEAL LOCATION":"","INTERNAL NOTE":"","NAME OF BUYER":"PAMELA ADEWOLA","EXPENSE AMOUNT":"","NAME OF SELLER":"DENIS4WARD TECHNOLOGY","PRODUCT STATUS":"SOLD","STATUS OF DEVICE":"UNLOCKED","CALCULATED PROFIT":"","EXPENSE DESCRIPTION":"","PHONE NUMBER OF BUYER":"09069354058","AVAILABILITY/DATE SOLD":"5/24/2025","PHONE NUMBER OF SELLER":"08038551439","RECEIPT &amp; EVIDIENCE LINK":""}</t>
  </si>
  <si>
    <t>0ee1da5b882441a0afd77e85815f353a</t>
  </si>
  <si>
    <t>fab50ea2bdb0cb4d3b8a798c03ac1c82c967d0333476ed4d4462211f669030a9</t>
  </si>
  <si>
    <t>CVV76GQKT0</t>
  </si>
  <si>
    <t>{"S/N":"144","IMEI":"CVV76GQKT0","TIME":"","COLOUR":"BLACK","DEVICE":"IPAD","STORAGE":"256GB","Column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DATE":"","RECORD_ID":"0ee1da5b882441a0afd77e85815f353a","BATTERY. H":"100%","CONDITIONS":"","COST PRICE":"","DATE BOUGHT":"5/25/2025","DESCRIPTION":"IPAD PRO M4","DEAL LOCATION":"","INTERNAL NOTE":"","NAME OF BUYER":"DENIS4WARD","EXPENSE AMOUNT":"","NAME OF SELLER":"MBENZ","PRODUCT STATUS":"SOLD","STATUS OF DEVICE":"UNLOCKED (WIFI ONLY)","CALCULATED PROFIT":"","EXPENSE DESCRIPTION":"","PHONE NUMBER OF BUYER":"08038551439","AVAILABILITY/DATE SOLD":"","PHONE NUMBER OF SELLER":"09038935833","RECEIPT &amp; EVIDIENCE LINK":""}</t>
  </si>
  <si>
    <t>6637b89cc98e41fc9ec92d5f6d573a9b</t>
  </si>
  <si>
    <t>64e2ab0c7d3ad747fa4b6fde4aaf35d8fae3f7d92dd35fa0dfd3c73e5750ed49</t>
  </si>
  <si>
    <t>{"S/N":"145","IMEI":"358891508637972","TIME":"","COLOUR":"MIDNIGHT","DEVICE":"IPHONE","STORAGE":"128GB","Column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DATE":"","RECORD_ID":"6637b89cc98e41fc9ec92d5f6d573a9b","BATTERY. H":"88%","CONDITIONS":"","COST PRICE":"","DATE BOUGHT":"5/26/2025","DESCRIPTION":"IPHONE 13","DEAL LOCATION":"","INTERNAL NOTE":"","NAME OF BUYER":"","EXPENSE AMOUNT":"","NAME OF SELLER":"DENIS4WARD TECHNOLOGY","PRODUCT STATUS":"SOLD","STATUS OF DEVICE":"UNLOCK","CALCULATED PROFIT":"","EXPENSE DESCRIPTION":"","PHONE NUMBER OF BUYER":"","AVAILABILITY/DATE SOLD":"","PHONE NUMBER OF SELLER":"08038551439","RECEIPT &amp; EVIDIENCE LINK":""}</t>
  </si>
  <si>
    <t>227e63a37cc44fffa579187119d8d356</t>
  </si>
  <si>
    <t>e79e122bc077408101652831f7c08fd333485b60d0bbf346048578696fc8d616</t>
  </si>
  <si>
    <t>{"S/N":"146","IMEI":"358098979956077","TIME":"","COLOUR":"BLACK","DEVICE":"IPHONE","STORAGE":"64GB","Column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DATE":"","RECORD_ID":"227e63a37cc44fffa579187119d8d356","BATTERY. H":"90%","CONDITIONS":"","COST PRICE":"","DATE BOUGHT":"5/27/2025","DESCRIPTION":"IPHONE 11","DEAL LOCATION":"","INTERNAL NOTE":"","NAME OF BUYER":"ANDROPOD","EXPENSE AMOUNT":"","NAME OF SELLER":"THANKGOD CONCEPT","PRODUCT STATUS":"SOLD","STATUS OF DEVICE":"UNLOCK","CALCULATED PROFIT":"","EXPENSE DESCRIPTION":"","PHONE NUMBER OF BUYER":"08067961239","AVAILABILITY/DATE SOLD":"6/6/2025","PHONE NUMBER OF SELLER":"08144131893","RECEIPT &amp; EVIDIENCE LINK":""}</t>
  </si>
  <si>
    <t>3e05a5415b20417b8d942c6805a3fc04</t>
  </si>
  <si>
    <t>56580ca814fc40ac8103454b292ba0f58deae2ce6574d431591a7a07c32293be</t>
  </si>
  <si>
    <t>MATEO</t>
  </si>
  <si>
    <t>{"S/N":"147","IMEI":"357343096498301","TIME":"","COLOUR":"BLUE","DEVICE":"IPHONE","STORAGE":"64GB","Column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DATE":"","RECORD_ID":"3e05a5415b20417b8d942c6805a3fc04","BATTERY. H":"86%","CONDITIONS":"","COST PRICE":"","DATE BOUGHT":"5/27/2025","DESCRIPTION":"IPHONE XR","DEAL LOCATION":"","INTERNAL NOTE":"","NAME OF BUYER":"MATEO","EXPENSE AMOUNT":"","NAME OF SELLER":"POPI","PRODUCT STATUS":"SOLD","STATUS OF DEVICE":"UNLOCKED","CALCULATED PROFIT":"","EXPENSE DESCRIPTION":"","PHONE NUMBER OF BUYER":"07041179161","AVAILABILITY/DATE SOLD":"5/27/2025","PHONE NUMBER OF SELLER":"08100177924","RECEIPT &amp; EVIDIENCE LINK":""}</t>
  </si>
  <si>
    <t>8cad91e855cd408191fa79459dc204a9</t>
  </si>
  <si>
    <t>64718feeda42c2aea20031916c5eacba51f0afda988b7bbef7e7a5eba47f997b</t>
  </si>
  <si>
    <t>AKOMOLAFE ABIOLA</t>
  </si>
  <si>
    <t>{"S/N":"148","IMEI":"358615605238550","TIME":"","COLOUR":"ALPINE GREEN","DEVICE":"IPHONE","STORAGE":"128GB","Column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DATE":"","RECORD_ID":"8cad91e855cd408191fa79459dc204a9","BATTERY. H":"86%","CONDITIONS":"","COST PRICE":"","DATE BOUGHT":"5/27/2025","DESCRIPTION":"IPHONE 13","DEAL LOCATION":"","INTERNAL NOTE":"","NAME OF BUYER":"AKOMOLAFE ABIOLA","EXPENSE AMOUNT":"","NAME OF SELLER":"DENIS4WARD TECHNOLOGY","PRODUCT STATUS":"SOLD","STATUS OF DEVICE":"UNLOCKED","CALCULATED PROFIT":"","EXPENSE DESCRIPTION":"","PHONE NUMBER OF BUYER":"09016184452","AVAILABILITY/DATE SOLD":"5/27/2025","PHONE NUMBER OF SELLER":"08038551439","RECEIPT &amp; EVIDIENCE LINK":""}</t>
  </si>
  <si>
    <t>bab240068fd44c5cb1c7774037632e93</t>
  </si>
  <si>
    <t>a26d9c9f48b496e99129ab7d22a10fc7a98862e92d318bd5f611ec4946995c65</t>
  </si>
  <si>
    <t>{"S/N":"149","IMEI":"356432101911894","TIME":"","COLOUR":"WHITE","DEVICE":"IPHONE","STORAGE":"64GB","Column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DATE":"","RECORD_ID":"bab240068fd44c5cb1c7774037632e93","BATTERY. H":"77%(93%)","CONDITIONS":"","COST PRICE":"","DATE BOUGHT":"5/27/2025","DESCRIPTION":"IPHONE XR","DEAL LOCATION":"","INTERNAL NOTE":"","NAME OF BUYER":"SEYIFUNMI","EXPENSE AMOUNT":"","NAME OF SELLER":"PAMELA ADEWOLA","PRODUCT STATUS":"SOLD","STATUS OF DEVICE":"UNLOCKED","CALCULATED PROFIT":"","EXPENSE DESCRIPTION":"","PHONE NUMBER OF BUYER":"0915 075 9847","AVAILABILITY/DATE SOLD":"6/4/2025","PHONE NUMBER OF SELLER":"09069354058","RECEIPT &amp; EVIDIENCE LINK":""}</t>
  </si>
  <si>
    <t>a417051c70164732a34c4adf9e5cc22d</t>
  </si>
  <si>
    <t>6076b1ce2721b29934455e8de3b29c61f1c8bd996ddfb482693a4795ec6b2703</t>
  </si>
  <si>
    <t>{"S/N":"150","IMEI":"359843525872909","TIME":"","COLOUR":"BLUE","DEVICE":"IPHONE","STORAGE":"256GB","Column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DATE":"","RECORD_ID":"a417051c70164732a34c4adf9e5cc22d","BATTERY. H":"83%","CONDITIONS":"","COST PRICE":"","DATE BOUGHT":"6/9/2025","DESCRIPTION":"IPHONE 14","DEAL LOCATION":"","INTERNAL NOTE":"","NAME OF BUYER":"","EXPENSE AMOUNT":"","NAME OF SELLER":"DEMIGLOBAL MULTISERVICE","PRODUCT STATUS":"SOLD","STATUS OF DEVICE":"LOCKED","CALCULATED PROFIT":"","EXPENSE DESCRIPTION":"","PHONE NUMBER OF BUYER":"","AVAILABILITY/DATE SOLD":"","PHONE NUMBER OF SELLER":"09066720385","RECEIPT &amp; EVIDIENCE LINK":""}</t>
  </si>
  <si>
    <t>d520bf5e160b4f9fb3429770168ca020</t>
  </si>
  <si>
    <t>6077a6b350e0de46076b5f2a11a97c7f145a29f89bd58a4ce40dc40ec3b5c1ef</t>
  </si>
  <si>
    <t>{"S/N":"151","IMEI":"350753692386469","TIME":"","COLOUR":"BLACK","DEVICE":"IPHONE","STORAGE":"256GB","Column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DATE":"","RECORD_ID":"d520bf5e160b4f9fb3429770168ca020","BATTERY. H":"100%","CONDITIONS":"","COST PRICE":"","DATE BOUGHT":"6/12/2025","DESCRIPTION":"IPHONE 16","DEAL LOCATION":"","INTERNAL NOTE":"","NAME OF BUYER":"","EXPENSE AMOUNT":"","NAME OF SELLER":"AKINRULI ","PRODUCT STATUS":"SOLD","STATUS OF DEVICE":"LOCKED","CALCULATED PROFIT":"","EXPENSE DESCRIPTION":"","PHONE NUMBER OF BUYER":"","AVAILABILITY/DATE SOLD":"","PHONE NUMBER OF SELLER":"08168293659","RECEIPT &amp; EVIDIENCE LINK":""}</t>
  </si>
  <si>
    <t>a3fd9fbaefd64ca58b6b675fb20bd4a2</t>
  </si>
  <si>
    <t>6259c00f2332352c7118e51cb0cd605fcd59ce5901eb7b2860731905a3622ef1</t>
  </si>
  <si>
    <t>{"S/N":"152","IMEI":"350642214197472","TIME":"","COLOUR":"BLUE","DEVICE":"IPHONE","STORAGE":"128GB","Column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DATE":"","RECORD_ID":"a3fd9fbaefd64ca58b6b675fb20bd4a2","BATTERY. H":"87%","CONDITIONS":"","COST PRICE":"","DATE BOUGHT":"6/10/2025","DESCRIPTION":"IPHONE 15 PRO","DEAL LOCATION":"","INTERNAL NOTE":"","NAME OF BUYER":"","EXPENSE AMOUNT":"","NAME OF SELLER":"PRECIOUS FATOKI","PRODUCT STATUS":"SOLD","STATUS OF DEVICE":"PHYSICAL UNLOCKED","CALCULATED PROFIT":"","EXPENSE DESCRIPTION":"","PHONE NUMBER OF BUYER":"","AVAILABILITY/DATE SOLD":"","PHONE NUMBER OF SELLER":"09133064536","RECEIPT &amp; EVIDIENCE LINK":""}</t>
  </si>
  <si>
    <t>fbd61d7ad50b44e18cc97723affc44a3</t>
  </si>
  <si>
    <t>cca5797ae3343f0df5ac0af9c913db8cb33670d752d62bad5c53550f2fc71b42</t>
  </si>
  <si>
    <t>{"S/N":"153","IMEI":"359031086897107","TIME":"","COLOUR":"BLACK","DEVICE":"IPHONE","STORAGE":"4 + 64GB","Column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DATE":"","RECORD_ID":"fbd61d7ad50b44e18cc97723affc44a3","BATTERY. H":"-","CONDITIONS":"","COST PRICE":"","DATE BOUGHT":"6/6/2025","DESCRIPTION":"SAMSUNG GALAXY S8","DEAL LOCATION":"","INTERNAL NOTE":"","NAME OF BUYER":"OLA BTC","EXPENSE AMOUNT":"","NAME OF SELLER":"ARMY MIGHTY","PRODUCT STATUS":"SOLD","STATUS OF DEVICE":"UNLOCKED","CALCULATED PROFIT":"","EXPENSE DESCRIPTION":"","PHONE NUMBER OF BUYER":"07061613141","AVAILABILITY/DATE SOLD":"6/11/2025","PHONE NUMBER OF SELLER":"0816 909 4027","RECEIPT &amp; EVIDIENCE LINK":""}</t>
  </si>
  <si>
    <t>dedaacb6974049be95e5da39d55bb039</t>
  </si>
  <si>
    <t>7201212a963595bfc147b22079aee59b32ced75c5bd30f4ff46c9f5106718e79</t>
  </si>
  <si>
    <t>OLUMIDE</t>
  </si>
  <si>
    <t>{"S/N":"154","IMEI":"351570365411716","TIME":"","COLOUR":"GREEN","DEVICE":"IPHONE","STORAGE":"64GB","Column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DATE":"","RECORD_ID":"dedaacb6974049be95e5da39d55bb039","BATTERY. H":"87%","CONDITIONS":"","COST PRICE":"","DATE BOUGHT":"6/16/2025","DESCRIPTION":"IPHONE 12","DEAL LOCATION":"","INTERNAL NOTE":"","NAME OF BUYER":"OLUMIDE ","EXPENSE AMOUNT":"","NAME OF SELLER":"DENIS4WARD TECHNOLOGY","PRODUCT STATUS":"SOLD","STATUS OF DEVICE":"UNLOCKED","CALCULATED PROFIT":"","EXPENSE DESCRIPTION":"","PHONE NUMBER OF BUYER":"07026462866","AVAILABILITY/DATE SOLD":"6/16/2025","PHONE NUMBER OF SELLER":"08038551439","RECEIPT &amp; EVIDIENCE LINK":""}</t>
  </si>
  <si>
    <t>d138a63dd76345ccb69cacd1667d8d0c</t>
  </si>
  <si>
    <t>2e02832ae511b26446fa063d4c984f73b454845115b97b03126d8935211259a8</t>
  </si>
  <si>
    <t>{"S/N":"155","IMEI":"359702370902932","TIME":"","COLOUR":"SPACE GREY","DEVICE":"IPHONE","STORAGE":"256GB","Column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DATE":"","RECORD_ID":"d138a63dd76345ccb69cacd1667d8d0c","BATTERY. H":"","CONDITIONS":"","COST PRICE":"","DATE BOUGHT":"","DESCRIPTION":"IPHONE 14 PRO MAX 256GB","DEAL LOCATION":"","INTERNAL NOTE":"","NAME OF BUYER":"","EXPENSE AMOUNT":"","NAME OF SELLER":"","PRODUCT STATUS":"SOLD","STATUS OF DEVICE":"","CALCULATED PROFIT":"","EXPENSE DESCRIPTION":"","PHONE NUMBER OF BUYER":"","AVAILABILITY/DATE SOLD":"","PHONE NUMBER OF SELLER":"","RECEIPT &amp; EVIDIENCE LINK":""}</t>
  </si>
  <si>
    <t>e1b33b15f7d5400291626e0fc7cc0451</t>
  </si>
  <si>
    <t>39d853ede88f9c220b088a92e3cac00f29bf5c7c63c47915eaf24399d2c510b3</t>
  </si>
  <si>
    <t>{"S/N":"156","IMEI":"353147474614361","TIME":"","COLOUR":"","DEVICE":"IPHONE","STORAGE":"","Column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DATE":"","RECORD_ID":"e1b33b15f7d5400291626e0fc7cc0451","BATTERY. H":"","CONDITIONS":"","COST PRICE":"","DATE BOUGHT":"","DESCRIPTION":"IPHONE 12 PRO ","DEAL LOCATION":"","INTERNAL NOTE":"","NAME OF BUYER":"","EXPENSE AMOUNT":"","NAME OF SELLER":"","PRODUCT STATUS":"SOLD","STATUS OF DEVICE":"","CALCULATED PROFIT":"","EXPENSE DESCRIPTION":"","PHONE NUMBER OF BUYER":"","AVAILABILITY/DATE SOLD":"","PHONE NUMBER OF SELLER":"","RECEIPT &amp; EVIDIENCE LINK":""}</t>
  </si>
  <si>
    <t>bf159e0b6a0446a8bddf677afcf69310</t>
  </si>
  <si>
    <t>c21b90571f11aeb6354caebe0145b047de4a04ce3d719e486bf497bc12a89ff2</t>
  </si>
  <si>
    <t>{"S/N":"157","IMEI":"357774332463560","TIME":"","COLOUR":"MIDNIGNT","DEVICE":"IPHONE","STORAGE":"128GB","Column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DATE":"","RECORD_ID":"bf159e0b6a0446a8bddf677afcf69310","BATTERY. H":"78(89)","CONDITIONS":"","COST PRICE":"","DATE BOUGHT":"6/24/2025","DESCRIPTION":"IPHONE 13","DEAL LOCATION":"","INTERNAL NOTE":"","NAME OF BUYER":"PHINIXEGADGET","EXPENSE AMOUNT":"","NAME OF SELLER":"FATOKI PRECIOUS","PRODUCT STATUS":"SOLD","STATUS OF DEVICE":"LOCKED","CALCULATED PROFIT":"","EXPENSE DESCRIPTION":"","PHONE NUMBER OF BUYER":"09138380700","AVAILABILITY/DATE SOLD":"7/2/2025","PHONE NUMBER OF SELLER":"08166199032","RECEIPT &amp; EVIDIENCE LINK":""}</t>
  </si>
  <si>
    <t>bf595c8431d44c2088be9c599c3994f9</t>
  </si>
  <si>
    <t>c3fe4b3f49a77634eddfd99a0ca4d6034549c0028491e7fb51f93efba60e2f22</t>
  </si>
  <si>
    <t>MRS &amp; MRS ADEUSI</t>
  </si>
  <si>
    <t>{"S/N":"158","IMEI":"356133312187908","TIME":"","COLOUR":"BLUE","DEVICE":"IPHONE","STORAGE":"128GB","Column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DATE":"","RECORD_ID":"bf595c8431d44c2088be9c599c3994f9","BATTERY. H":"89%","CONDITIONS":"","COST PRICE":"","DATE BOUGHT":"6/24/2025","DESCRIPTION":"IPHONE13 PRO","DEAL LOCATION":"","INTERNAL NOTE":"","NAME OF BUYER":"MRS &amp; MRS ADEUSI","EXPENSE AMOUNT":"","NAME OF SELLER":"KABEX GADGET","PRODUCT STATUS":"SOLD","STATUS OF DEVICE":"UNLOCKED","CALCULATED PROFIT":"","EXPENSE DESCRIPTION":"","PHONE NUMBER OF BUYER":"08161102129","AVAILABILITY/DATE SOLD":"6/24/2025","PHONE NUMBER OF SELLER":"09167221871","RECEIPT &amp; EVIDIENCE LINK":""}</t>
  </si>
  <si>
    <t>f3efc15dcda949049c58f522b84f5917</t>
  </si>
  <si>
    <t>9d3dd558702741ce123fd4533ab60659a294b46de2cdd433ad273cbaeb91b65d</t>
  </si>
  <si>
    <t>{"S/N":"159","IMEI":"258823346568143","TIME":"","COLOUR":"BLACK","DEVICE":"IPHONE","STORAGE":"128GB","Column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DATE":"","RECORD_ID":"f3efc15dcda949049c58f522b84f5917","BATTERY. H":"84%","CONDITIONS":"","COST PRICE":"","DATE BOUGHT":"6/24/2025","DESCRIPTION":"IPHONE13 PRO","DEAL LOCATION":"","INTERNAL NOTE":"","NAME OF BUYER":"MRS &amp; MRS ADEUSI","EXPENSE AMOUNT":"","NAME OF SELLER":"TEE BEST GADGET","PRODUCT STATUS":"SOLD","STATUS OF DEVICE":"UNLOCKED","CALCULATED PROFIT":"","EXPENSE DESCRIPTION":"","PHONE NUMBER OF BUYER":"08161102129","AVAILABILITY/DATE SOLD":"6/24/2025","PHONE NUMBER OF SELLER":"08037624066","RECEIPT &amp; EVIDIENCE LINK":""}</t>
  </si>
  <si>
    <t>3e68b334b07e4b569376d1a7250f3a90</t>
  </si>
  <si>
    <t>6af6fea7fd680cafb22f72b46059454ccbb4127596a615a948dd544c94a04c65</t>
  </si>
  <si>
    <t>5CG8152LHW</t>
  </si>
  <si>
    <t>FATOKI PRECIOUS</t>
  </si>
  <si>
    <t>{"S/N":"160","IMEI":"5CG8152LHW","TIME":"","COLOUR":"SILVER","DEVICE":"PC","STORAGE":"8/256GB","Column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DATE":"","RECORD_ID":"3e68b334b07e4b569376d1a7250f3a90","BATTERY. H":"-","CONDITIONS":"","COST PRICE":"","DATE BOUGHT":"6/24/2025","DESCRIPTION":"HP ELITEBOOK 1020G2 X360","DEAL LOCATION":"","INTERNAL NOTE":"","NAME OF BUYER":"FATOKI PRECIOUS","EXPENSE AMOUNT":"","NAME OF SELLER":"DENIS4WARD TECHNOLOGY","PRODUCT STATUS":"SOLD","STATUS OF DEVICE":"UNLOCKED","CALCULATED PROFIT":"","EXPENSE DESCRIPTION":"","PHONE NUMBER OF BUYER":"08166199032","AVAILABILITY/DATE SOLD":"6/24/2025","PHONE NUMBER OF SELLER":"08038551439","RECEIPT &amp; EVIDIENCE LINK":""}</t>
  </si>
  <si>
    <t>637fefec4300492bbeb14cf3be07f34c</t>
  </si>
  <si>
    <t>ded6433a920c1be4d01acfe8a33bff0245b5e201cad144ff594215fc4d2aa419</t>
  </si>
  <si>
    <t>5CG62242H2</t>
  </si>
  <si>
    <t>{"S/N":"161","IMEI":"5CG62242H2","TIME":"","COLOUR":"SILVER","DEVICE":"PC","STORAGE":"8/256GB","Column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DATE":"","RECORD_ID":"637fefec4300492bbeb14cf3be07f34c","BATTERY. H":"-","CONDITIONS":"","COST PRICE":"","DATE BOUGHT":"6/24/2025","DESCRIPTION":"HP ELITEBOOK FOLIO G1","DEAL LOCATION":"","INTERNAL NOTE":"","NAME OF BUYER":"KUNLEX COMMUNICATION","EXPENSE AMOUNT":"","NAME OF SELLER":"DENIS4WARD TECHNOLOGY","PRODUCT STATUS":"SOLD","STATUS OF DEVICE":"UNLOCKED","CALCULATED PROFIT":"","EXPENSE DESCRIPTION":"","PHONE NUMBER OF BUYER":"07076133809","AVAILABILITY/DATE SOLD":"6/23/2025","PHONE NUMBER OF SELLER":"08038551439","RECEIPT &amp; EVIDIENCE LINK":""}</t>
  </si>
  <si>
    <t>6b1e01205a9e4151ad6fc4107d7d50d8</t>
  </si>
  <si>
    <t>da03501b862393e70fbfa8a3f9fe01bb28714f00a1359daa90bdd97a93de917f</t>
  </si>
  <si>
    <t>{"S/N":"162","IMEI":"5CG62242H2","TIME":"","COLOUR":"SILVER","DEVICE":"PC","STORAGE":"8/256GB","Column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DATE":"","RECORD_ID":"6b1e01205a9e4151ad6fc4107d7d50d8","BATTERY. H":"-","CONDITIONS":"","COST PRICE":"","DATE BOUGHT":"7/12/2025","DESCRIPTION":"HP ELITEBOOK FOLIO G1","DEAL LOCATION":"","INTERNAL NOTE":"","NAME OF BUYER":"DENIS4WARD TECHNOLOGY","EXPENSE AMOUNT":"","NAME OF SELLER":"FATOKI PRECIOUS","PRODUCT STATUS":"SOLD","STATUS OF DEVICE":"","CALCULATED PROFIT":"","EXPENSE DESCRIPTION":"","PHONE NUMBER OF BUYER":"08038551439","AVAILABILITY/DATE SOLD":"7/14/2025","PHONE NUMBER OF SELLER":"08166199032","RECEIPT &amp; EVIDIENCE LINK":""}</t>
  </si>
  <si>
    <t>9c2610d8c606412ab71f5a40cb0ffbae</t>
  </si>
  <si>
    <t>9c8fff6d9419fab8db3dadd59ce9081d8ed6cd466ec6ff38777ca0616d15dfbd</t>
  </si>
  <si>
    <t>{"S/N":"163","IMEI":"356199676578412","TIME":"","COLOUR":"RED","DEVICE":"IPHONE","STORAGE":"128GB","Column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DATE":"","RECORD_ID":"9c2610d8c606412ab71f5a40cb0ffbae","BATTERY. H":"77%","CONDITIONS":"","COST PRICE":"","DATE BOUGHT":"7/12/2025","DESCRIPTION":"IPHONE 13 ","DEAL LOCATION":"","INTERNAL NOTE":"","NAME OF BUYER":"","EXPENSE AMOUNT":"","NAME OF SELLER":"THANKGOD CONCEPT","PRODUCT STATUS":"SOLD","STATUS OF DEVICE":"LOCKED","CALCULATED PROFIT":"","EXPENSE DESCRIPTION":"","PHONE NUMBER OF BUYER":"","AVAILABILITY/DATE SOLD":"","PHONE NUMBER OF SELLER":"09060695934","RECEIPT &amp; EVIDIENCE LINK":""}</t>
  </si>
  <si>
    <t>a84f23633b8848efb491d63fbe30ed24</t>
  </si>
  <si>
    <t>40cf25008f1770e9f585b3c3d43fd823222a55223b5e8de567a502e0a76a60e2</t>
  </si>
  <si>
    <t>VERTEX GADGET</t>
  </si>
  <si>
    <t>{"S/N":"164","IMEI":"","TIME":"","COLOUR":"BLACK","DEVICE":"IPHONE","STORAGE":"64GB","Column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DATE":"","RECORD_ID":"a84f23633b8848efb491d63fbe30ed24","BATTERY. H":"85%","CONDITIONS":"","COST PRICE":"","DATE BOUGHT":"7/15/2025","DESCRIPTION":"IPHONE SE 2ND GEN","DEAL LOCATION":"","INTERNAL NOTE":"","NAME OF BUYER":"VERTEX GADGET","EXPENSE AMOUNT":"","NAME OF SELLER":"DENIS4WARD TECHNOLOGY","PRODUCT STATUS":"SOLD","STATUS OF DEVICE":"UNLOCKED","CALCULATED PROFIT":"","EXPENSE DESCRIPTION":"","PHONE NUMBER OF BUYER":"08103663581","AVAILABILITY/DATE SOLD":"7/15/2025","PHONE NUMBER OF SELLER":"08038551439","RECEIPT &amp; EVIDIENCE LINK":""}</t>
  </si>
  <si>
    <t>be6d72c3ce0d4f42a54b3ce74bb20ee3</t>
  </si>
  <si>
    <t>24aba239b4b97348d61519ea53a3dbbf2c5c9cb13396c0f5c1d9607f9a8ecf19</t>
  </si>
  <si>
    <t>FOLORUNSHO TOSIN</t>
  </si>
  <si>
    <t>{"S/N":"165","IMEI":"353410574830711","TIME":"","COLOUR":"BLUE","DEVICE":"IPHONE","STORAGE":"128GB","Column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DATE":"","RECORD_ID":"be6d72c3ce0d4f42a54b3ce74bb20ee3","BATTERY. H":"86%","CONDITIONS":"","COST PRICE":"","DATE BOUGHT":"8/3/2025","DESCRIPTION":"IPHONE 13 MINI","DEAL LOCATION":"","INTERNAL NOTE":"","NAME OF BUYER":"FOLORUNSHO TOSIN","EXPENSE AMOUNT":"","NAME OF SELLER":"DENIS4WARD TECHNOLOGY","PRODUCT STATUS":"SOLD","STATUS OF DEVICE":"UNLOCKED","CALCULATED PROFIT":"","EXPENSE DESCRIPTION":"","PHONE NUMBER OF BUYER":"07067933981","AVAILABILITY/DATE SOLD":"8/3/2025","PHONE NUMBER OF SELLER":"08038551439","RECEIPT &amp; EVIDIENCE LINK":""}</t>
  </si>
  <si>
    <t>283b37af69eb41f7b30c63fc33435660</t>
  </si>
  <si>
    <t>61b058ef4b0d03a947488e4b0492b4d6b2326a7788c7cdcaab4340543120ea9d</t>
  </si>
  <si>
    <t>AYOMIDE AWILO</t>
  </si>
  <si>
    <t>{"S/N":"166","IMEI":"355870379888339","TIME":"","COLOUR":"WHITE","DEVICE":"IPHONE","STORAGE":"128GB","Column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DATE":"","RECORD_ID":"283b37af69eb41f7b30c63fc33435660","BATTERY. H":"90%","CONDITIONS":"","COST PRICE":"","DATE BOUGHT":"31/07/2025","DESCRIPTION":"IPHONE 13","DEAL LOCATION":"","INTERNAL NOTE":"","NAME OF BUYER":"AYOMIDE AWILO","EXPENSE AMOUNT":"","NAME OF SELLER":"TECH JAR COMPUTERS","PRODUCT STATUS":"SOLD","STATUS OF DEVICE":"UNLOCKED","CALCULATED PROFIT":"","EXPENSE DESCRIPTION":"","PHONE NUMBER OF BUYER":"07075923209","AVAILABILITY/DATE SOLD":"31/07/25","PHONE NUMBER OF SELLER":"07047512596","RECEIPT &amp; EVIDIENCE LINK":""}</t>
  </si>
  <si>
    <t>4760b019acdc4fb69b47a621b820fb66</t>
  </si>
  <si>
    <t>344250d6392d77709c1cb336613495a916924126609af0943270c14e359e38dd</t>
  </si>
  <si>
    <t>{"S/N":"167","IMEI":"356862110086090","TIME":"","COLOUR":"PURPLE","DEVICE":"IPHONE","STORAGE":"128GB","Column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DATE":"","RECORD_ID":"4760b019acdc4fb69b47a621b820fb66","BATTERY. H":"90%","CONDITIONS":"","COST PRICE":"","DATE BOUGHT":"27/06/2025","DESCRIPTION":"IPHONE 11 128GB","DEAL LOCATION":"","INTERNAL NOTE":"","NAME OF BUYER":"","EXPENSE AMOUNT":"","NAME OF SELLER":"OPEYEMI GADGET","PRODUCT STATUS":"SOLD","STATUS OF DEVICE":"UNLOCKED","CALCULATED PROFIT":"","EXPENSE DESCRIPTION":"","PHONE NUMBER OF BUYER":"","AVAILABILITY/DATE SOLD":"","PHONE NUMBER OF SELLER":"08169562036","RECEIPT &amp; EVIDIENCE LINK":""}</t>
  </si>
  <si>
    <t>094aef1327e84934a7ba30ced5f4959f</t>
  </si>
  <si>
    <t>87c64d2efd42102eec90f1f92c0625815b7db142b97de6766e0c167de10f5704</t>
  </si>
  <si>
    <t>{"S/N":"168","IMEI":"353905997084192","TIME":"","COLOUR":"PURPLE","DEVICE":"IPHONE","STORAGE":"64GB","Column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DATE":"","RECORD_ID":"094aef1327e84934a7ba30ced5f4959f","BATTERY. H":"91%","CONDITIONS":"","COST PRICE":"","DATE BOUGHT":"","DESCRIPTION":"IPHONE 12","DEAL LOCATION":"","INTERNAL NOTE":"","NAME OF BUYER":"","EXPENSE AMOUNT":"","NAME OF SELLER":"KAYWISE GADGET","PRODUCT STATUS":"SOLD","STATUS OF DEVICE":"","CALCULATED PROFIT":"","EXPENSE DESCRIPTION":"","PHONE NUMBER OF BUYER":"","AVAILABILITY/DATE SOLD":"","PHONE NUMBER OF SELLER":"","RECEIPT &amp; EVIDIENCE LINK":""}</t>
  </si>
  <si>
    <t>bc0e3aa7380e45ae93b6dd3bba796cc3</t>
  </si>
  <si>
    <t>8d074730c859eb6e088262ee8a2cf0b0bd9978ed26766c5ab83172781673d398</t>
  </si>
  <si>
    <t>M297CKGF2D</t>
  </si>
  <si>
    <t>SLATT</t>
  </si>
  <si>
    <t>{"S/N":"169","IMEI":"M297CKGF2D","TIME":"","COLOUR":"SILVER","DEVICE":"IPAD","STORAGE":"128GB","Column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DATE":"","RECORD_ID":"bc0e3aa7380e45ae93b6dd3bba796cc3","BATTERY. H":"","CONDITIONS":"","COST PRICE":"","DATE BOUGHT":"9/16/2025","DESCRIPTION":"iPad Pro 11 inch","DEAL LOCATION":"","INTERNAL NOTE":"","NAME OF BUYER":"SLATT ","EXPENSE AMOUNT":"","NAME OF SELLER":"KAYWISE GADGET","PRODUCT STATUS":"SOLD","STATUS OF DEVICE":"WIFI","CALCULATED PROFIT":"","EXPENSE DESCRIPTION":"","PHONE NUMBER OF BUYER":"09061496515","AVAILABILITY/DATE SOLD":"9/16/2025","PHONE NUMBER OF SELLER":"","RECEIPT &amp; EVIDIENCE LINK":""}</t>
  </si>
  <si>
    <t>606cfdc77f904470b2ccc5cb5accbc27</t>
  </si>
  <si>
    <t>65b1938e1cc06ed763e06fa1f0ca24052745b3b6356f84f8a6f80505705629a9</t>
  </si>
  <si>
    <t>{"S/N":"170","IMEI":"356760682088231","TIME":"","COLOUR":"NATURAL TITANIUM","DEVICE":"IPHONE","STORAGE":"256GB","Column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DATE":"","RECORD_ID":"606cfdc77f904470b2ccc5cb5accbc27","BATTERY. H":"97%","CONDITIONS":"","COST PRICE":"","DATE BOUGHT":"9/13/2025","DESCRIPTION":"IPHONE 16 PRO MAX","DEAL LOCATION":"","INTERNAL NOTE":"","NAME OF BUYER":"MIKKY","EXPENSE AMOUNT":"","NAME OF SELLER":"MONICA","PRODUCT STATUS":"SOLD","STATUS OF DEVICE":"LOCKED (UNLOCKED)","CALCULATED PROFIT":"","EXPENSE DESCRIPTION":"","PHONE NUMBER OF BUYER":"0703 335 3323","AVAILABILITY/DATE SOLD":"","PHONE NUMBER OF SELLER":"09078545071","RECEIPT &amp; EVIDIENCE LINK":""}</t>
  </si>
  <si>
    <t>31672258c5e94e17bed4a971b28a7c76</t>
  </si>
  <si>
    <t>3b1bb6b5438e6ba2d2357d47118248455f0dedee40337fc971c2a425fc5c8158</t>
  </si>
  <si>
    <t>{"S/N":"171","IMEI":"352306390093560","TIME":"","COLOUR":"BLACK","DEVICE":"IPHONE","STORAGE":"128GB","Column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DATE":"","RECORD_ID":"31672258c5e94e17bed4a971b28a7c76","BATTERY. H":"100%","CONDITIONS":"","COST PRICE":"","DATE BOUGHT":"9/17/2025","DESCRIPTION":"IPHONE 16 NEW","DEAL LOCATION":"","INTERNAL NOTE":"","NAME OF BUYER":"MONICA","EXPENSE AMOUNT":"","NAME OF SELLER":"OZ GADGET","PRODUCT STATUS":"SOLD","STATUS OF DEVICE":"LOCKED","CALCULATED PROFIT":"","EXPENSE DESCRIPTION":"","PHONE NUMBER OF BUYER":"09078545071","AVAILABILITY/DATE SOLD":"9/17/2025","PHONE NUMBER OF SELLER":"08106293924","RECEIPT &amp; EVIDIENCE LINK":""}</t>
  </si>
  <si>
    <t>b1f36852b1434589bd5aee42c9f72701</t>
  </si>
  <si>
    <t>4265b2b712b62a707cce36ec4963df4e766ff9984cad08b81fb819cf45229c12</t>
  </si>
  <si>
    <t>{"S/N":"172","IMEI":"351016867546971","TIME":"","COLOUR":"WHITE TITANIUM ","DEVICE":"IPHONE 15 PRO MAX","STORAGE":"256GB","Column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DATE":"","RECORD_ID":"b1f36852b1434589bd5aee42c9f72701","BATTERY. H":"NATURAL TITANIUM","CONDITIONS":"","COST PRICE":"","DATE BOUGHT":"LOCKED","DESCRIPTION":"IPHONE 15 PRO MAX","DEAL LOCATION":"","INTERNAL NOTE":"","NAME OF BUYER":"OZ GADGET","EXPENSE AMOUNT":"","NAME OF SELLER":"256GB","PRODUCT STATUS":"SOLD","STATUS OF DEVICE":"IPHONE","CALCULATED PROFIT":"","EXPENSE DESCRIPTION":"","PHONE NUMBER OF BUYER":"09078545071","AVAILABILITY/DATE SOLD":"9/17/2025","PHONE NUMBER OF SELLER":"351016867546971","RECEIPT &amp; EVIDIENCE LINK":""}</t>
  </si>
  <si>
    <t>678677a34e1d486e871a8aff41801b68</t>
  </si>
  <si>
    <t>d96e9513c8b636cfc871adea4a3362e7920fb18455dfba04ee1da881c6b26edf</t>
  </si>
  <si>
    <t>{"S/N":"173","IMEI":"353889108494922","TIME":"","COLOUR":"SPACE GRAY","DEVICE":"IPHONE","STORAGE":"64GB","Column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DATE":"","RECORD_ID":"678677a34e1d486e871a8aff41801b68","BATTERY. H":"83%","CONDITIONS":"","COST PRICE":"","DATE BOUGHT":"9/26/2025","DESCRIPTION":"IPHONE 11 PRO MAX ","DEAL LOCATION":"","INTERNAL NOTE":"","NAME OF BUYER":"","EXPENSE AMOUNT":"","NAME OF SELLER":"TONYTRENDS","PRODUCT STATUS":"SOLD","STATUS OF DEVICE":"LOCKED","CALCULATED PROFIT":"","EXPENSE DESCRIPTION":"","PHONE NUMBER OF BUYER":"","AVAILABILITY/DATE SOLD":"","PHONE NUMBER OF SELLER":"","RECEIPT &amp; EVIDIENCE LINK":""}</t>
  </si>
  <si>
    <t>8766921fe86f43d9a24e5455b57843c8</t>
  </si>
  <si>
    <t>76eabb6a54ddbb3c750726df35114c953ab743a691f74f1258222d292b711a1e</t>
  </si>
  <si>
    <t>DAMOX</t>
  </si>
  <si>
    <t>{"S/N":"174","IMEI":"354387358117250","TIME":"","COLOUR":"PINK","DEVICE":"IPHONE","STORAGE":"128GB","Column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DATE":"","RECORD_ID":"8766921fe86f43d9a24e5455b57843c8","BATTERY. H":"90%","CONDITIONS":"","COST PRICE":"","DATE BOUGHT":"9/26/2025","DESCRIPTION":"IPHONE 15 PLUS","DEAL LOCATION":"","INTERNAL NOTE":"","NAME OF BUYER":"DAMOX","EXPENSE AMOUNT":"","NAME OF SELLER":"DAVID ","PRODUCT STATUS":"SOLD","STATUS OF DEVICE":"UNLOCKED","CALCULATED PROFIT":"","EXPENSE DESCRIPTION":"","PHONE NUMBER OF BUYER":"09040943517","AVAILABILITY/DATE SOLD":"10/17/2025","PHONE NUMBER OF SELLER":"09167226596","RECEIPT &amp; EVIDIENCE LINK":""}</t>
  </si>
  <si>
    <t>dd7f1a38b6114691b80093fb67a55796</t>
  </si>
  <si>
    <t>4ba4e4de7c5ef91af06f7752734077e796c25c5a3caa4ea9d0bd5efc93137eb0</t>
  </si>
  <si>
    <t>{"S/N":"175","IMEI":"356166890451536","TIME":"","COLOUR":"WHITE","DEVICE":"IPHONE","STORAGE":"128GB","Column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DATE":"","RECORD_ID":"dd7f1a38b6114691b80093fb67a55796","BATTERY. H":"93%","CONDITIONS":"","COST PRICE":"","DATE BOUGHT":"9/26/2025","DESCRIPTION":"IPHONE 16 ","DEAL LOCATION":"","INTERNAL NOTE":"","NAME OF BUYER":"DAVID ","EXPENSE AMOUNT":"","NAME OF SELLER":"STARBOX","PRODUCT STATUS":"SOLD","STATUS OF DEVICE":"LOCKED","CALCULATED PROFIT":"","EXPENSE DESCRIPTION":"","PHONE NUMBER OF BUYER":"09167226596","AVAILABILITY/DATE SOLD":"9/26/2025","PHONE NUMBER OF SELLER":"09063620334","RECEIPT &amp; EVIDIENCE LINK":""}</t>
  </si>
  <si>
    <t>31cb655fc49645b5bc884d1d2cd1791c</t>
  </si>
  <si>
    <t>77354cbdd1abcea09a0e85dfb3f667d2b0a3854b141f9799b4d31ba0a9b6f07a</t>
  </si>
  <si>
    <t>JENE FISAYOMI</t>
  </si>
  <si>
    <t>{"S/N":"176","IMEI":"351016867546971","TIME":"","COLOUR":"NATURAL TITANIUM","DEVICE":"IPHONE","STORAGE":"256GB","Column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DATE":"","RECORD_ID":"31cb655fc49645b5bc884d1d2cd1791c","BATTERY. H":"LOCKED","CONDITIONS":"Pending","COST PRICE":"","DATE BOUGHT":"9/27/2025","DESCRIPTION":"IPHONE 15 PRO MAX","DEAL LOCATION":"","INTERNAL NOTE":"","NAME OF BUYER":"JENE FISAYOMI","EXPENSE AMOUNT":"","NAME OF SELLER":"MONICA","PRODUCT STATUS":"SOLD","STATUS OF DEVICE":"LOCKED","CALCULATED PROFIT":"","EXPENSE DESCRIPTION":"","PHONE NUMBER OF BUYER":"08132068406","AVAILABILITY/DATE SOLD":"10/1/2025","PHONE NUMBER OF SELLER":"09078545071","RECEIPT &amp; EVIDIENCE LINK":""}</t>
  </si>
  <si>
    <t>85e3e5e84ff94f42b3a901cfb1c3e49d</t>
  </si>
  <si>
    <t>4875adc9c84e6203aa6748767aa1bb616d5df1a339fc89fadcd9953168bff46f</t>
  </si>
  <si>
    <t>{"S/N":"177","IMEI":"358915824671264","TIME":"","COLOUR":"TEAL","DEVICE":"IPHONE","STORAGE":"512GB","Column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DATE":"","RECORD_ID":"85e3e5e84ff94f42b3a901cfb1c3e49d","BATTERY. H":"100%","CONDITIONS":"REMAIN 60K","COST PRICE":"","DATE BOUGHT":"9/29/2025","DESCRIPTION":"IPHONE 16 PLUS","DEAL LOCATION":"","INTERNAL NOTE":"","NAME OF BUYER":"TONYTRENDS","EXPENSE AMOUNT":"","NAME OF SELLER":"OZ GADGET","PRODUCT STATUS":"SOLD","STATUS OF DEVICE":"LOCKED","CALCULATED PROFIT":"","EXPENSE DESCRIPTION":"","PHONE NUMBER OF BUYER":"09050226014","AVAILABILITY/DATE SOLD":"9/30/2025","PHONE NUMBER OF SELLER":"08106293924","RECEIPT &amp; EVIDIENCE LINK":""}</t>
  </si>
  <si>
    <t>2fecfe602213426e8f6d77e1f7592073</t>
  </si>
  <si>
    <t>52187522bd2b02e271d4dcbfdb86afce66342b223501380097634c12e6fa4bee</t>
  </si>
  <si>
    <t>{"S/N":"178","IMEI":"355603302305836","TIME":"","COLOUR":"BLACK ","DEVICE":"IPHONE","STORAGE":"256GB","Column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DATE":"","RECORD_ID":"2fecfe602213426e8f6d77e1f7592073","BATTERY. H":"100%","CONDITIONS":"PAID","COST PRICE":"","DATE BOUGHT":"9/29/2025","DESCRIPTION":"IPHONE 16 PLUS","DEAL LOCATION":"","INTERNAL NOTE":"","NAME OF BUYER":"CLINTON GADGET","EXPENSE AMOUNT":"","NAME OF SELLER":"OZ GADGETS","PRODUCT STATUS":"SOLD","STATUS OF DEVICE":"LOCKED","CALCULATED PROFIT":"","EXPENSE DESCRIPTION":"","PHONE NUMBER OF BUYER":"9138407575","AVAILABILITY/DATE SOLD":"9/27/2025","PHONE NUMBER OF SELLER":"08106293924","RECEIPT &amp; EVIDIENCE LINK":""}</t>
  </si>
  <si>
    <t>0395ba9154194ea0bbca8ecb510c9513</t>
  </si>
  <si>
    <t>1b448a0f5f211cadf2226043e46ae7d0d758e2c368f1287a84f758e694d9e662</t>
  </si>
  <si>
    <t>{"S/N":"179","IMEI":"356448107400633","TIME":"","COLOUR":"BLACK","DEVICE":"IPHONE","STORAGE":"128GB","Column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DATE":"","RECORD_ID":"0395ba9154194ea0bbca8ecb510c9513","BATTERY. H":"87%","CONDITIONS":"PAID","COST PRICE":"","DATE BOUGHT":"8/22/2025","DESCRIPTION":"IPHONE XR","DEAL LOCATION":"","INTERNAL NOTE":"","NAME OF BUYER":"MD GADGS","EXPENSE AMOUNT":"","NAME OF SELLER":"HAYKINZ TECH","PRODUCT STATUS":"SOLD","STATUS OF DEVICE":"UNLOCKED","CALCULATED PROFIT":"","EXPENSE DESCRIPTION":"","PHONE NUMBER OF BUYER":"08166860603","AVAILABILITY/DATE SOLD":"9/30/2025","PHONE NUMBER OF SELLER":"07030279101","RECEIPT &amp; EVIDIENCE LINK":""}</t>
  </si>
  <si>
    <t>9f0773eddbf04feea76cceb8ca53e8c8</t>
  </si>
  <si>
    <t>952cc5faead568c642189dfbf6889b364c37321dd0ebb8a260f21ed786b86c41</t>
  </si>
  <si>
    <t>{"S/N":"180","IMEI":"352958418383389","TIME":"","COLOUR":"PINK","DEVICE":"IPHONE","STORAGE":"128GB","Column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DATE":"","RECORD_ID":"9f0773eddbf04feea76cceb8ca53e8c8","BATTERY. H":"92%","CONDITIONS":"TO PAY 997","COST PRICE":"","DATE BOUGHT":"9/20/2025","DESCRIPTION":"IPHONE 16","DEAL LOCATION":"","INTERNAL NOTE":"","NAME OF BUYER":"SEYIFUNMI","EXPENSE AMOUNT":"","NAME OF SELLER":"BROOK","PRODUCT STATUS":"SOLD","STATUS OF DEVICE":"UNLOCKED (PHY + ESIM)","CALCULATED PROFIT":"","EXPENSE DESCRIPTION":"","PHONE NUMBER OF BUYER":"07065500068","AVAILABILITY/DATE SOLD":"10/18/2025","PHONE NUMBER OF SELLER":"08136762183","RECEIPT &amp; EVIDIENCE LINK":""}</t>
  </si>
  <si>
    <t>f88374214d214d8d814dac9e2c585376</t>
  </si>
  <si>
    <t>969caeeed7112a1436f465f2f55ca766da0322de8aeaed9c07d941c5ff2ce8d8</t>
  </si>
  <si>
    <t>DON DELLA</t>
  </si>
  <si>
    <t>{"S/N":"181","IMEI":"353889108494922","TIME":"","COLOUR":"SPACE GRAY","DEVICE":"IPHONE","STORAGE":"64GB","Column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DATE":"","RECORD_ID":"f88374214d214d8d814dac9e2c585376","BATTERY. H":"90%","CONDITIONS":"PAID","COST PRICE":"","DATE BOUGHT":"9/26/2025","DESCRIPTION":"IPHONE 11 PRO MAX (CRACKED BACK)","DEAL LOCATION":"","INTERNAL NOTE":"","NAME OF BUYER":"DON DELLA","EXPENSE AMOUNT":"","NAME OF SELLER":"BERRY CASH","PRODUCT STATUS":"SOLD","STATUS OF DEVICE":"LOCKED","CALCULATED PROFIT":"","EXPENSE DESCRIPTION":"","PHONE NUMBER OF BUYER":"08137676322","AVAILABILITY/DATE SOLD":"10/4/2025","PHONE NUMBER OF SELLER":"09124881727","RECEIPT &amp; EVIDIENCE LINK":""}</t>
  </si>
  <si>
    <t>a1ec63080f3c408eaa3f44f08c86dcea</t>
  </si>
  <si>
    <t>e197dfaf3ca9ed5ae57db58de406256f63e64a396689123e03f0d003d5c88e02</t>
  </si>
  <si>
    <t>ELVIS</t>
  </si>
  <si>
    <t>{"S/N":"182","IMEI":"351661824246809","TIME":"","COLOUR":"BLUE TITANIUM","DEVICE":"IPHONE","STORAGE":"512GB","Column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DATE":"","RECORD_ID":"a1ec63080f3c408eaa3f44f08c86dcea","BATTERY. H":"89%","CONDITIONS":"","COST PRICE":"","DATE BOUGHT":"9/30/2025","DESCRIPTION":"IPHONE 15 PRO MAX","DEAL LOCATION":"","INTERNAL NOTE":"","NAME OF BUYER":"ELVIS","EXPENSE AMOUNT":"","NAME OF SELLER":"KD INTERIOR","PRODUCT STATUS":"SOLD","STATUS OF DEVICE":"ESIM UNLOCKED","CALCULATED PROFIT":"","EXPENSE DESCRIPTION":"","PHONE NUMBER OF BUYER":"08102522960","AVAILABILITY/DATE SOLD":"10/19/2025","PHONE NUMBER OF SELLER":"07071198392","RECEIPT &amp; EVIDIENCE LINK":""}</t>
  </si>
  <si>
    <t>a4c6f0ede393439b90c8ec9377e9aaab</t>
  </si>
  <si>
    <t>b368627177f90023ca1ba6636f1b862e99854c110155593a9ba6b2cb8b0a9cdc</t>
  </si>
  <si>
    <t>{"S/N":"183","IMEI":"356752981797091","TIME":"","COLOUR":"BLUE","DEVICE":"IPHONE","STORAGE":"128GB","Column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DATE":"","RECORD_ID":"a4c6f0ede393439b90c8ec9377e9aaab","BATTERY. H":"86%","CONDITIONS":"","COST PRICE":"","DATE BOUGHT":"9/30/2025","DESCRIPTION":"IPHONE 14 PLUS ","DEAL LOCATION":"","INTERNAL NOTE":"","NAME OF BUYER":"","EXPENSE AMOUNT":"","NAME OF SELLER":"OZ GADGETS","PRODUCT STATUS":"SOLD","STATUS OF DEVICE":"LOCKED","CALCULATED PROFIT":"","EXPENSE DESCRIPTION":"","PHONE NUMBER OF BUYER":"","AVAILABILITY/DATE SOLD":"","PHONE NUMBER OF SELLER":"08106293924","RECEIPT &amp; EVIDIENCE LINK":""}</t>
  </si>
  <si>
    <t>aa71df9578fb45a4a0dbb57d6cc7b5d8</t>
  </si>
  <si>
    <t>df4171b51860f445a1fa0e118dd0e1297d1b545e4915a07d9d5d56172da5ee1b</t>
  </si>
  <si>
    <t>ZEE TECHNOLOGY</t>
  </si>
  <si>
    <t>{"S/N":"184","IMEI":"350521066262644","TIME":"","COLOUR":"MIDNIGHT","DEVICE":"IPHONE","STORAGE":"128GB","Column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DATE":"","RECORD_ID":"aa71df9578fb45a4a0dbb57d6cc7b5d8","BATTERY. H":"83%","CONDITIONS":"","COST PRICE":"","DATE BOUGHT":"10/1/2025","DESCRIPTION":"IPHONE 13 ","DEAL LOCATION":"","INTERNAL NOTE":"","NAME OF BUYER":"ZEE TECHNOLOGY","EXPENSE AMOUNT":"","NAME OF SELLER":"CHUSTER","PRODUCT STATUS":"SOLD","STATUS OF DEVICE":"ICLOUD LOCKED (UNLOCK)","CALCULATED PROFIT":"","EXPENSE DESCRIPTION":"","PHONE NUMBER OF BUYER":"09033724061","AVAILABILITY/DATE SOLD":"10/2/2025","PHONE NUMBER OF SELLER":"07066514405","RECEIPT &amp; EVIDIENCE LINK":""}</t>
  </si>
  <si>
    <t>00df4dd96d8140dbaae1d3f2f96ea5a0</t>
  </si>
  <si>
    <t>8ba030d09ad1dd673ece4eeec13cde7f3ace2b10853185b946fce5230bdc507c</t>
  </si>
  <si>
    <t>BAHMS WARE</t>
  </si>
  <si>
    <t>{"S/N":"185","IMEI":"351133753328164","TIME":"","COLOUR":"MIDNIGHT","DEVICE":"IPHONE","STORAGE":"128GB","Column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DATE":"","RECORD_ID":"00df4dd96d8140dbaae1d3f2f96ea5a0","BATTERY. H":"83%","CONDITIONS":"","COST PRICE":"","DATE BOUGHT":"10/1/2025","DESCRIPTION":"IPHONE 13 ","DEAL LOCATION":"","INTERNAL NOTE":"","NAME OF BUYER":"BAHMS WARE","EXPENSE AMOUNT":"","NAME OF SELLER":"CHUSTER","PRODUCT STATUS":"SOLD","STATUS OF DEVICE":"ICLOUD LOCKED (UNLOCK)","CALCULATED PROFIT":"","EXPENSE DESCRIPTION":"","PHONE NUMBER OF BUYER":"","AVAILABILITY/DATE SOLD":"","PHONE NUMBER OF SELLER":"07066514405","RECEIPT &amp; EVIDIENCE LINK":""}</t>
  </si>
  <si>
    <t>eb693ce81dd246b9a6b4da7e0c1c5889</t>
  </si>
  <si>
    <t>04209dac6a96c00845f1d00129b50facee09448fc6e60a9dbd97f425ba628fe8</t>
  </si>
  <si>
    <t>OFFICER EMMANUEL</t>
  </si>
  <si>
    <t>{"S/N":"186","IMEI":"350232422073978","TIME":"","COLOUR":"PURPLE","DEVICE":"SAMSUNG","STORAGE":"128GB","Column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DATE":"","RECORD_ID":"eb693ce81dd246b9a6b4da7e0c1c5889","BATTERY. H":"-","CONDITIONS":"PAID","COST PRICE":"","DATE BOUGHT":"10/2/2025","DESCRIPTION":"SAMSUNG S21 PLUS","DEAL LOCATION":"","INTERNAL NOTE":"","NAME OF BUYER":"OFFICER EMMANUEL","EXPENSE AMOUNT":"","NAME OF SELLER":"DENIS4WARD TECHNOLOGY","PRODUCT STATUS":"SOLD","STATUS OF DEVICE":"UNLOCKED","CALCULATED PROFIT":"","EXPENSE DESCRIPTION":"","PHONE NUMBER OF BUYER":"08165973215","AVAILABILITY/DATE SOLD":"10/2/2025","PHONE NUMBER OF SELLER":"08038551439","RECEIPT &amp; EVIDIENCE LINK":""}</t>
  </si>
  <si>
    <t>8050c4095c7540b287c59e38026b4ebc</t>
  </si>
  <si>
    <t>45bdf0390cbf57137f326e82d04bbe63fca3ddc8394620e7c59fa703b03640a6</t>
  </si>
  <si>
    <t>STARBOX GLOBAL</t>
  </si>
  <si>
    <t>{"S/N":"187","IMEI":"351588826396086","TIME":"","COLOUR":"BLUE","DEVICE":"IPHONE","STORAGE":"128GB","Column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DATE":"","RECORD_ID":"8050c4095c7540b287c59e38026b4ebc","BATTERY. H":"87%","CONDITIONS":"PENDING PAYMENT","COST PRICE":"","DATE BOUGHT":"10/3/2025","DESCRIPTION":"IPHONE 12","DEAL LOCATION":"","INTERNAL NOTE":"","NAME OF BUYER":"STARBOX GLOBAL","EXPENSE AMOUNT":"","NAME OF SELLER":"PAULAZ GADGET","PRODUCT STATUS":"SOLD","STATUS OF DEVICE":"UNLOCKED (SEIZED)","CALCULATED PROFIT":"","EXPENSE DESCRIPTION":"","PHONE NUMBER OF BUYER":"09063620334","AVAILABILITY/DATE SOLD":"10/4/2025","PHONE NUMBER OF SELLER":"09138523505","RECEIPT &amp; EVIDIENCE LINK":""}</t>
  </si>
  <si>
    <t>6ee069d4c19846eea4cc3bccb06ecc54</t>
  </si>
  <si>
    <t>8bd804420fc40c70afb9d23a4fb0be1ab4036c24f85ecc2bcd20258b29a4f43c</t>
  </si>
  <si>
    <t>HANOCH FROSH</t>
  </si>
  <si>
    <t>{"S/N":"188","IMEI":"350165055577768","TIME":"","COLOUR":"SIERRA BLUE","DEVICE":"IPHONE","STORAGE":"128GB","Column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DATE":"","RECORD_ID":"6ee069d4c19846eea4cc3bccb06ecc54","BATTERY. H":"73%","CONDITIONS":"PENDING PAYMENT","COST PRICE":"","DATE BOUGHT":"10/3/2025","DESCRIPTION":"IPHONE 13 PRO","DEAL LOCATION":"","INTERNAL NOTE":"","NAME OF BUYER":"HANOCH FROSH","EXPENSE AMOUNT":"","NAME OF SELLER":"THANKGOD CONCEPT","PRODUCT STATUS":"SOLD","STATUS OF DEVICE":"UNLOCKED","CALCULATED PROFIT":"","EXPENSE DESCRIPTION":"","PHONE NUMBER OF BUYER":"07040395105","AVAILABILITY/DATE SOLD":"10/10/2025","PHONE NUMBER OF SELLER":"09060695934","RECEIPT &amp; EVIDIENCE LINK":""}</t>
  </si>
  <si>
    <t>be557d5696924a99bb7ce6b67ae10f16</t>
  </si>
  <si>
    <t>df5f81f5b51cc2b909e3f128d89946d3ae0a1ac1b31db49d6431e9e62a1d7fdd</t>
  </si>
  <si>
    <t>{"S/N":"189","IMEI":"354985552902169","TIME":"","COLOUR":"BLACK","DEVICE":"IPHONE","STORAGE":"256GB","Column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DATE":"","RECORD_ID":"be557d5696924a99bb7ce6b67ae10f16","BATTERY. H":"82%","CONDITIONS":"","COST PRICE":"","DATE BOUGHT":"","DESCRIPTION":"IPHONE 16 PRO","DEAL LOCATION":"","INTERNAL NOTE":"","NAME OF BUYER":"","EXPENSE AMOUNT":"","NAME OF SELLER":"","PRODUCT STATUS":"SOLD","STATUS OF DEVICE":"","CALCULATED PROFIT":"","EXPENSE DESCRIPTION":"","PHONE NUMBER OF BUYER":"","AVAILABILITY/DATE SOLD":"","PHONE NUMBER OF SELLER":"","RECEIPT &amp; EVIDIENCE LINK":""}</t>
  </si>
  <si>
    <t>2d6a0d97e81f4966a617195b9941c764</t>
  </si>
  <si>
    <t>65840b3399e89f3680b660c2a14befb34164222b53726c12d7a03e5963da6168</t>
  </si>
  <si>
    <t>{"S/N":"190","IMEI":"352164237251507","TIME":"","COLOUR":"WHITE","DEVICE":"IPHONE","STORAGE":"128GB","Column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DATE":"","RECORD_ID":"2d6a0d97e81f4966a617195b9941c764","BATTERY. H":"74%(90)","CONDITIONS":"","COST PRICE":"","DATE BOUGHT":"10/9/2025","DESCRIPTION":"IPHONE 13","DEAL LOCATION":"","INTERNAL NOTE":"","NAME OF BUYER":"DON","EXPENSE AMOUNT":"","NAME OF SELLER":"PRINZ GADGETS","PRODUCT STATUS":"SOLD","STATUS OF DEVICE":"UNLOCKED","CALCULATED PROFIT":"","EXPENSE DESCRIPTION":"","PHONE NUMBER OF BUYER":"08137676322","AVAILABILITY/DATE SOLD":"10/11/2025","PHONE NUMBER OF SELLER":"08073229131","RECEIPT &amp; EVIDIENCE LINK":""}</t>
  </si>
  <si>
    <t>458461a720db4b5ca0f6ffd63ebd1915</t>
  </si>
  <si>
    <t>a39a0f2b373567a3758480870fc9d3b039ba1421e84d8b0404191a9843386885</t>
  </si>
  <si>
    <t>{"S/N":"191","IMEI":"","TIME":"","COLOUR":"BLACK","DEVICE":"IPHONE","STORAGE":"256GB","Column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DATE":"","RECORD_ID":"458461a720db4b5ca0f6ffd63ebd1915","BATTERY. H":"81%(90%)","CONDITIONS":"","COST PRICE":"","DATE BOUGHT":"10/4/2025","DESCRIPTION":"IPHONE 14 PRO","DEAL LOCATION":"","INTERNAL NOTE":"","NAME OF BUYER":"ACTIVE GADGET","EXPENSE AMOUNT":"","NAME OF SELLER":"SIRMTECH","PRODUCT STATUS":"SOLD","STATUS OF DEVICE":"UNLOCKED","CALCULATED PROFIT":"","EXPENSE DESCRIPTION":"","PHONE NUMBER OF BUYER":"08145310779","AVAILABILITY/DATE SOLD":"10/18/2025","PHONE NUMBER OF SELLER":"08142646173","RECEIPT &amp; EVIDIENCE LINK":""}</t>
  </si>
  <si>
    <t>1d996155328c437d83d388b1c663e89c</t>
  </si>
  <si>
    <t>a4034cd2e8480df79c5c10d1af186083fe6549f204962b194451ac3fa77d0787</t>
  </si>
  <si>
    <t>{"S/N":"192","IMEI":"35189267423775","TIME":"","COLOUR":"WHITE","DEVICE":"IPHONE","STORAGE":"128GB","Column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DATE":"","RECORD_ID":"1d996155328c437d83d388b1c663e89c","BATTERY. H":"91%","CONDITIONS":"10/10/2025","COST PRICE":"","DATE BOUGHT":"10/6/2025","DESCRIPTION":"IPHONE 16","DEAL LOCATION":"","INTERNAL NOTE":"","NAME OF BUYER":"MONICA","EXPENSE AMOUNT":"","NAME OF SELLER":"STARBOX","PRODUCT STATUS":"SOLD","STATUS OF DEVICE":"APPLE ID LOCKED","CALCULATED PROFIT":"","EXPENSE DESCRIPTION":"","PHONE NUMBER OF BUYER":"09078545071","AVAILABILITY/DATE SOLD":"LOCKED","PHONE NUMBER OF SELLER":"09063620334","RECEIPT &amp; EVIDIENCE LINK":""}</t>
  </si>
  <si>
    <t>1c615c3e23e3405bbaa5f8fc4a88f737</t>
  </si>
  <si>
    <t>9f4abe3e482cfff18800830f354dd1972872bc35df706e9b44a318ffab87ae6d</t>
  </si>
  <si>
    <t>RICHIE</t>
  </si>
  <si>
    <t>{"S/N":"193","IMEI":"352306390093560","TIME":"","COLOUR":"BLACK","DEVICE":"IPHONE","STORAGE":"128GB","Column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DATE":"","RECORD_ID":"1c615c3e23e3405bbaa5f8fc4a88f737","BATTERY. H":"100%","CONDITIONS":"","COST PRICE":"","DATE BOUGHT":"10/10/2025","DESCRIPTION":"IPHONE 16","DEAL LOCATION":"","INTERNAL NOTE":"","NAME OF BUYER":"RICHIE","EXPENSE AMOUNT":"","NAME OF SELLER":"MONICA","PRODUCT STATUS":"SOLD","STATUS OF DEVICE":"LOCKED","CALCULATED PROFIT":"","EXPENSE DESCRIPTION":"","PHONE NUMBER OF BUYER":"08086382055","AVAILABILITY/DATE SOLD":"10/28/2025","PHONE NUMBER OF SELLER":"09078545071","RECEIPT &amp; EVIDIENCE LINK":""}</t>
  </si>
  <si>
    <t>3c99409754424bb1a4c0b99ba069739b</t>
  </si>
  <si>
    <t>69dddae0cd2cd08aa5f749fb821ec1caaa4929d2781f0be66719a4d9578c8d57</t>
  </si>
  <si>
    <t>{"S/N":"194","IMEI":"359843525872909","TIME":"","COLOUR":"BLUE","DEVICE":"IPHONE","STORAGE":"256GB","Column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DATE":"","RECORD_ID":"3c99409754424bb1a4c0b99ba069739b","BATTERY. H":"83%","CONDITIONS":"","COST PRICE":"","DATE BOUGHT":"10/14/2025","DESCRIPTION":"IPHONE 14","DEAL LOCATION":"","INTERNAL NOTE":"","NAME OF BUYER":"STARBOX","EXPENSE AMOUNT":"","NAME OF SELLER":"ABAYOMI AKINRULI","PRODUCT STATUS":"SOLD","STATUS OF DEVICE":"LOCKED","CALCULATED PROFIT":"","EXPENSE DESCRIPTION":"","PHONE NUMBER OF BUYER":"09063620334","AVAILABILITY/DATE SOLD":"10/15/2025","PHONE NUMBER OF SELLER":"08153978826","RECEIPT &amp; EVIDIENCE LINK":""}</t>
  </si>
  <si>
    <t>08a830699caa4fbb8899f6e3884eb899</t>
  </si>
  <si>
    <t>ab94b595fb16823e8ff18ae2312d9c3686847b990f3bb86391583be64382f721</t>
  </si>
  <si>
    <t>5CG93460KK</t>
  </si>
  <si>
    <t>{"S/N":"195","IMEI":"5CG93460KK","TIME":"","COLOUR":"SILVER","DEVICE":"LAPTOP","STORAGE":"8GB 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DATE":"","RECORD_ID":"08a830699caa4fbb8899f6e3884eb899","BATTERY. H":"-","CONDITIONS":"","COST PRICE":"","DATE BOUGHT":"10/13/2025","DESCRIPTION":"HP ELITEBOOK 830 G6","DEAL LOCATION":"","INTERNAL NOTE":"","NAME OF BUYER":"MD GADGS","EXPENSE AMOUNT":"","NAME OF SELLER":"OFFICIALYUNG","PRODUCT STATUS":"SOLD","STATUS OF DEVICE":"-","CALCULATED PROFIT":"","EXPENSE DESCRIPTION":"","PHONE NUMBER OF BUYER":"08166860603","AVAILABILITY/DATE SOLD":"10/14/2025","PHONE NUMBER OF SELLER":"09033890251","RECEIPT &amp; EVIDIENCE LINK":""}</t>
  </si>
  <si>
    <t>340f52b0cb7c4cada477e90d623d00ab</t>
  </si>
  <si>
    <t>0fb8b1d323cddbad652d2a68ef7e6a968e0971cb63fda25dd157d91718506259</t>
  </si>
  <si>
    <t>{"S/N":"196","IMEI":"","TIME":"","COLOUR":"SILVER","DEVICE":"LAPTOP","STORAGE":"8GB + 256GB","Column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DATE":"","RECORD_ID":"340f52b0cb7c4cada477e90d623d00ab","BATTERY. H":"-","CONDITIONS":"","COST PRICE":"","DATE BOUGHT":"10/14/2025","DESCRIPTION":"HP ELITEBOOK 1030 G2 X360","DEAL LOCATION":"","INTERNAL NOTE":"","NAME OF BUYER":"","EXPENSE AMOUNT":"","NAME OF SELLER":"ABAYOMI AKINRULI","PRODUCT STATUS":"SOLD","STATUS OF DEVICE":"-","CALCULATED PROFIT":"","EXPENSE DESCRIPTION":"","PHONE NUMBER OF BUYER":"","AVAILABILITY/DATE SOLD":"","PHONE NUMBER OF SELLER":"08153978826","RECEIPT &amp; EVIDIENCE LINK":""}</t>
  </si>
  <si>
    <t>83c5f237ed824c80b122a348662b85cd</t>
  </si>
  <si>
    <t>47f57cd928ee6a497ba9ae9597a7e278e371159b6131aaa6a46163e69f2df70c</t>
  </si>
  <si>
    <t>{"S/N":"197","IMEI":"355762297295517","TIME":"","COLOUR":"NATURAL TITANIUM","DEVICE":"IPHONE","STORAGE":"256GB","Column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DATE":"","RECORD_ID":"83c5f237ed824c80b122a348662b85cd","BATTERY. H":"100%","CONDITIONS":"","COST PRICE":"","DATE BOUGHT":"10/18/2025","DESCRIPTION":"IPHONE 16 PRO MAX","DEAL LOCATION":"","INTERNAL NOTE":"","NAME OF BUYER":"FATOKI PRECIOUS","EXPENSE AMOUNT":"","NAME OF SELLER":"CLARK GADGET","PRODUCT STATUS":"SOLD","STATUS OF DEVICE":"UNLOCKED","CALCULATED PROFIT":"","EXPENSE DESCRIPTION":"","PHONE NUMBER OF BUYER":"09133064536","AVAILABILITY/DATE SOLD":"10/18/2025","PHONE NUMBER OF SELLER":"07064459910","RECEIPT &amp; EVIDIENCE LINK":""}</t>
  </si>
  <si>
    <t>d3788ef0cf14462fbf658f275e08efd7</t>
  </si>
  <si>
    <t>a7f57528d4e78989027394028553493ddf7c71c706d612b54460bc6148708129</t>
  </si>
  <si>
    <t>359944090331154/98</t>
  </si>
  <si>
    <t>{"S/N":"198","IMEI":"359944090331154/98","TIME":"","COLOUR":"BLUE","DEVICE":"SAMSUNG","STORAGE":"4GB + 64GB","Column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DATE":"","RECORD_ID":"d3788ef0cf14462fbf658f275e08efd7","BATTERY. H":"-","CONDITIONS":"","COST PRICE":"","DATE BOUGHT":"10/18/2025","DESCRIPTION":"SAMSUNG S9 ","DEAL LOCATION":"","INTERNAL NOTE":"","NAME OF BUYER":"I-GEE","EXPENSE AMOUNT":"","NAME OF SELLER":"FATOKI PRECIOUS","PRODUCT STATUS":"SOLD","STATUS OF DEVICE":"UNLOCKED","CALCULATED PROFIT":"","EXPENSE DESCRIPTION":"","PHONE NUMBER OF BUYER":"07071736488","AVAILABILITY/DATE SOLD":"10/20/2025","PHONE NUMBER OF SELLER":"09133064536","RECEIPT &amp; EVIDIENCE LINK":""}</t>
  </si>
  <si>
    <t>d4364a4f83b4480ba5d3eb406ab1cc5a</t>
  </si>
  <si>
    <t>ef0df532934703bdd934c0adece16045f094b6a1aaea45335a1a025e31aaf2b8</t>
  </si>
  <si>
    <t>359725156876399/27</t>
  </si>
  <si>
    <t>{"S/N":"199","IMEI":"359725156876399/27","TIME":"","COLOUR":"WHITE","DEVICE":"SAMSUNG","STORAGE":"8GB + 128GB","Column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DATE":"","RECORD_ID":"d4364a4f83b4480ba5d3eb406ab1cc5a","BATTERY. H":"-","CONDITIONS":"","COST PRICE":"","DATE BOUGHT":"10/25/2025","DESCRIPTION":"SAMSUNG GALAXY S22 ULTRA","DEAL LOCATION":"","INTERNAL NOTE":"","NAME OF BUYER":"","EXPENSE AMOUNT":"","NAME OF SELLER":"MZEE GADGETS","PRODUCT STATUS":"SOLD","STATUS OF DEVICE":"UNLOCKED","CALCULATED PROFIT":"","EXPENSE DESCRIPTION":"","PHONE NUMBER OF BUYER":"","AVAILABILITY/DATE SOLD":"","PHONE NUMBER OF SELLER":"09038935833","RECEIPT &amp; EVIDIENCE LINK":""}</t>
  </si>
  <si>
    <t>d60d04824a7c40f5a1d30b4e5fbed996</t>
  </si>
  <si>
    <t>681429ccbf215b008ab9705d1c25c7acdf45bf5fef8277366924179c54b4bcae</t>
  </si>
  <si>
    <t>J7F906C7TT</t>
  </si>
  <si>
    <t>{"S/N":"200","IMEI":"J7F906C7TT","TIME":"","COLOUR":"GOLD","DEVICE":"IWATCH","STORAGE":"64GB","Column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DATE":"","RECORD_ID":"d60d04824a7c40f5a1d30b4e5fbed996","BATTERY. H":"100%","CONDITIONS":"","COST PRICE":"","DATE BOUGHT":"10/28/2025","DESCRIPTION":"IWATCH SERIES 10 42MM GPS","DEAL LOCATION":"","INTERNAL NOTE":"","NAME OF BUYER":"","EXPENSE AMOUNT":"","NAME OF SELLER":"MBENZ","PRODUCT STATUS":"SOLD","STATUS OF DEVICE":"UNLOCKED","CALCULATED PROFIT":"","EXPENSE DESCRIPTION":"","PHONE NUMBER OF BUYER":"","AVAILABILITY/DATE SOLD":"","PHONE NUMBER OF SELLER":"09038935833","RECEIPT &amp; EVIDIENCE LINK":""}</t>
  </si>
  <si>
    <t>718758b2d7724131b8f4868efca72375</t>
  </si>
  <si>
    <t>719d7234e71f84107a887881a2faa3fd5eb6f662445db55370fcbce5fb6cf374</t>
  </si>
  <si>
    <t>{"S/N":"201","IMEI":"351475534189070","TIME":"","COLOUR":"PINK","DEVICE":"IPHONE","STORAGE":"128GB","Column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DATE":"","RECORD_ID":"718758b2d7724131b8f4868efca72375","BATTERY. H":"66%","CONDITIONS":"","COST PRICE":"","DATE BOUGHT":"","DESCRIPTION":"IPHONE 13","DEAL LOCATION":"","INTERNAL NOTE":"","NAME OF BUYER":"DENIS4WARD TECHNOLOGY","EXPENSE AMOUNT":"","NAME OF SELLER":"AJ LEN\\S","PRODUCT STATUS":"SOLD","STATUS OF DEVICE":"UNLOCKED","CALCULATED PROFIT":"","EXPENSE DESCRIPTION":"","PHONE NUMBER OF BUYER":"08038551439","AVAILABILITY/DATE SOLD":"11/19/2025","PHONE NUMBER OF SELLER":"08160399061","RECEIPT &amp; EVIDIENCE LINK":""}</t>
  </si>
  <si>
    <t>0bb87359c34545a6a8bda7fe8d0b01b1</t>
  </si>
  <si>
    <t>e2a77dbe0690f24c15049da6a9e33ca41175f7c79e30542e742ccb08f05bd69c</t>
  </si>
  <si>
    <t>ADEKUNLE BUSAYO</t>
  </si>
  <si>
    <t>{"S/N":"202","IMEI":"359072843030673","TIME":"","COLOUR":"SIERRA BLUE","DEVICE":"IPHONE","STORAGE":"256GB","Column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DATE":"","RECORD_ID":"0bb87359c34545a6a8bda7fe8d0b01b1","BATTERY. H":"95%","CONDITIONS":"","COST PRICE":"","DATE BOUGHT":"11/7/2025","DESCRIPTION":"IPHONE 13 PRO","DEAL LOCATION":"","INTERNAL NOTE":"","NAME OF BUYER":"ADEKUNLE BUSAYO","EXPENSE AMOUNT":"","NAME OF SELLER":"OPALETI OLUWATOBI","PRODUCT STATUS":"SOLD","STATUS OF DEVICE":"UNLOCKED","CALCULATED PROFIT":"","EXPENSE DESCRIPTION":"","PHONE NUMBER OF BUYER":"08129032757","AVAILABILITY/DATE SOLD":"11/9/2025","PHONE NUMBER OF SELLER":"08108603111","RECEIPT &amp; EVIDIENCE LINK":""}</t>
  </si>
  <si>
    <t>c2df1fdc025b456e9e7235592db1b376</t>
  </si>
  <si>
    <t>debdc5d3182adb9070c6acfa38d1990d916c213d716d2d7e2035479ab4e7196e</t>
  </si>
  <si>
    <t>{"S/N":"203","IMEI":"353575222991832","TIME":"","COLOUR":"ULTRA MARINE","DEVICE":"IPHONE","STORAGE":"128GB","Column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DATE":"","RECORD_ID":"c2df1fdc025b456e9e7235592db1b376","BATTERY. H":"100%","CONDITIONS":"","COST PRICE":"","DATE BOUGHT":"11/5/2025","DESCRIPTION":"IPHONE 16","DEAL LOCATION":"","INTERNAL NOTE":"","NAME OF BUYER":"THANKGOD CONCEPT","EXPENSE AMOUNT":"","NAME OF SELLER":"KD INTERIOR","PRODUCT STATUS":"SOLD","STATUS OF DEVICE":"UNLOCKED","CALCULATED PROFIT":"","EXPENSE DESCRIPTION":"","PHONE NUMBER OF BUYER":"07071198392","AVAILABILITY/DATE SOLD":"11/9/2025","PHONE NUMBER OF SELLER":"07071198392","RECEIPT &amp; EVIDIENCE LINK":""}</t>
  </si>
  <si>
    <t>3e666809a55b4a52bce65bbbed18c848</t>
  </si>
  <si>
    <t>3e9fe6f9a2d9c68373f2ce0676588707dcb50e816261410a4e095625a90bbc41</t>
  </si>
  <si>
    <t>{"S/N":"204","IMEI":"354996264284754","TIME":"","COLOUR":"COSMIC ORANGE ","DEVICE":"IPHONE","STORAGE":"256GB","Column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DATE":"","RECORD_ID":"3e666809a55b4a52bce65bbbed18c848","BATTERY. H":"100%","CONDITIONS":"","COST PRICE":"","DATE BOUGHT":"11/5/2025","DESCRIPTION":"IPHONE 17 PRO","DEAL LOCATION":"","INTERNAL NOTE":"","NAME OF BUYER":"KAYWISE","EXPENSE AMOUNT":"","NAME OF SELLER":"ROLAND ","PRODUCT STATUS":"SOLD","STATUS OF DEVICE":"UNLOCKED","CALCULATED PROFIT":"","EXPENSE DESCRIPTION":"","PHONE NUMBER OF BUYER":"09032614464","AVAILABILITY/DATE SOLD":"11/18/2025","PHONE NUMBER OF SELLER":"07049945646","RECEIPT &amp; EVIDIENCE LINK":""}</t>
  </si>
  <si>
    <t>8b42e7013ba243c6b25c9f96ec3aa357</t>
  </si>
  <si>
    <t>75339f1cb5b72242c28ca2b3a9d8282957b31f5cd2af1c8d3e6a7d704529747f</t>
  </si>
  <si>
    <t>NEEDS DETAILS</t>
  </si>
  <si>
    <t>{"S/N":"205","IMEI":"354996264314536","TIME":"","COLOUR":"COSMIC ORANGE ","DEVICE":"IPHONE","STORAGE":"256GB","Column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DATE":"","RECORD_ID":"8b42e7013ba243c6b25c9f96ec3aa357","BATTERY. H":"100%","CONDITIONS":"","COST PRICE":"","DATE BOUGHT":"11/5/2025","DESCRIPTION":"IPHONE 17 PRO","DEAL LOCATION":"","INTERNAL NOTE":"","NAME OF BUYER":"","EXPENSE AMOUNT":"","NAME OF SELLER":"ROLAND ","PRODUCT STATUS":"NEEDS DETAILS","STATUS OF DEVICE":"UNLOCKED","CALCULATED PROFIT":"","EXPENSE DESCRIPTION":"","PHONE NUMBER OF BUYER":"","AVAILABILITY/DATE SOLD":"","PHONE NUMBER OF SELLER":"07049945646","RECEIPT &amp; EVIDIENCE LINK":""}</t>
  </si>
  <si>
    <t>0973277392f54ddbb967af7019c6576f</t>
  </si>
  <si>
    <t>064d57dffb747f58311cb2f65a7b4804a78c2e877d45ae43042466644174b1b5</t>
  </si>
  <si>
    <t>HADLARD COM.</t>
  </si>
  <si>
    <t>{"S/N":"206","IMEI":"351446988434544","TIME":"","COLOUR":"GOLD","DEVICE":"IPHONE","STORAGE":"128GB","Column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DATE":"","RECORD_ID":"0973277392f54ddbb967af7019c6576f","BATTERY. H":"82%","CONDITIONS":"","COST PRICE":"","DATE BOUGHT":"11/9/2025","DESCRIPTION":"IPHONE 14 PRO MAX","DEAL LOCATION":"","INTERNAL NOTE":"","NAME OF BUYER":"HADLARD COM.","EXPENSE AMOUNT":"","NAME OF SELLER":"LAWAL IBRAHIM","PRODUCT STATUS":"SOLD","STATUS OF DEVICE":"UNLOCKED","CALCULATED PROFIT":"","EXPENSE DESCRIPTION":"","PHONE NUMBER OF BUYER":"07030251517","AVAILABILITY/DATE SOLD":"11/11/2025","PHONE NUMBER OF SELLER":"08142860720","RECEIPT &amp; EVIDIENCE LINK":""}</t>
  </si>
  <si>
    <t>02541f3455534144be381c1efa674e9f</t>
  </si>
  <si>
    <t>4ae17801a63de07e6abdfc8578affe196dd7ee3065cdd237c652666d3df37182</t>
  </si>
  <si>
    <t>{"S/N":"207","IMEI":"351280854486498","TIME":"","COLOUR":"ULTRA MARINE","DEVICE":"IPHONE","STORAGE":"128GB","Column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DATE":"","RECORD_ID":"02541f3455534144be381c1efa674e9f","BATTERY. H":"90%","CONDITIONS":"","COST PRICE":"","DATE BOUGHT":"11/15/2025","DESCRIPTION":"IPHONE 16","DEAL LOCATION":"","INTERNAL NOTE":"","NAME OF BUYER":"DAH UNIQUE","EXPENSE AMOUNT":"","NAME OF SELLER":"DAZZLING LAUNDRY SERVICE","PRODUCT STATUS":"SOLD","STATUS OF DEVICE":"LOCKED","CALCULATED PROFIT":"","EXPENSE DESCRIPTION":"","PHONE NUMBER OF BUYER":"09070536253","AVAILABILITY/DATE SOLD":"","PHONE NUMBER OF SELLER":"07043505336","RECEIPT &amp; EVIDIENCE LINK":""}</t>
  </si>
  <si>
    <t>244471156db541d2b33cbfb660a94f77</t>
  </si>
  <si>
    <t>fe300f3f9a0aed9c9694adf77b7592fa3fb1004139c0b1f0a516869938e453b3</t>
  </si>
  <si>
    <t>JOHN (MD CLIENT)</t>
  </si>
  <si>
    <t>{"S/N":"208","IMEI":"350470395849343","TIME":"","COLOUR":"ULTRA MARINE","DEVICE":"IPHONE","STORAGE":"128GB","Column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DATE":"","RECORD_ID":"244471156db541d2b33cbfb660a94f77","BATTERY. H":"99%","CONDITIONS":"","COST PRICE":"","DATE BOUGHT":"11/12/2025","DESCRIPTION":"IPHONE 16","DEAL LOCATION":"","INTERNAL NOTE":"","NAME OF BUYER":"JOHN (MD CLIENT)","EXPENSE AMOUNT":"","NAME OF SELLER":"DEMIGLOBAL MULTISERVICE","PRODUCT STATUS":"SOLD","STATUS OF DEVICE":"LOCKED","CALCULATED PROFIT":"","EXPENSE DESCRIPTION":"","PHONE NUMBER OF BUYER":"07068251410","AVAILABILITY/DATE SOLD":"11/28/2025","PHONE NUMBER OF SELLER":"09066720385","RECEIPT &amp; EVIDIENCE LINK":""}</t>
  </si>
  <si>
    <t>42773c3b01fc448ab1947604028daaa4</t>
  </si>
  <si>
    <t>c4d93d498d5a52ca11e24914bce9ca715172f7f9830876331b718b44a3c68fd3</t>
  </si>
  <si>
    <t>{"S/N":"209","IMEI":"353431651842023","TIME":"","COLOUR":"BLUE TITANIUM","DEVICE":"IPHONE","STORAGE":"512GB","Column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DATE":"","RECORD_ID":"42773c3b01fc448ab1947604028daaa4","BATTERY. H":"91%","CONDITIONS":"","COST PRICE":"","DATE BOUGHT":"","DESCRIPTION":"IPHONE 15 PRO","DEAL LOCATION":"","INTERNAL NOTE":"","NAME OF BUYER":"","EXPENSE AMOUNT":"","NAME OF SELLER":"KAYWISE GADGET","PRODUCT STATUS":"SOLD","STATUS OF DEVICE":"","CALCULATED PROFIT":"","EXPENSE DESCRIPTION":"","PHONE NUMBER OF BUYER":"\u2022","AVAILABILITY/DATE SOLD":"3/10/2026","PHONE NUMBER OF SELLER":"09032614464","RECEIPT &amp; EVIDIENCE LINK":""}</t>
  </si>
  <si>
    <t>ed95b5f6bef94bb2bdcb313d16005352</t>
  </si>
  <si>
    <t>4c259ad7d296b6d71a9505b3fbbc3f954100747989d878dca72a993710bcd704</t>
  </si>
  <si>
    <t>5CG711150F</t>
  </si>
  <si>
    <t>{"S/N":"210","IMEI":"5CG711150F","TIME":"","COLOUR":"SILVER","DEVICE":"LAPTOP","STORAGE":"8GB + 256GB SSD","Column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DATE":"","RECORD_ID":"ed95b5f6bef94bb2bdcb313d16005352","BATTERY. H":"-","CONDITIONS":"","COST PRICE":"","DATE BOUGHT":"11/26/2025","DESCRIPTION":"HP ELITE X2 1012 G1","DEAL LOCATION":"","INTERNAL NOTE":"","NAME OF BUYER":"","EXPENSE AMOUNT":"","NAME OF SELLER":"SWHITE","PRODUCT STATUS":"SOLD","STATUS OF DEVICE":"-","CALCULATED PROFIT":"","EXPENSE DESCRIPTION":"","PHONE NUMBER OF BUYER":"","AVAILABILITY/DATE SOLD":"","PHONE NUMBER OF SELLER":"09049989559","RECEIPT &amp; EVIDIENCE LINK":""}</t>
  </si>
  <si>
    <t>f731033a73c54a0e980fba85de314aff</t>
  </si>
  <si>
    <t>76d4cc040fbc7a2aa642fa9d79fbe95e173ed944b5d261680ae9da1042a40711</t>
  </si>
  <si>
    <t>H4GGHCXG2F</t>
  </si>
  <si>
    <t>{"S/N":"211","IMEI":"H4GGHCXG2F","TIME":"","COLOUR":"BLACK","DEVICE":"IWATCH","STORAGE":"-","Column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DATE":"","RECORD_ID":"f731033a73c54a0e980fba85de314aff","BATTERY. H":"-","CONDITIONS":"","COST PRICE":"","DATE BOUGHT":"11/26/2025","DESCRIPTION":"IWATCHE SERIES 9 GPS","DEAL LOCATION":"","INTERNAL NOTE":"","NAME OF BUYER":"","EXPENSE AMOUNT":"","NAME OF SELLER":"AWILO","PRODUCT STATUS":"SOLD","STATUS OF DEVICE":"-","CALCULATED PROFIT":"","EXPENSE DESCRIPTION":"","PHONE NUMBER OF BUYER":"","AVAILABILITY/DATE SOLD":"","PHONE NUMBER OF SELLER":"07075923209","RECEIPT &amp; EVIDIENCE LINK":""}</t>
  </si>
  <si>
    <t>654c4dc9ab2345d59fe159f86b49dff4</t>
  </si>
  <si>
    <t>783b9f412b3204aa817d9d01611a3248396652077b1306ad9dc27724352d0175</t>
  </si>
  <si>
    <t>{"S/N":"212","IMEI":"357414199237290","TIME":"","COLOUR":"SILVER","DEVICE":"IPHONE","STORAGE":"256GB","Column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DATE":"","RECORD_ID":"654c4dc9ab2345d59fe159f86b49dff4","BATTERY. H":"","CONDITIONS":"","COST PRICE":"","DATE BOUGHT":"11/28/2025","DESCRIPTION":"IPHONE 14 PRO MAX","DEAL LOCATION":"","INTERNAL NOTE":"","NAME OF BUYER":"","EXPENSE AMOUNT":"","NAME OF SELLER":"TUNDE BABS","PRODUCT STATUS":"SOLD","STATUS OF DEVICE":"LOCKED (UNLOCKED)","CALCULATED PROFIT":"","EXPENSE DESCRIPTION":"","PHONE NUMBER OF BUYER":"","AVAILABILITY/DATE SOLD":"","PHONE NUMBER OF SELLER":"08130793960","RECEIPT &amp; EVIDIENCE LINK":""}</t>
  </si>
  <si>
    <t>32899329a06a40f1b8f41fc3e660520f</t>
  </si>
  <si>
    <t>621b0dc223dd1814aeb1bef054ef819a774acbc051d29ddf5179db2534f9d313</t>
  </si>
  <si>
    <t>8CG7175K61</t>
  </si>
  <si>
    <t>{"S/N":"213","IMEI":"8CG7175K61","TIME":"","COLOUR":"SILVER","DEVICE":"LAPTOP","STORAGE":"8GB + 256GB","Column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DATE":"","RECORD_ID":"32899329a06a40f1b8f41fc3e660520f","BATTERY. H":"-","CONDITIONS":"","COST PRICE":"","DATE BOUGHT":"11/28/2025","DESCRIPTION":"HP REVOLVE X810","DEAL LOCATION":"","INTERNAL NOTE":"","NAME OF BUYER":"","EXPENSE AMOUNT":"","NAME OF SELLER":"OWOLABI ISRAEL","PRODUCT STATUS":"SOLD","STATUS OF DEVICE":"UNLOCKED","CALCULATED PROFIT":"","EXPENSE DESCRIPTION":"","PHONE NUMBER OF BUYER":"","AVAILABILITY/DATE SOLD":"","PHONE NUMBER OF SELLER":"08112598873","RECEIPT &amp; EVIDIENCE LINK":""}</t>
  </si>
  <si>
    <t>41a701b8261947ef98a1e64fa873ff4a</t>
  </si>
  <si>
    <t>fc6d7e8c132231adf0b78a9bf5325f0a7640ad55b960fe60639f4fb9f84d1da2</t>
  </si>
  <si>
    <t>M47JTY0FW5</t>
  </si>
  <si>
    <t>{"S/N":"214","IMEI":"M47JTY0FW5","TIME":"","COLOUR":"SILVER","DEVICE":"IPAD","STORAGE":"128GB","Column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DATE":"","RECORD_ID":"41a701b8261947ef98a1e64fa873ff4a","BATTERY. H":"100%","CONDITIONS":"","COST PRICE":"","DATE BOUGHT":"","DESCRIPTION":"IPAD 11TH GEN ","DEAL LOCATION":"","INTERNAL NOTE":"","NAME OF BUYER":"","EXPENSE AMOUNT":"","NAME OF SELLER":"OZ GADGET","PRODUCT STATUS":"SOLD","STATUS OF DEVICE":"","CALCULATED PROFIT":"","EXPENSE DESCRIPTION":"","PHONE NUMBER OF BUYER":"","AVAILABILITY/DATE SOLD":"","PHONE NUMBER OF SELLER":"","RECEIPT &amp; EVIDIENCE LINK":""}</t>
  </si>
  <si>
    <t>f858f556f2b54efb9f5bdfc44b4367a0</t>
  </si>
  <si>
    <t>5591382c918ada7f73c291c036b128e6f13f4a2c2da4648006deda0c8ced9d97</t>
  </si>
  <si>
    <t>{"S/N":"215","IMEI":"","TIME":"","COLOUR":"RED","DEVICE":"","STORAGE":"128GB","Column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DATE":"","RECORD_ID":"f858f556f2b54efb9f5bdfc44b4367a0","BATTERY. H":"","CONDITIONS":"","COST PRICE":"","DATE BOUGHT":"","DESCRIPTION":"IPHONE 11","DEAL LOCATION":"","INTERNAL NOTE":"","NAME OF BUYER":"","EXPENSE AMOUNT":"","NAME OF SELLER":"","PRODUCT STATUS":"SOLD","STATUS OF DEVICE":"","CALCULATED PROFIT":"","EXPENSE DESCRIPTION":"","PHONE NUMBER OF BUYER":"","AVAILABILITY/DATE SOLD":"","PHONE NUMBER OF SELLER":"","RECEIPT &amp; EVIDIENCE LINK":""}</t>
  </si>
  <si>
    <t>568f7a45adf7404eb542003d7776d0a2</t>
  </si>
  <si>
    <t>a4d036e628476647d82c18722dd97ab720d5613ae821ac8b2fd9dae53f7a4816</t>
  </si>
  <si>
    <t>{"S/N":"216","IMEI":"356493667315169","TIME":"","COLOUR":"BLUE","DEVICE":"","STORAGE":"64GB","Column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DATE":"","RECORD_ID":"568f7a45adf7404eb542003d7776d0a2","BATTERY. H":"","CONDITIONS":"","COST PRICE":"","DATE BOUGHT":"","DESCRIPTION":"IPAD 10TH GEN","DEAL LOCATION":"","INTERNAL NOTE":"","NAME OF BUYER":"","EXPENSE AMOUNT":"","NAME OF SELLER":"","PRODUCT STATUS":"SOLD","STATUS OF DEVICE":"","CALCULATED PROFIT":"","EXPENSE DESCRIPTION":"","PHONE NUMBER OF BUYER":"","AVAILABILITY/DATE SOLD":"","PHONE NUMBER OF SELLER":"","RECEIPT &amp; EVIDIENCE LINK":""}</t>
  </si>
  <si>
    <t>490554c6e7f64e4f94c8acb1002439df</t>
  </si>
  <si>
    <t>9e5a44ff0c5b65af4da56b69265fb86a05390369497ea0b6e13df650b0bb27dd</t>
  </si>
  <si>
    <t>{"S/N":"217","IMEI":"351156783495059","TIME":"","COLOUR":"MIDNIGHT","DEVICE":"IPHONE","STORAGE":"64GB","Column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DATE":"","RECORD_ID":"490554c6e7f64e4f94c8acb1002439df","BATTERY. H":"100%","CONDITIONS":"","COST PRICE":"","DATE BOUGHT":"12/2/2025","DESCRIPTION":"IPHONE 12","DEAL LOCATION":"","INTERNAL NOTE":"","NAME OF BUYER":"","EXPENSE AMOUNT":"","NAME OF SELLER":"DAMOLA DESTINY","PRODUCT STATUS":"SOLD","STATUS OF DEVICE":"UNLOCKED","CALCULATED PROFIT":"","EXPENSE DESCRIPTION":"","PHONE NUMBER OF BUYER":"","AVAILABILITY/DATE SOLD":"","PHONE NUMBER OF SELLER":"08149930956","RECEIPT &amp; EVIDIENCE LINK":""}</t>
  </si>
  <si>
    <t>9a617a8e3bee4a0d8186213f6936691e</t>
  </si>
  <si>
    <t>729799273c1c9b511822b49852fc2f02a75c80e2753f34765ca88bb13eb16330</t>
  </si>
  <si>
    <t>{"S/N":"218","IMEI":"356422160839516","TIME":"","COLOUR":"ULTRA MARINE","DEVICE":"IPHONE","STORAGE":"128GB","Column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DATE":"","RECORD_ID":"9a617a8e3bee4a0d8186213f6936691e","BATTERY. H":"100%","CONDITIONS":"","COST PRICE":"","DATE BOUGHT":"","DESCRIPTION":"IPHONE 16 NON ACTIVE","DEAL LOCATION":"","INTERNAL NOTE":"","NAME OF BUYER":"","EXPENSE AMOUNT":"","NAME OF SELLER":"AYANFE MOBILE","PRODUCT STATUS":"SOLD","STATUS OF DEVICE":"","CALCULATED PROFIT":"","EXPENSE DESCRIPTION":"","PHONE NUMBER OF BUYER":"","AVAILABILITY/DATE SOLD":"","PHONE NUMBER OF SELLER":"","RECEIPT &amp; EVIDIENCE LINK":""}</t>
  </si>
  <si>
    <t>3c0672cb53f34391837cd60aa9317b29</t>
  </si>
  <si>
    <t>bd6d37cea34341760e7a76906c4511bba6bd3af1d58ac241037afa6a38c63031</t>
  </si>
  <si>
    <t>{"S/N":"219","IMEI":"356422162316778","TIME":"","COLOUR":"BLACK","DEVICE":"IPHONE","STORAGE":"128GB","Column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DATE":"","RECORD_ID":"3c0672cb53f34391837cd60aa9317b29","BATTERY. H":"100%","CONDITIONS":"NONE","COST PRICE":"","DATE BOUGHT":"12/3/2025","DESCRIPTION":"IPHONE 16 NON ACTIVE","DEAL LOCATION":"","INTERNAL NOTE":"","NAME OF BUYER":"DENIS4WARD TECHNOLOGY","EXPENSE AMOUNT":"","NAME OF SELLER":"AYANFE MOBILE","PRODUCT STATUS":"SOLD","STATUS OF DEVICE":"UNLOCKED","CALCULATED PROFIT":"","EXPENSE DESCRIPTION":"","PHONE NUMBER OF BUYER":"08038551439","AVAILABILITY/DATE SOLD":"12/4/2025","PHONE NUMBER OF SELLER":"","RECEIPT &amp; EVIDIENCE LINK":""}</t>
  </si>
  <si>
    <t>bdc67bd9905d4c22bdecbdd9ba5a009e</t>
  </si>
  <si>
    <t>96deb8477cf0f1bb96903a763f485a7383e49aa377ed283e33f79e2e7aec5e16</t>
  </si>
  <si>
    <t>{"S/N":"220","IMEI":"359824379492614","TIME":"","COLOUR":"BLUE TITANIUM","DEVICE":"","STORAGE":"256GB","Column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DATE":"","RECORD_ID":"bdc67bd9905d4c22bdecbdd9ba5a009e","BATTERY. H":"","CONDITIONS":"","COST PRICE":"","DATE BOUGHT":"","DESCRIPTION":"IPHONE 15 PRO MAX ","DEAL LOCATION":"","INTERNAL NOTE":"","NAME OF BUYER":"","EXPENSE AMOUNT":"","NAME OF SELLER":"","PRODUCT STATUS":"SOLD","STATUS OF DEVICE":"","CALCULATED PROFIT":"","EXPENSE DESCRIPTION":"","PHONE NUMBER OF BUYER":"","AVAILABILITY/DATE SOLD":"","PHONE NUMBER OF SELLER":"","RECEIPT &amp; EVIDIENCE LINK":""}</t>
  </si>
  <si>
    <t>691d70027a8c4d61909f916414758abe</t>
  </si>
  <si>
    <t>8bd3cc53c0cba9aeb81bb74ce0854d39ed9613902192f8644a95374d39c7e368</t>
  </si>
  <si>
    <t>MG243705540</t>
  </si>
  <si>
    <t>{"S/N":"221","IMEI":"MG243705540","TIME":"","COLOUR":"BLACK","DEVICE":"CONSOLE","STORAGE":"500GB","Column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DATE":"","RECORD_ID":"691d70027a8c4d61909f916414758abe","BATTERY. H":"-","CONDITIONS":"","COST PRICE":"","DATE BOUGHT":"11/11/2025","DESCRIPTION":"PS4 SLIM","DEAL LOCATION":"","INTERNAL NOTE":"","NAME OF BUYER":"DON","EXPENSE AMOUNT":"","NAME OF SELLER":"POPI","PRODUCT STATUS":"SOLD","STATUS OF DEVICE":"","CALCULATED PROFIT":"","EXPENSE DESCRIPTION":"","PHONE NUMBER OF BUYER":"","AVAILABILITY/DATE SOLD":"","PHONE NUMBER OF SELLER":"","RECEIPT &amp; EVIDIENCE LINK":""}</t>
  </si>
  <si>
    <t>cc2336de861047cf936b4a8ff33af398</t>
  </si>
  <si>
    <t>f299ff8c6a77bbce58a7d8e6f1772d9510302c56a31f8f4c753acde93aa126ec</t>
  </si>
  <si>
    <t>357463820179322/14</t>
  </si>
  <si>
    <t>{"S/N":"222","IMEI":"357463820179322/14","TIME":"","COLOUR":"GRAPHITE","DEVICE":"SAMSUNG","STORAGE":"12 + 256GB","Column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DATE":"","RECORD_ID":"cc2336de861047cf936b4a8ff33af398","BATTERY. H":"-","CONDITIONS":"","COST PRICE":"","DATE BOUGHT":"","DESCRIPTION":"SAMSUNG S24 ULTRA","DEAL LOCATION":"","INTERNAL NOTE":"","NAME OF BUYER":"","EXPENSE AMOUNT":"","NAME OF SELLER":"SAMSON","PRODUCT STATUS":"SOLD","STATUS OF DEVICE":"","CALCULATED PROFIT":"","EXPENSE DESCRIPTION":"","PHONE NUMBER OF BUYER":"","AVAILABILITY/DATE SOLD":"","PHONE NUMBER OF SELLER":"","RECEIPT &amp; EVIDIENCE LINK":""}</t>
  </si>
  <si>
    <t>2b1c8a3dd2304ee4bbaa4adeb50aa66b</t>
  </si>
  <si>
    <t>4d6caffffaa4c31bf79635b161ec5c1e34a51be1b7110ea5359dbaef776b1e0c</t>
  </si>
  <si>
    <t>KJ9HYF9F59</t>
  </si>
  <si>
    <t>{"S/N":"223","IMEI":"KJ9HYF9F59","TIME":"","COLOUR":"SILVER","DEVICE":"","STORAGE":"64GB","Column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DATE":"","RECORD_ID":"2b1c8a3dd2304ee4bbaa4adeb50aa66b","BATTERY. H":"","CONDITIONS":"","COST PRICE":"","DATE BOUGHT":"","DESCRIPTION":"IPAD 10TH GEN","DEAL LOCATION":"","INTERNAL NOTE":"","NAME OF BUYER":"","EXPENSE AMOUNT":"","NAME OF SELLER":"","PRODUCT STATUS":"SOLD","STATUS OF DEVICE":"","CALCULATED PROFIT":"","EXPENSE DESCRIPTION":"","PHONE NUMBER OF BUYER":"","AVAILABILITY/DATE SOLD":"","PHONE NUMBER OF SELLER":"","RECEIPT &amp; EVIDIENCE LINK":""}</t>
  </si>
  <si>
    <t>b0d0ec0809134bc38c9e50a6ebfc0687</t>
  </si>
  <si>
    <t>76085d1619c0e7313fab94023078261a964ecb56011133747cca2bdb466f87a4</t>
  </si>
  <si>
    <t>{"S/N":"224","IMEI":"354509713653071","TIME":"","COLOUR":"SIERRA BLUE","DEVICE":"IPHONE","STORAGE":"256GB","Column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DATE":"","RECORD_ID":"b0d0ec0809134bc38c9e50a6ebfc0687","BATTERY. H":"86","CONDITIONS":"","COST PRICE":"","DATE BOUGHT":"","DESCRIPTION":"IPHONE 13 PRO","DEAL LOCATION":"","INTERNAL NOTE":"","NAME OF BUYER":"","EXPENSE AMOUNT":"","NAME OF SELLER":"","PRODUCT STATUS":"SOLD","STATUS OF DEVICE":"","CALCULATED PROFIT":"","EXPENSE DESCRIPTION":"","PHONE NUMBER OF BUYER":"","AVAILABILITY/DATE SOLD":"","PHONE NUMBER OF SELLER":"","RECEIPT &amp; EVIDIENCE LINK":""}</t>
  </si>
  <si>
    <t>0fb9b941f38244388f0b1ee37b743277</t>
  </si>
  <si>
    <t>4443032c8d66a2bf353550312e9a012e3b22bf770b1163122295b2fbc1a42615</t>
  </si>
  <si>
    <t>{"S/N":"225","IMEI":"356487145927504","TIME":"","COLOUR":"GRAPHITE","DEVICE":"IPHONE 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DATE":"","RECORD_ID":"0fb9b941f38244388f0b1ee37b743277","BATTERY. H":"89","CONDITIONS":"","COST PRICE":"","DATE BOUGHT":"","DESCRIPTION":"IPHONE 12 PRO MAX","DEAL LOCATION":"","INTERNAL NOTE":"","NAME OF BUYER":"","EXPENSE AMOUNT":"","NAME OF SELLER":"KEMI FROM SEUN","PRODUCT STATUS":"SOLD","STATUS OF DEVICE":"","CALCULATED PROFIT":"","EXPENSE DESCRIPTION":"","PHONE NUMBER OF BUYER":"","AVAILABILITY/DATE SOLD":"","PHONE NUMBER OF SELLER":"","RECEIPT &amp; EVIDIENCE LINK":""}</t>
  </si>
  <si>
    <t>39088e8bd3a6477f85bf56e8a7cdac2e</t>
  </si>
  <si>
    <t>fd6d04a212c61aa80ebe39b6cfbc7363702d2fdd73d18fb069699f234316c6b1</t>
  </si>
  <si>
    <t>OLA OG SCOTT</t>
  </si>
  <si>
    <t>{"S/N":"226","IMEI":"351465644967036","TIME":"","COLOUR":"WHITE TITANIUM ","DEVICE":"IPHONE","STORAGE":"256GB","Column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DATE":"","RECORD_ID":"39088e8bd3a6477f85bf56e8a7cdac2e","BATTERY. H":"87%","CONDITIONS":"","COST PRICE":"","DATE BOUGHT":"2/2/2026","DESCRIPTION":"IPHONE 15 PRO MAX","DEAL LOCATION":"","INTERNAL NOTE":"","NAME OF BUYER":"OLA OG SCOTT","EXPENSE AMOUNT":"","NAME OF SELLER":"JAMEX ","PRODUCT STATUS":"SOLD","STATUS OF DEVICE":"LOCKED","CALCULATED PROFIT":"","EXPENSE DESCRIPTION":"","PHONE NUMBER OF BUYER":"2347079248521","AVAILABILITY/DATE SOLD":"2/5/2026","PHONE NUMBER OF SELLER":"07033260364","RECEIPT &amp; EVIDIENCE LINK":""}</t>
  </si>
  <si>
    <t>0e67d00146cb46449b3e037b4085cc3a</t>
  </si>
  <si>
    <t>9c54c7a2343e389efcd8d3819bbafb16ee138d23f2ff2a5a812d7c4aa66debc0</t>
  </si>
  <si>
    <t>{"S/N":"227","IMEI":"355721799980281","TIME":"","COLOUR":"BLUE TITANIUM","DEVICE":"IPHONE","STORAGE":"128GB","Column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DATE":"","RECORD_ID":"0e67d00146cb46449b3e037b4085cc3a","BATTERY. H":"87%","CONDITIONS":"","COST PRICE":"","DATE BOUGHT":"2/2/2026","DESCRIPTION":"IPHONE 15 PRO P + E","DEAL LOCATION":"","INTERNAL NOTE":"","NAME OF BUYER":"","EXPENSE AMOUNT":"","NAME OF SELLER":"OZ GADGET","PRODUCT STATUS":"SOLD","STATUS OF DEVICE":"UNLOCKED","CALCULATED PROFIT":"","EXPENSE DESCRIPTION":"","PHONE NUMBER OF BUYER":"","AVAILABILITY/DATE SOLD":"","PHONE NUMBER OF SELLER":"08106293924","RECEIPT &amp; EVIDIENCE LINK":""}</t>
  </si>
  <si>
    <t>96b8e6a8d39b45d484b73a031b40233b</t>
  </si>
  <si>
    <t>94985cfd8c4256109e968aa939d20b416038eb75be9f796fcae6cdee42c0230b</t>
  </si>
  <si>
    <t>{"S/N":"228","IMEI":"354496318217173","TIME":"","COLOUR":"BLUE TITANIUM","DEVICE":"IPHONE","STORAGE":"128GB","Column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DATE":"","RECORD_ID":"96b8e6a8d39b45d484b73a031b40233b","BATTERY. H":"87%","CONDITIONS":"","COST PRICE":"","DATE BOUGHT":"2/2/2026","DESCRIPTION":"IPHONE 15 PRO P + E","DEAL LOCATION":"","INTERNAL NOTE":"","NAME OF BUYER":"","EXPENSE AMOUNT":"","NAME OF SELLER":"OZ GADGET","PRODUCT STATUS":"SOLD","STATUS OF DEVICE":"UNLOCKED","CALCULATED PROFIT":"","EXPENSE DESCRIPTION":"","PHONE NUMBER OF BUYER":"","AVAILABILITY/DATE SOLD":"","PHONE NUMBER OF SELLER":"08106293924","RECEIPT &amp; EVIDIENCE LINK":""}</t>
  </si>
  <si>
    <t>eedd222ef1b04b47a46944352c5a1adb</t>
  </si>
  <si>
    <t>9535a05d065e1c2091b5f3db56bfc7081f5e5bef42cbd1073d5bce67433428be</t>
  </si>
  <si>
    <t>{"S/N":"229","IMEI":"DQXWYGP1WC","TIME":"","COLOUR":"BLACK","DEVICE":"IWATCH","STORAGE":"-","Column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DATE":"","RECORD_ID":"eedd222ef1b04b47a46944352c5a1adb","BATTERY. H":"-","CONDITIONS":"","COST PRICE":"","DATE BOUGHT":"2/2/2026","DESCRIPTION":"SERIES 8 GPS 45MM","DEAL LOCATION":"","INTERNAL NOTE":"","NAME OF BUYER":"AYANFE","EXPENSE AMOUNT":"","NAME OF SELLER":"JAMEX ","PRODUCT STATUS":"SOLD","STATUS OF DEVICE":"UNLOCKED","CALCULATED PROFIT":"","EXPENSE DESCRIPTION":"","PHONE NUMBER OF BUYER":"2348138108648","AVAILABILITY/DATE SOLD":"04/20/2026","PHONE NUMBER OF SELLER":"07033260364","RECEIPT &amp; EVIDIENCE LINK":""}</t>
  </si>
  <si>
    <t>6e498666ad0b424481f2ff822bb76396</t>
  </si>
  <si>
    <t>31296e98e295b659efe32b4a903e23918c7c1d0e3d4ad61f55a50dadc3ea4749</t>
  </si>
  <si>
    <t>{"S/N":"230","IMEI":"H4GGHCXG2F","TIME":"","COLOUR":"BLACK","DEVICE":"IWATCH","STORAGE":"-","Column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DATE":"","RECORD_ID":"6e498666ad0b424481f2ff822bb76396","BATTERY. H":"-","CONDITIONS":"","COST PRICE":"","DATE BOUGHT":"11/26/2025","DESCRIPTION":"SERIES 9 GPS 45MM","DEAL LOCATION":"","INTERNAL NOTE":"","NAME OF BUYER":"","EXPENSE AMOUNT":"","NAME OF SELLER":"AWILO","PRODUCT STATUS":"SOLD","STATUS OF DEVICE":"UNLOCKED","CALCULATED PROFIT":"","EXPENSE DESCRIPTION":"","PHONE NUMBER OF BUYER":"","AVAILABILITY/DATE SOLD":"","PHONE NUMBER OF SELLER":"08139335667","RECEIPT &amp; EVIDIENCE LINK":""}</t>
  </si>
  <si>
    <t>9e37f3b27bc541609eaee72af1eab4ad</t>
  </si>
  <si>
    <t>4f7fbc6bcfea8c6e560661fd294d3965e6db80eba98288ced3dcf9f98e86f5fe</t>
  </si>
  <si>
    <t>ZADDY ROLAND</t>
  </si>
  <si>
    <t>{"S/N":"231","IMEI":"359164493487400","TIME":"","COLOUR":"TEAL","DEVICE":"IPHONE","STORAGE":"128GB","Column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DATE":"","RECORD_ID":"9e37f3b27bc541609eaee72af1eab4ad","BATTERY. H":"91%","CONDITIONS":"","COST PRICE":"","DATE BOUGHT":"1/31/2026","DESCRIPTION":"IPHONE 16 P+E","DEAL LOCATION":"","INTERNAL NOTE":"","NAME OF BUYER":"ZADDY ROLAND","EXPENSE AMOUNT":"","NAME OF SELLER":"OG SCOTT","PRODUCT STATUS":"sold","STATUS OF DEVICE":"UNLOCKED","CALCULATED PROFIT":"","EXPENSE DESCRIPTION":"","PHONE NUMBER OF BUYER":"09132912436","AVAILABILITY/DATE SOLD":"2/3/2026","PHONE NUMBER OF SELLER":"08140980933","RECEIPT &amp; EVIDIENCE LINK":""}</t>
  </si>
  <si>
    <t>01970f022a834cd89cc716afcb205e0b</t>
  </si>
  <si>
    <t>aaa38ea6e3d2451cc7dba20fca3c120d5eb7206d0c7e65b8c10b02e50c533c3a</t>
  </si>
  <si>
    <t>BERRY CASH</t>
  </si>
  <si>
    <t>{"S/N":"232","IMEI":"353841081915761","TIME":"","COLOUR":"BLACK","DEVICE":"IPHONE","STORAGE":"256GB","Column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DATE":"","RECORD_ID":"01970f022a834cd89cc716afcb205e0b","BATTERY. H":"98%","CONDITIONS":"","COST PRICE":"","DATE BOUGHT":"1/31/2026","DESCRIPTION":"IPHONE 7","DEAL LOCATION":"","INTERNAL NOTE":"","NAME OF BUYER":"BERRY CASH","EXPENSE AMOUNT":"","NAME OF SELLER":"7 FLASH","PRODUCT STATUS":"SOLD","STATUS OF DEVICE":"UNLOCKED","CALCULATED PROFIT":"","EXPENSE DESCRIPTION":"","PHONE NUMBER OF BUYER":"2349124881727","AVAILABILITY/DATE SOLD":"2/5/2026","PHONE NUMBER OF SELLER":"09036986983","RECEIPT &amp; EVIDIENCE LINK":""}</t>
  </si>
  <si>
    <t>f0ae7be45e7845da9911d542e44cef48</t>
  </si>
  <si>
    <t>433959cd0ac4653b09f8cfee38b474a00cb1dd0e4d3ac2cb6aa721aa140abbfd</t>
  </si>
  <si>
    <t>{"S/N":"233","IMEI":"350991541697468","TIME":"","COLOUR":"WHITE","DEVICE":"IPHONE","STORAGE":"256GB","Column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DATE":"","RECORD_ID":"f0ae7be45e7845da9911d542e44cef48","BATTERY. H":"92%","CONDITIONS":"","COST PRICE":"","DATE BOUGHT":"1/31/2026","DESCRIPTION":"IPHONE 16 PLUS","DEAL LOCATION":"","INTERNAL NOTE":"","NAME OF BUYER":"JONAH","EXPENSE AMOUNT":"","NAME OF SELLER":"LOCATION","PRODUCT STATUS":"SOLD","STATUS OF DEVICE":"UNLOCKED","CALCULATED PROFIT":"","EXPENSE DESCRIPTION":"","PHONE NUMBER OF BUYER":"2348106265881","AVAILABILITY/DATE SOLD":"2/4/2026","PHONE NUMBER OF SELLER":"08164982726","RECEIPT &amp; EVIDIENCE LINK":""}</t>
  </si>
  <si>
    <t>2ff174fb2c6740c39d97ffdb7a0c7054</t>
  </si>
  <si>
    <t>db1824065471d1df831ebfa296b8849e19e2a3bd32abbdb3a86b3115c466d620</t>
  </si>
  <si>
    <t>CHRIS CHRONICLES</t>
  </si>
  <si>
    <t>{"S/N":"234","IMEI":"35776985040570","TIME":"","COLOUR":"MIDNIGHT","DEVICE":"IPHONE","STORAGE":"128GB","Column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DATE":"","RECORD_ID":"2ff174fb2c6740c39d97ffdb7a0c7054","BATTERY. H":"87%","CONDITIONS":"","COST PRICE":"","DATE BOUGHT":"1/28/2026","DESCRIPTION":"IPHONE 14 WITH BOX","DEAL LOCATION":"","INTERNAL NOTE":"","NAME OF BUYER":"CHRIS CHRONICLES","EXPENSE AMOUNT":"","NAME OF SELLER":"KING FCG","PRODUCT STATUS":"SOLD","STATUS OF DEVICE":"UNLOCKED","CALCULATED PROFIT":"","EXPENSE DESCRIPTION":"","PHONE NUMBER OF BUYER":"08138408833","AVAILABILITY/DATE SOLD":"2/3/2026","PHONE NUMBER OF SELLER":"09068121856","RECEIPT &amp; EVIDIENCE LINK":""}</t>
  </si>
  <si>
    <t>e6d15dbe29df4d7ebe26b51c623a09b4</t>
  </si>
  <si>
    <t>0e8f2bf15f24ec50c22fa8c48d1410f54c486f4de3bfaa19e948be51f2e51dc6</t>
  </si>
  <si>
    <t>{"S/N":"235","IMEI":"354178508141252","TIME":"","COLOUR":"BLACK","DEVICE":"IPHONE","STORAGE":"256GB","Column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DATE":"","RECORD_ID":"e6d15dbe29df4d7ebe26b51c623a09b4","BATTERY. H":"88%","CONDITIONS":"SWAPPED WITH AN IPHONE 14 PEOPLE PURPLE","COST PRICE":"","DATE BOUGHT":"2/3/2026","DESCRIPTION":"IPHONE 16","DEAL LOCATION":"","INTERNAL NOTE":"","NAME OF BUYER":"CLINTON GADGET","EXPENSE AMOUNT":"","NAME OF SELLER":"NURUDEEN 5 * 5","PRODUCT STATUS":"SOLD","STATUS OF DEVICE":"UNLOCKED","CALCULATED PROFIT":"","EXPENSE DESCRIPTION":"","PHONE NUMBER OF BUYER":"2349138407575","AVAILABILITY/DATE SOLD":"2/17/2026","PHONE NUMBER OF SELLER":"09122727950","RECEIPT &amp; EVIDIENCE LINK":""}</t>
  </si>
  <si>
    <t>7d2e829005cf4eab8d2e48626c60d14d</t>
  </si>
  <si>
    <t>2deb43e397743ba4cede0fbbcbb9232660ad4c18876a6f74d94221509b6bec0d</t>
  </si>
  <si>
    <t>{"S/N":"236","IMEI":"351592242986884","TIME":"","COLOUR":"MIDNIGNT","DEVICE":"IPHONE 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DATE":"","RECORD_ID":"7d2e829005cf4eab8d2e48626c60d14d","BATTERY. H":"87%","CONDITIONS":"","COST PRICE":"","DATE BOUGHT":"2/3/2026","DESCRIPTION":"IPHONE 14","DEAL LOCATION":"","INTERNAL NOTE":"","NAME OF BUYER":"XPIFF","EXPENSE AMOUNT":"","NAME OF SELLER":"JONAH","PRODUCT STATUS":"SOLD","STATUS OF DEVICE":"UNLOCKED","CALCULATED PROFIT":"","EXPENSE DESCRIPTION":"","PHONE NUMBER OF BUYER":"2348164388087","AVAILABILITY/DATE SOLD":"2/5/2026","PHONE NUMBER OF SELLER":"2348106265881","RECEIPT &amp; EVIDIENCE LINK":""}</t>
  </si>
  <si>
    <t>2ccf316df8234062b92401e5c23b1872</t>
  </si>
  <si>
    <t>e5ae9268b08a003dbb110d28a4070c82bbcc6cecf85fcae815ba782c18bd16c0</t>
  </si>
  <si>
    <t>{"S/N":"237","IMEI":"351582379112024","TIME":"","COLOUR":"BLACK","DEVICE":"IPHONE 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DATE":"","RECORD_ID":"2ccf316df8234062b92401e5c23b1872","BATTERY. H":"92%","CONDITIONS":"","COST PRICE":"","DATE BOUGHT":"2/4/2026","DESCRIPTION":"IPHONE 16","DEAL LOCATION":"","INTERNAL NOTE":"","NAME OF BUYER":"PRINZE GADGET","EXPENSE AMOUNT":"","NAME OF SELLER":"DAVID OG SCOTT","PRODUCT STATUS":"SOLD","STATUS OF DEVICE":"LOCKED","CALCULATED PROFIT":"","EXPENSE DESCRIPTION":"","PHONE NUMBER OF BUYER":"08073229131","AVAILABILITY/DATE SOLD":"3/12/2026","PHONE NUMBER OF SELLER":"2349167226596","RECEIPT &amp; EVIDIENCE LINK":""}</t>
  </si>
  <si>
    <t>a3f5c3772f83466e86a9c99b0c611a56</t>
  </si>
  <si>
    <t>b6ae63ded64f7490b8ede72446e669496fbb79ff1023a2e033ee494de7a3e89f</t>
  </si>
  <si>
    <t>DAVID OG SCOTT</t>
  </si>
  <si>
    <t>{"S/N":"238","IMEI":"350922059167172","TIME":"","COLOUR":"BLACK","DEVICE":"IPHONE 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DATE":"","RECORD_ID":"a3f5c3772f83466e86a9c99b0c611a56","BATTERY. H":"100%","CONDITIONS":"","COST PRICE":"","DATE BOUGHT":"2/4/2026","DESCRIPTION":"IPHONE 16 PRO","DEAL LOCATION":"","INTERNAL NOTE":"","NAME OF BUYER":"DAVID OG SCOTT","EXPENSE AMOUNT":"","NAME OF SELLER":"DAMBOX","PRODUCT STATUS":"SOLD","STATUS OF DEVICE":"LOCKED","CALCULATED PROFIT":"","EXPENSE DESCRIPTION":"","PHONE NUMBER OF BUYER":"2349167226596","AVAILABILITY/DATE SOLD":"2/4/2026","PHONE NUMBER OF SELLER":"09040943517","RECEIPT &amp; EVIDIENCE LINK":""}</t>
  </si>
  <si>
    <t>921e829e0ae94da3a25409196ce861e9</t>
  </si>
  <si>
    <t>72c5f7a64b566792bdac8ca8e62631284216d2b5dfadb59631d24301f5895598</t>
  </si>
  <si>
    <t>PENDING DEAL</t>
  </si>
  <si>
    <t>{"S/N":"239","IMEI":"358915828246758","TIME":"","COLOUR":"BLACK","DEVICE":"IPHONE","STORAGE":"128GB","Column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DATE":"","RECORD_ID":"921e829e0ae94da3a25409196ce861e9","BATTERY. H":"100%","CONDITIONS":"","COST PRICE":"","DATE BOUGHT":"2/4/2026","DESCRIPTION":"IPHONE 16 PLUS","DEAL LOCATION":"","INTERNAL NOTE":"","NAME OF BUYER":"PHLEMZY","EXPENSE AMOUNT":"","NAME OF SELLER":"Eli Dollar","PRODUCT STATUS":"PENDING DEAL","STATUS OF DEVICE":"LOCKED","CALCULATED PROFIT":"","EXPENSE DESCRIPTION":"","PHONE NUMBER OF BUYER":"2349065642565","AVAILABILITY/DATE SOLD":"PENDING DEAL","PHONE NUMBER OF SELLER":"07048810996","RECEIPT &amp; EVIDIENCE LINK":""}</t>
  </si>
  <si>
    <t>ce08706b53f14fabb6a2be218951322c</t>
  </si>
  <si>
    <t>02f07f590b855ac582f077c0adf2276512b099ad93f794046bceda3b3a289874</t>
  </si>
  <si>
    <t>{"S/N":"240","IMEI":"862439070040255","TIME":"","COLOUR":"LIGHT VIOLET","DEVICE":"IPHONE","STORAGE":"128GB","Column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DATE":"","RECORD_ID":"ce08706b53f14fabb6a2be218951322c","BATTERY. H":"100%","CONDITIONS":"","COST PRICE":"","DATE BOUGHT":"2/4/2026","DESCRIPTION":"SAMSUNG A14","DEAL LOCATION":"","INTERNAL NOTE":"","NAME OF BUYER":"","EXPENSE AMOUNT":"","NAME OF SELLER":"DENIS4WARD TECHNOLOGY","PRODUCT STATUS":"SOLD","STATUS OF DEVICE":"UNLOCKED","CALCULATED PROFIT":"","EXPENSE DESCRIPTION":"","PHONE NUMBER OF BUYER":"","AVAILABILITY/DATE SOLD":"","PHONE NUMBER OF SELLER":"08038551439","RECEIPT &amp; EVIDIENCE LINK":""}</t>
  </si>
  <si>
    <t>4139691df43b4f52b86de96e9affb5df</t>
  </si>
  <si>
    <t>64e030691d42430b4cec770f0bc23cd7e2343c4193056cf5ada5e0ef11c90b14</t>
  </si>
  <si>
    <t>{"S/N":"241","IMEI":"352890115836692","TIME":"","COLOUR":"RED","DEVICE":"IPHONE","STORAGE":"64GB","Column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DATE":"","RECORD_ID":"4139691df43b4f52b86de96e9affb5df","BATTERY. H":"81%","CONDITIONS":"","COST PRICE":"","DATE BOUGHT":"1/31/2026","DESCRIPTION":"IPHONE XR","DEAL LOCATION":"","INTERNAL NOTE":"","NAME OF BUYER":"DAMBOX","EXPENSE AMOUNT":"","NAME OF SELLER":"ADE ALABAMA","PRODUCT STATUS":"SOLD","STATUS OF DEVICE":"UNLOCKED","CALCULATED PROFIT":"","EXPENSE DESCRIPTION":"","PHONE NUMBER OF BUYER":"09040943517","AVAILABILITY/DATE SOLD":"2/5/2026","PHONE NUMBER OF SELLER":"08103463072","RECEIPT &amp; EVIDIENCE LINK":""}</t>
  </si>
  <si>
    <t>d5b028661ea04317b03d85d1e04ef879</t>
  </si>
  <si>
    <t>34acd71f28a552af76d9be6ee222d1ff6836dce3f4b71b7c944dab5aa638c9a3</t>
  </si>
  <si>
    <t>352329100121372/71</t>
  </si>
  <si>
    <t>{"S/N":"242","IMEI":"352329100121372/71","TIME":"","COLOUR":"BLAXK","DEVICE":"SAMSUNG","STORAGE":"128GB","Column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DATE":"","RECORD_ID":"d5b028661ea04317b03d85d1e04ef879","BATTERY. H":"-","CONDITIONS":"","COST PRICE":"","DATE BOUGHT":"2/7/2026","DESCRIPTION":"SAMSUNG GALAXY S10","DEAL LOCATION":"","INTERNAL NOTE":"","NAME OF BUYER":"","EXPENSE AMOUNT":"","NAME OF SELLER":"SAMMY CONCEPT","PRODUCT STATUS":"SOLD","STATUS OF DEVICE":"UNLOCKED","CALCULATED PROFIT":"","EXPENSE DESCRIPTION":"","PHONE NUMBER OF BUYER":"","AVAILABILITY/DATE SOLD":"","PHONE NUMBER OF SELLER":"2349037002617","RECEIPT &amp; EVIDIENCE LINK":""}</t>
  </si>
  <si>
    <t>abc67fb6688b4270995b3182f9a32ffe</t>
  </si>
  <si>
    <t>ae13acc53647b5a0d60031468e5abfc15496119886d772a861c9434384e584ce</t>
  </si>
  <si>
    <t>355019640548625/42</t>
  </si>
  <si>
    <t>{"S/N":"243","IMEI":"355019640548625/42","TIME":"","COLOUR":"BLACK","DEVICE":"SAMSUNG","STORAGE":"128GB","Column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DATE":"","RECORD_ID":"abc67fb6688b4270995b3182f9a32ffe","BATTERY. H":"-","CONDITIONS":"","COST PRICE":"","DATE BOUGHT":"2/7/2026","DESCRIPTION":"SAMSUNG GALAXY S21","DEAL LOCATION":"","INTERNAL NOTE":"","NAME OF BUYER":"","EXPENSE AMOUNT":"","NAME OF SELLER":"DENIS4WARD TECHNOLOGY","PRODUCT STATUS":"SOLD","STATUS OF DEVICE":"UNLOCKED","CALCULATED PROFIT":"","EXPENSE DESCRIPTION":"","PHONE NUMBER OF BUYER":"","AVAILABILITY/DATE SOLD":"","PHONE NUMBER OF SELLER":"08038551439","RECEIPT &amp; EVIDIENCE LINK":""}</t>
  </si>
  <si>
    <t>4b45e52216ca4f7aac80c22b08fd8b75</t>
  </si>
  <si>
    <t>ddb94f79118cdc2bfa32a8081be8cb7f8703d5b47f0ee39ed711d8bd1fa57946</t>
  </si>
  <si>
    <t>NEXUS STV</t>
  </si>
  <si>
    <t>{"S/N":"244","IMEI":"356444107071458","TIME":"","COLOUR":"BLACK","DEVICE":"IPHONE","STORAGE":"64GB","Column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DATE":"","RECORD_ID":"4b45e52216ca4f7aac80c22b08fd8b75","BATTERY. H":"81%","CONDITIONS":"","COST PRICE":"","DATE BOUGHT":"2/2/2026","DESCRIPTION":"IPHONE XR","DEAL LOCATION":"","INTERNAL NOTE":"","NAME OF BUYER":"NEXUS STV","EXPENSE AMOUNT":"","NAME OF SELLER":"PRECIOUS LUXE","PRODUCT STATUS":"SOLD","STATUS OF DEVICE":"UNLOCKED","CALCULATED PROFIT":"","EXPENSE DESCRIPTION":"","PHONE NUMBER OF BUYER":"2347036020042","AVAILABILITY/DATE SOLD":"2/7/2026","PHONE NUMBER OF SELLER":"2348142441129","RECEIPT &amp; EVIDIENCE LINK":""}</t>
  </si>
  <si>
    <t>8332ae64aea84012a074e53e62214275</t>
  </si>
  <si>
    <t>fa3346c743ba8051fcdea2cba31f1e86fd9678424d3f3dc43be6241c921f52d5</t>
  </si>
  <si>
    <t>{"S/N":"245","IMEI":"353762466103551","TIME":"","COLOUR":"STARLIGHT","DEVICE":"IPHONE","STORAGE":"128GB","Column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DATE":"","RECORD_ID":"8332ae64aea84012a074e53e62214275","BATTERY. H":"79%","CONDITIONS":"","COST PRICE":"","DATE BOUGHT":"1/31/2026","DESCRIPTION":"IPHONE 13","DEAL LOCATION":"","INTERNAL NOTE":"","NAME OF BUYER":"PRINZE GADGET","EXPENSE AMOUNT":"","NAME OF SELLER":"IAMKENNYLESKY","PRODUCT STATUS":"SOLD","STATUS OF DEVICE":"LOCKED","CALCULATED PROFIT":"","EXPENSE DESCRIPTION":"","PHONE NUMBER OF BUYER":"2348073229131","AVAILABILITY/DATE SOLD":"2/7/2026","PHONE NUMBER OF SELLER":"07060545118","RECEIPT &amp; EVIDIENCE LINK":""}</t>
  </si>
  <si>
    <t>b6c2d338853542f79894c0214abc0845</t>
  </si>
  <si>
    <t>42d136411e71202a5ed2ef1540c0e57405071ffbd1bdf86a6265386cbe7f694a</t>
  </si>
  <si>
    <t>{"S/N":"246","IMEI":"354741550229463","TIME":"","COLOUR":"BLACK","DEVICE":"IPHONE","STORAGE":"128GB","Column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DATE":"","RECORD_ID":"b6c2d338853542f79894c0214abc0845","BATTERY. H":"96%","CONDITIONS":"","COST PRICE":"","DATE BOUGHT":"2/7/2026","DESCRIPTION":"IPHONE 16 E","DEAL LOCATION":"","INTERNAL NOTE":"","NAME OF BUYER":"JENNIFER","EXPENSE AMOUNT":"","NAME OF SELLER":"OZ GADGET","PRODUCT STATUS":"SOLD","STATUS OF DEVICE":"LOCKED","CALCULATED PROFIT":"","EXPENSE DESCRIPTION":"","PHONE NUMBER OF BUYER":"2348105838181","AVAILABILITY/DATE SOLD":"2/21/2026","PHONE NUMBER OF SELLER":"08106293924","RECEIPT &amp; EVIDIENCE LINK":""}</t>
  </si>
  <si>
    <t>90a8f0b9cb7641cb9e975bb7ba545249</t>
  </si>
  <si>
    <t>84a9fd6e548ce84d8870f94f7a388026c8c22388848dfe0f2026f4b0bb68c621</t>
  </si>
  <si>
    <t>{"S/N":"247","IMEI":"","TIME":"","COLOUR":"PACIFIC BLUE","DEVICE":"IPHONE","STORAGE":"128GB","Column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DATE":"","RECORD_ID":"90a8f0b9cb7641cb9e975bb7ba545249","BATTERY. H":"100% UV","CONDITIONS":"","COST PRICE":"","DATE BOUGHT":"","DESCRIPTION":"IPHONE 12 PRO MAX","DEAL LOCATION":"","INTERNAL NOTE":"","NAME OF BUYER":"","EXPENSE AMOUNT":"","NAME OF SELLER":"JOZMAT COMPUTERS","PRODUCT STATUS":"SOLD","STATUS OF DEVICE":"UNLOCKED","CALCULATED PROFIT":"","EXPENSE DESCRIPTION":"","PHONE NUMBER OF BUYER":"","AVAILABILITY/DATE SOLD":"","PHONE NUMBER OF SELLER":"2349032286178","RECEIPT &amp; EVIDIENCE LINK":""}</t>
  </si>
  <si>
    <t>2cd4584c67a24845adc320004f5475e1</t>
  </si>
  <si>
    <t>b0b35fcdc6c881cb6c46def425560e4b3c2749e4c84812fc290245c048e7e3ea</t>
  </si>
  <si>
    <t>{"S/N":"248","IMEI":"","TIME":"","COLOUR":"SILVER","DEVICE":"","STORAGE":"64GB","Column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DATE":"","RECORD_ID":"2cd4584c67a24845adc320004f5475e1","BATTERY. H":"","CONDITIONS":"","COST PRICE":"","DATE BOUGHT":"2/18/2026","DESCRIPTION":"IPHONE 11 PRO","DEAL LOCATION":"","INTERNAL NOTE":"","NAME OF BUYER":"","EXPENSE AMOUNT":"","NAME OF SELLER":"","PRODUCT STATUS":"SOLD","STATUS OF DEVICE":"","CALCULATED PROFIT":"","EXPENSE DESCRIPTION":"","PHONE NUMBER OF BUYER":"","AVAILABILITY/DATE SOLD":"","PHONE NUMBER OF SELLER":"","RECEIPT &amp; EVIDIENCE LINK":""}</t>
  </si>
  <si>
    <t>b3c2764331e54d00988fec174f298c57</t>
  </si>
  <si>
    <t>b195ef4f484b14090ceae1041a494f5dbb7326b353327e34b02d53a4c7b14d47</t>
  </si>
  <si>
    <t>MATRO (OG SCOTT)</t>
  </si>
  <si>
    <t>{"S/N":"249","IMEI":"356542103397585","TIME":"","COLOUR":"WHITE","DEVICE":"IPHONE","STORAGE":"64GB","Column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DATE":"","RECORD_ID":"b3c2764331e54d00988fec174f298c57","BATTERY. H":"84%","CONDITIONS":"","COST PRICE":"","DATE BOUGHT":"2/9/2026","DESCRIPTION":"IPHONE 11","DEAL LOCATION":"","INTERNAL NOTE":"","NAME OF BUYER":"MATRO (OG SCOTT)","EXPENSE AMOUNT":"","NAME OF SELLER":"NWANJA ONYEKACHI","PRODUCT STATUS":"SOLD","STATUS OF DEVICE":"UNLOCKED","CALCULATED PROFIT":"","EXPENSE DESCRIPTION":"","PHONE NUMBER OF BUYER":"2348142786890","AVAILABILITY/DATE SOLD":"2/9/2026","PHONE NUMBER OF SELLER":"08167819698","RECEIPT &amp; EVIDIENCE LINK":""}</t>
  </si>
  <si>
    <t>7014bea50a38418b8f280d446e097e58</t>
  </si>
  <si>
    <t>3e845ee37997d3642cbc026ac7501f43d4aecfcb848a3e06e4474d71cf5e6682</t>
  </si>
  <si>
    <t>JOY</t>
  </si>
  <si>
    <t>{"S/N":"250","IMEI":"356440108654318","TIME":"","COLOUR":"BLACK","DEVICE":"IPHONE","STORAGE":"64GB","Column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DATE":"","RECORD_ID":"7014bea50a38418b8f280d446e097e58","BATTERY. H":"84%","CONDITIONS":"","COST PRICE":"","DATE BOUGHT":"2/9/2026","DESCRIPTION":"IPHONE XR","DEAL LOCATION":"","INTERNAL NOTE":"","NAME OF BUYER":"JOY","EXPENSE AMOUNT":"","NAME OF SELLER":"FIRST CLASS FURNITURE","PRODUCT STATUS":"SOLD","STATUS OF DEVICE":"UNLOCKED","CALCULATED PROFIT":"","EXPENSE DESCRIPTION":"","PHONE NUMBER OF BUYER":"08100725239","AVAILABILITY/DATE SOLD":"2/9/2026","PHONE NUMBER OF SELLER":"070318451980","RECEIPT &amp; EVIDIENCE LINK":""}</t>
  </si>
  <si>
    <t>8c25c44b1436412490600e1904b83440</t>
  </si>
  <si>
    <t>b524df15054b2bf8ff31b933d812e59f57c1043d851bb85d3f25452d3e0adb47</t>
  </si>
  <si>
    <t>{"S/N":"251","IMEI":"353662256514381","TIME":"","COLOUR":"WHITE","DEVICE":"IPHONE","STORAGE":"128GB","Column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DATE":"","RECORD_ID":"8c25c44b1436412490600e1904b83440","BATTERY. H":"87%","CONDITIONS":"SWAPPED WITH WHITE 15... 5154869","COST PRICE":"","DATE BOUGHT":"2/9/2026","DESCRIPTION":"IPHONE 15","DEAL LOCATION":"","INTERNAL NOTE":"","NAME OF BUYER":"BIGSAM","EXPENSE AMOUNT":"","NAME OF SELLER":"HUNTER LIFE","PRODUCT STATUS":"SOLD","STATUS OF DEVICE":"UNLOCKED","CALCULATED PROFIT":"","EXPENSE DESCRIPTION":"","PHONE NUMBER OF BUYER":"2348103367143","AVAILABILITY/DATE SOLD":"2/11/2026","PHONE NUMBER OF SELLER":"2348061986331","RECEIPT &amp; EVIDIENCE LINK":""}</t>
  </si>
  <si>
    <t>750d2b21ff5a43db988949af1bedf0da</t>
  </si>
  <si>
    <t>d7c9db9df5180e516bb02a9054ab6e14ad9c10bed50bdf60694d79b2006a18f9</t>
  </si>
  <si>
    <t>AVAILABLE</t>
  </si>
  <si>
    <t>{"S/N":"252","IMEI":"354243574015213","TIME":"","COLOUR":"JET BLACK","DEVICE":"SAMSUNG","STORAGE":"512GB","Column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DATE":"","RECORD_ID":"750d2b21ff5a43db988949af1bedf0da","BATTERY. H":"-","CONDITIONS":"","COST PRICE":"","DATE BOUGHT":"1/11/2026","DESCRIPTION":"SAMSUNG GALAXY FOLD 7","DEAL LOCATION":"","INTERNAL NOTE":"","NAME OF BUYER":"","EXPENSE AMOUNT":"","NAME OF SELLER":"QUEEN GADGET","PRODUCT STATUS":"AVAILABLE","STATUS OF DEVICE":"UNLOCKED","CALCULATED PROFIT":"","EXPENSE DESCRIPTION":"","PHONE NUMBER OF BUYER":"","AVAILABILITY/DATE SOLD":"","PHONE NUMBER OF SELLER":"2348140708006","RECEIPT &amp; EVIDIENCE LINK":""}</t>
  </si>
  <si>
    <t>8a3b2c5df0fa452e93401642733c2178</t>
  </si>
  <si>
    <t>6c5bf9635db99983c2e10c6c30bd5ea452815558ff9c1e9cdc975d07b77464b3</t>
  </si>
  <si>
    <t>CURTIS ESIM</t>
  </si>
  <si>
    <t>{"S/N":"253","IMEI":" 359702372508430","TIME":"","COLOUR":" BLACK","DEVICE":" IPHONE","STORAGE":" 1TB","Column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DATE":"","RECORD_ID":"8a3b2c5df0fa452e93401642733c2178","BATTERY. H":"90%","CONDITIONS":"CHANGE SCREEN","COST PRICE":"","DATE BOUGHT":"2/10/2026","DESCRIPTION":" IPHONE 14 PRO MAX","DEAL LOCATION":"","INTERNAL NOTE":"","NAME OF BUYER":"CURTIS ESIM","EXPENSE AMOUNT":"","NAME OF SELLER":"MASTERY MOBILE","PRODUCT STATUS":"SOLD","STATUS OF DEVICE":"UNLOCKED","CALCULATED PROFIT":"","EXPENSE DESCRIPTION":"","PHONE NUMBER OF BUYER":"2349035711584","AVAILABILITY/DATE SOLD":"3/18/2026","PHONE NUMBER OF SELLER":"2348027964718","RECEIPT &amp; EVIDIENCE LINK":"DENIS COLLECTED AND RETURNED "}</t>
  </si>
  <si>
    <t>92611ad8b3004c0c94e4fddfaac50256</t>
  </si>
  <si>
    <t>d0913503175cd61b76db008ca91903a0c90898b760aa10efbbe0abddab6357ce</t>
  </si>
  <si>
    <t>5CG8164T2Q</t>
  </si>
  <si>
    <t>{"S/N":"254","IMEI":"5CG8164T2Q","TIME":"","COLOUR":"SILVER","DEVICE":"LAPTOP","STORAGE":"16GB + 256GB","Column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DATE":"","RECORD_ID":"92611ad8b3004c0c94e4fddfaac50256","BATTERY. H":"-","CONDITIONS":"IT WAS FIRST COLLECTED BY SAD BOI WHICH HE RETURNED DUE TO SPEAKER ISSUE","COST PRICE":"","DATE BOUGHT":"2/11/2026","DESCRIPTION":"HP ELITEBOOK 1030 G2 X360","DEAL LOCATION":"","INTERNAL NOTE":"","NAME OF BUYER":"IBRAHIM GADGS","EXPENSE AMOUNT":"","NAME OF SELLER":"CC HP 1030 G2","PRODUCT STATUS":"SOLD","STATUS OF DEVICE":"UNLOCKED","CALCULATED PROFIT":"","EXPENSE DESCRIPTION":"","PHONE NUMBER OF BUYER":"2349060724788","AVAILABILITY/DATE SOLD":"2/19/2026","PHONE NUMBER OF SELLER":"08132024442","RECEIPT &amp; EVIDIENCE LINK":""}</t>
  </si>
  <si>
    <t>ad6ce676a0a74d4ebfd0ff2a71d6218d</t>
  </si>
  <si>
    <t>016ae16d250dd68504577f937a84c654d1f112136688d66c61ed3bc76b013213</t>
  </si>
  <si>
    <t>HJRK60KZJKM9</t>
  </si>
  <si>
    <t>{"S/N":"255","IMEI":"HJRK60KZJKM9","TIME":"","COLOUR":"WHITE","DEVICE":"APPLE PEN","STORAGE":"-","Column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DATE":"","RECORD_ID":"ad6ce676a0a74d4ebfd0ff2a71d6218d","BATTERY. H":"","CONDITIONS":"","COST PRICE":"","DATE BOUGHT":"12/3/2025","DESCRIPTION":"APPLE PEN SECOND GENERATION","DEAL LOCATION":"","INTERNAL NOTE":"","NAME OF BUYER":"","EXPENSE AMOUNT":"","NAME OF SELLER":"THANKGOD CONCEPT","PRODUCT STATUS":"SOLD","STATUS OF DEVICE":"-","CALCULATED PROFIT":"","EXPENSE DESCRIPTION":"","PHONE NUMBER OF BUYER":"","AVAILABILITY/DATE SOLD":"","PHONE NUMBER OF SELLER":"2349060695934","RECEIPT &amp; EVIDIENCE LINK":""}</t>
  </si>
  <si>
    <t>bce8620e722c434580d777358918c031</t>
  </si>
  <si>
    <t>5afdfb734461a62be899dbb20739a6994049b140900220811dbd2630fe19bd25</t>
  </si>
  <si>
    <t>359032080578289/84</t>
  </si>
  <si>
    <t>{"S/N":"256","IMEI":"359032080578289/84","TIME":"","COLOUR":"BLACK","DEVICE":"SAMSUNG","STORAGE":"2+64GB","Column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DATE":"","RECORD_ID":"bce8620e722c434580d777358918c031","BATTERY. H":"-","CONDITIONS":"UPPER SPEAKER ISSUE","COST PRICE":"","DATE BOUGHT":"2/7/2026","DESCRIPTION":"SAMSUNG GALAXY S8","DEAL LOCATION":"","INTERNAL NOTE":"","NAME OF BUYER":"GNF ","EXPENSE AMOUNT":"","NAME OF SELLER":"IAM KENNYLESKY","PRODUCT STATUS":"SOLD","STATUS OF DEVICE":"UNLOCKED","CALCULATED PROFIT":"","EXPENSE DESCRIPTION":"","PHONE NUMBER OF BUYER":"2348160373526","AVAILABILITY/DATE SOLD":"2/16/2026","PHONE NUMBER OF SELLER":"07060545118","RECEIPT &amp; EVIDIENCE LINK":""}</t>
  </si>
  <si>
    <t>5007a6cfa87d46e191f89548481d3e8b</t>
  </si>
  <si>
    <t>a22f2d455c1e755a29d148abe8c3e880f56fffcca50c4f939a1587c4f2002c3a</t>
  </si>
  <si>
    <t>353325703051676/73</t>
  </si>
  <si>
    <t>TAIWO HASSAN</t>
  </si>
  <si>
    <t>{"S/N":"257","IMEI":"353325703051676/73","TIME":"","COLOUR":"BLACK","DEVICE":"SAMSUNG","STORAGE":"128GB","Column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DATE":"","RECORD_ID":"5007a6cfa87d46e191f89548481d3e8b","BATTERY. H":"-","CONDITIONS":"REPLACED ","COST PRICE":"","DATE BOUGHT":"2/11/2026","DESCRIPTION":"SAMSUNG GALAXY S21","DEAL LOCATION":"","INTERNAL NOTE":"","NAME OF BUYER":"TAIWO HASSAN","EXPENSE AMOUNT":"","NAME OF SELLER":"HOLLAH GADGET","PRODUCT STATUS":"SOLD","STATUS OF DEVICE":"UNLOCKED","CALCULATED PROFIT":"","EXPENSE DESCRIPTION":"","PHONE NUMBER OF BUYER":"07060546175","AVAILABILITY/DATE SOLD":"2/11/2026","PHONE NUMBER OF SELLER":"2347067100970","RECEIPT &amp; EVIDIENCE LINK":""}</t>
  </si>
  <si>
    <t>847c2f466b9c49c9b81b26f9644ef8dc</t>
  </si>
  <si>
    <t>085cae413ff6d72860a7a612dfad0f87cab3b38c18a3a6288af8dc7e9bf89cfa</t>
  </si>
  <si>
    <t>prinze gadgets</t>
  </si>
  <si>
    <t>{"S/N":"259","IMEI":"356295374969208","TIME":"","COLOUR":"MIDNIGHT","DEVICE":"IPHONE","STORAGE":"128GB","Column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DATE":"","RECORD_ID":"847c2f466b9c49c9b81b26f9644ef8dc","BATTERY. H":"81%","CONDITIONS":"","COST PRICE":"","DATE BOUGHT":"2/16/2026","DESCRIPTION":"IPHONE 14 PLUS ","DEAL LOCATION":"","INTERNAL NOTE":"","NAME OF BUYER":"prinze gadgets","EXPENSE AMOUNT":"","NAME OF SELLER":"JOY 13","PRODUCT STATUS":"SOLD","STATUS OF DEVICE":"LOCKED","CALCULATED PROFIT":"","EXPENSE DESCRIPTION":"","PHONE NUMBER OF BUYER":"2348073229131","AVAILABILITY/DATE SOLD":"1/27/2026","PHONE NUMBER OF SELLER":"08100725239","RECEIPT &amp; EVIDIENCE LINK":""}</t>
  </si>
  <si>
    <t>5a568a50cf4941bdbc3db6af6fdbb086</t>
  </si>
  <si>
    <t>0eead9e2f7c61b0d27d513b0202a305d44724caf7fb4d9be8b1aa5f62d5a1a08</t>
  </si>
  <si>
    <t>{"S/N":"260","IMEI":"353070097381244","TIME":"","COLOUR":"BLACK","DEVICE":"IPHONE","STORAGE":"32GB","Column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DATE":"","RECORD_ID":"5a568a50cf4941bdbc3db6af6fdbb086","BATTERY. H":"84%","CONDITIONS":"","COST PRICE":"","DATE BOUGHT":"2/15/2026","DESCRIPTION":"IPHONE 7","DEAL LOCATION":"","INTERNAL NOTE":"","NAME OF BUYER":"","EXPENSE AMOUNT":"","NAME OF SELLER":"JOY 13","PRODUCT STATUS":"SOLD","STATUS OF DEVICE":"UNLOCKED","CALCULATED PROFIT":"","EXPENSE DESCRIPTION":"","PHONE NUMBER OF BUYER":"","AVAILABILITY/DATE SOLD":"","PHONE NUMBER OF SELLER":"08100725239","RECEIPT &amp; EVIDIENCE LINK":""}</t>
  </si>
  <si>
    <t>8542eeed3b374cfc930149e78e652b47</t>
  </si>
  <si>
    <t>4e7778c59709ac249a4311528a51902d4672b0b906acc6cb99c5574a7f1883ea</t>
  </si>
  <si>
    <t>{"S/N":"261","IMEI":"","TIME":"","COLOUR":"BLACK","DEVICE":"","STORAGE":"512GB","Column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DATE":"","RECORD_ID":"8542eeed3b374cfc930149e78e652b47","BATTERY. H":"","CONDITIONS":"","COST PRICE":"","DATE BOUGHT":"","DESCRIPTION":"IPHONE 14 PRO MAX","DEAL LOCATION":"","INTERNAL NOTE":"","NAME OF BUYER":"","EXPENSE AMOUNT":"","NAME OF SELLER":"","PRODUCT STATUS":"SOLD","STATUS OF DEVICE":"","CALCULATED PROFIT":"","EXPENSE DESCRIPTION":"","PHONE NUMBER OF BUYER":"","AVAILABILITY/DATE SOLD":"","PHONE NUMBER OF SELLER":"","RECEIPT &amp; EVIDIENCE LINK":""}</t>
  </si>
  <si>
    <t>1930bb902539409cb579f5459e3a1e12</t>
  </si>
  <si>
    <t>7d4dc6dfc668b551be04e32eed9d97a4e2726999452a2ca1590f598e30c40e87</t>
  </si>
  <si>
    <t>TEEBEST</t>
  </si>
  <si>
    <t>{"S/N":"262","IMEI":"350183987500121","TIME":"","COLOUR":"BLUE","DEVICE":"IPHONE","STORAGE":"128GB","Column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DATE":"","RECORD_ID":"1930bb902539409cb579f5459e3a1e12","BATTERY. H":"78%","CONDITIONS":"HE COLLECTED IT BECAUSE HIS PHONE WAS FAULTY","COST PRICE":"","DATE BOUGHT":"2/17/2026","DESCRIPTION":"IPHONE 13","DEAL LOCATION":"","INTERNAL NOTE":"","NAME OF BUYER":"TEEBEST","EXPENSE AMOUNT":"","NAME OF SELLER":"HUNTER LIFE","PRODUCT STATUS":"SOLD","STATUS OF DEVICE":"UNLOCKED","CALCULATED PROFIT":"","EXPENSE DESCRIPTION":"","PHONE NUMBER OF BUYER":"08037624066","AVAILABILITY/DATE SOLD":"2/26/2026","PHONE NUMBER OF SELLER":"2348061986331","RECEIPT &amp; EVIDIENCE LINK":""}</t>
  </si>
  <si>
    <t>bce5fd0b4e6e4255869b31df09e94d60</t>
  </si>
  <si>
    <t>8432632480b3cd11aa4cf8e0b4edf5bb5422c2d4f438747a4988ef2f84b3df25</t>
  </si>
  <si>
    <t>{"S/N":"263","IMEI":"350069704422501","TIME":"","COLOUR":"NATURAL TITANIUM","DEVICE":"IPHONE","STORAGE":"512GB","Column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DATE":"","RECORD_ID":"bce5fd0b4e6e4255869b31df09e94d60","BATTERY. H":"79 (92%)","CONDITIONS":"","COST PRICE":"","DATE BOUGHT":"2/17/2026","DESCRIPTION":"IPHONE 15 PRO MAX P + E","DEAL LOCATION":"","INTERNAL NOTE":"","NAME OF BUYER":"KAYWISE","EXPENSE AMOUNT":"","NAME OF SELLER":"SAMUEL FROM KEMI SEUN","PRODUCT STATUS":"SOLD","STATUS OF DEVICE":"UNLOCKED","CALCULATED PROFIT":"","EXPENSE DESCRIPTION":"","PHONE NUMBER OF BUYER":"2349032614464","AVAILABILITY/DATE SOLD":"2/17/2026","PHONE NUMBER OF SELLER":"2348068736319","RECEIPT &amp; EVIDIENCE LINK":""}</t>
  </si>
  <si>
    <t>3a09dd581f0149e090139e19af97bc98</t>
  </si>
  <si>
    <t>4a1fb07e9aa9f7058b8dffca0a3085b1abe3750f5f45e6cc40a5c62a1dc7e7bb</t>
  </si>
  <si>
    <t>{"S/N":"264","IMEI":"351071524715196","TIME":"","COLOUR":"WHITE TITANIUM ","DEVICE":"IPHONE","STORAGE":"256GB","Column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DATE":"","RECORD_ID":"3a09dd581f0149e090139e19af97bc98","BATTERY. H":"87%","CONDITIONS":"","COST PRICE":"","DATE BOUGHT":"2/18/2026","DESCRIPTION":"IPHONE 15 PRO MAX","DEAL LOCATION":"","INTERNAL NOTE":"","NAME OF BUYER":"CH4 ","EXPENSE AMOUNT":"","NAME OF SELLER":"THANKGOD CONCEPT","PRODUCT STATUS":"SOLD","STATUS OF DEVICE":"LOCKED","CALCULATED PROFIT":"","EXPENSE DESCRIPTION":"","PHONE NUMBER OF BUYER":"2348131941406","AVAILABILITY/DATE SOLD":"2/27/2026","PHONE NUMBER OF SELLER":"2349060695934","RECEIPT &amp; EVIDIENCE LINK":""}</t>
  </si>
  <si>
    <t>d432c9765f424b6d9b65aec16ad8e30c</t>
  </si>
  <si>
    <t>920663e57a04a79c7e0c31aa2e5be5ffc8af21abdba915d5a98a9084c8866124</t>
  </si>
  <si>
    <t>{"S/N":"265","IMEI":"359702375154869","TIME":"","COLOUR":"PURPLE","DEVICE":"IPHONE","STORAGE":"128GB","Column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DATE":"","RECORD_ID":"d432c9765f424b6d9b65aec16ad8e30c","BATTERY. H":"83%","CONDITIONS":"","COST PRICE":"","DATE BOUGHT":"2/10/2026","DESCRIPTION":"IPHONE 14 PRO MAX","DEAL LOCATION":"","INTERNAL NOTE":"","NAME OF BUYER":"AFRIKA","EXPENSE AMOUNT":"","NAME OF SELLER":"BIG SAM","PRODUCT STATUS":"SOLD","STATUS OF DEVICE":"UNLOCKED","CALCULATED PROFIT":"","EXPENSE DESCRIPTION":"","PHONE NUMBER OF BUYER":"2349032711183","AVAILABILITY/DATE SOLD":"04/08/2026","PHONE NUMBER OF SELLER":"2348103367143","RECEIPT &amp; EVIDIENCE LINK":""}</t>
  </si>
  <si>
    <t>6ae0f35779e54c83b322467f9d65e1c0</t>
  </si>
  <si>
    <t>efb9f60df42db03caba9c4583c670a000138044f5aa28d2a6f8de806d242ef09</t>
  </si>
  <si>
    <t>{"S/N":"266","IMEI":"359035292273391","TIME":"","COLOUR":"WHITE","DEVICE":"IPHONE","STORAGE":"128GB","Column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DATE":"","RECORD_ID":"6ae0f35779e54c83b322467f9d65e1c0","BATTERY. H":"91%","CONDITIONS":"","COST PRICE":"","DATE BOUGHT":"2/19/2026","DESCRIPTION":"IPHONE 12","DEAL LOCATION":"","INTERNAL NOTE":"","NAME OF BUYER":" FEMZ GADGET","EXPENSE AMOUNT":"","NAME OF SELLER":"DENIS4WARD TECHNOLOGY","PRODUCT STATUS":"SOLD","STATUS OF DEVICE":"UNLOCKED","CALCULATED PROFIT":"","EXPENSE DESCRIPTION":"","PHONE NUMBER OF BUYER":" +2348148449817","AVAILABILITY/DATE SOLD":"2/19/2026","PHONE NUMBER OF SELLER":"08038551439","RECEIPT &amp; EVIDIENCE LINK":""}</t>
  </si>
  <si>
    <t>40651ca7b101495099dfce635b8954b3</t>
  </si>
  <si>
    <t>6c6381f38672db7466a0edabeb971aebd6e1426d9d4e947bbcc8fb0cb159aff0</t>
  </si>
  <si>
    <t>BIMKEM CAKE AND PASTERIES</t>
  </si>
  <si>
    <t>{"S/N":"267","IMEI":"355883347687311","TIME":"","COLOUR":"MIDNIGHT","DEVICE":"IPHONE","STORAGE":"128GB","Column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DATE":"","RECORD_ID":"40651ca7b101495099dfce635b8954b3","BATTERY. H":"100%","CONDITIONS":"SWAPPED WITH SWOLLEN BATTERY GOLD IPHONE XS MAX","COST PRICE":"","DATE BOUGHT":"2/19/2026","DESCRIPTION":"IPHONE 13","DEAL LOCATION":"","INTERNAL NOTE":"","NAME OF BUYER":"BIMKEM CAKE AND PASTERIES","EXPENSE AMOUNT":"","NAME OF SELLER":"DENIS4WARD TECHNOLOGY","PRODUCT STATUS":"SOLD","STATUS OF DEVICE":"UNLOCKED","CALCULATED PROFIT":"","EXPENSE DESCRIPTION":"","PHONE NUMBER OF BUYER":"08104217700","AVAILABILITY/DATE SOLD":"2/19/2026","PHONE NUMBER OF SELLER":"08038551439","RECEIPT &amp; EVIDIENCE LINK":""}</t>
  </si>
  <si>
    <t>1ea8b4885355439bb7500db73ff1bc14</t>
  </si>
  <si>
    <t>c2fbb47c3a5d05ea53018e102970a051be02ce4c15a93f567e141241db2e5495</t>
  </si>
  <si>
    <t>{"S/N":"268","IMEI":"353431651842023","TIME":"","COLOUR":"BLUE TITANIUM","DEVICE":"IPHONE","STORAGE":"512GB","Column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DATE":"","RECORD_ID":"1ea8b4885355439bb7500db73ff1bc14","BATTERY. H":"91%  ","CONDITIONS":"","COST PRICE":"","DATE BOUGHT":"2/20/2026","DESCRIPTION":"IPHONE 15 PRO ","DEAL LOCATION":"","INTERNAL NOTE":"","NAME OF BUYER":"ANOINTED WEALTH","EXPENSE AMOUNT":"","NAME OF SELLER":"RICKY FCG","PRODUCT STATUS":"SOLD","STATUS OF DEVICE":"UNLOCKED","CALCULATED PROFIT":"","EXPENSE DESCRIPTION":"","PHONE NUMBER OF BUYER":"08137226383","AVAILABILITY/DATE SOLD":"3/10/2026","PHONE NUMBER OF SELLER":" 0704 503 1243","RECEIPT &amp; EVIDIENCE LINK":""}</t>
  </si>
  <si>
    <t>74dd8a3c206b44eaa55b1f1a02f80669</t>
  </si>
  <si>
    <t>48812100f3fcd80b099b9dfadfb6b9d12c7551b7be3a7adbd9e5effd58079c49</t>
  </si>
  <si>
    <t>{"S/N":"269","IMEI":"357266099445187","TIME":"","COLOUR":"GOLD","DEVICE":"IPHONE","STORAGE":"64GB","Column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DATE":"","RECORD_ID":"74dd8a3c206b44eaa55b1f1a02f80669","BATTERY. H":"100% UV","CONDITIONS":"","COST PRICE":"","DATE BOUGHT":"2/20/2026","DESCRIPTION":"IPHONE XSMAX","DEAL LOCATION":"","INTERNAL NOTE":"","NAME OF BUYER":"ARMY MIGHTY","EXPENSE AMOUNT":"","NAME OF SELLER":"BIMKEM CAKE AND PASTERIES","PRODUCT STATUS":"SOLD","STATUS OF DEVICE":"UNLOCKED","CALCULATED PROFIT":"","EXPENSE DESCRIPTION":"","PHONE NUMBER OF BUYER":"08169094027","AVAILABILITY/DATE SOLD":"3/5/2026","PHONE NUMBER OF SELLER":"08104217700","RECEIPT &amp; EVIDIENCE LINK":""}</t>
  </si>
  <si>
    <t>268090b235424101a60a35a61e076105</t>
  </si>
  <si>
    <t>0d66a868df82c4e30b685dc712b86f40cf4cb68e2187e57c0a8b54038c29cd7c</t>
  </si>
  <si>
    <t>{"S/N":"270","IMEI":"350923383300943","TIME":"","COLOUR":"PURPLE","DEVICE":"IPHONE","STORAGE":"128GB","Column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DATE":"","RECORD_ID":"268090b235424101a60a35a61e076105","BATTERY. H":"91%","CONDITIONS":"","COST PRICE":"","DATE BOUGHT":"2/23/2026","DESCRIPTION":"IPHONE 14 PRO","DEAL LOCATION":"","INTERNAL NOTE":"","NAME OF BUYER":"GNF","EXPENSE AMOUNT":"","NAME OF SELLER":"CLINTON GADGET","PRODUCT STATUS":"SOLD","STATUS OF DEVICE":"UNLOCKED","CALCULATED PROFIT":"","EXPENSE DESCRIPTION":"","PHONE NUMBER OF BUYER":"234 816 037 3526","AVAILABILITY/DATE SOLD":"2/27/2026","PHONE NUMBER OF SELLER":"2349138407575","RECEIPT &amp; EVIDIENCE LINK":""}</t>
  </si>
  <si>
    <t>f38194470c524803b28276f894442a07</t>
  </si>
  <si>
    <t>1e3a5dbe3b7c567505d5a6fa7f98417c667d3c794b93593c3b7c75ae5a582533</t>
  </si>
  <si>
    <t>{"S/N":"271","IMEI":"356842119300858","TIME":"","COLOUR":"BLACK","DEVICE":"IPHONE","STORAGE":"64GB","Column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DATE":"","RECORD_ID":"f38194470c524803b28276f894442a07","BATTERY. H":"100%","CONDITIONS":"","COST PRICE":"","DATE BOUGHT":"2/23/2026","DESCRIPTION":"IPHONE SE 2ND GEN","DEAL LOCATION":"","INTERNAL NOTE":"","NAME OF BUYER":"SPENCER GADGET","EXPENSE AMOUNT":"","NAME OF SELLER":"DENIS4WARD TECHNOLOGY","PRODUCT STATUS":"SOLD","STATUS OF DEVICE":"UNLOCKED","CALCULATED PROFIT":"","EXPENSE DESCRIPTION":"","PHONE NUMBER OF BUYER":"08148362643","AVAILABILITY/DATE SOLD":"","PHONE NUMBER OF SELLER":"08038551439","RECEIPT &amp; EVIDIENCE LINK":""}</t>
  </si>
  <si>
    <t>c1348f3d5beb45fbac80f0ee3512daee</t>
  </si>
  <si>
    <t>20403fd5e477e4bd9659d0d6580b13d5e027f04841d1ff3f1eb4a7f75ec0471c</t>
  </si>
  <si>
    <t>EMMAX FCG</t>
  </si>
  <si>
    <t>{"S/N":"272","IMEI":"359497080311579","TIME":"","COLOUR":"BLACK","DEVICE":"IPHONE","STORAGE":"64GB","Column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DATE":"","RECORD_ID":"c1348f3d5beb45fbac80f0ee3512daee","BATTERY. H":"76%","CONDITIONS":"","COST PRICE":"","DATE BOUGHT":"2/23/2026","DESCRIPTION":"IPHONE 8 ","DEAL LOCATION":"","INTERNAL NOTE":"","NAME OF BUYER":" EMMAX FCG","EXPENSE AMOUNT":"","NAME OF SELLER":"RAY","PRODUCT STATUS":"SOLD","STATUS OF DEVICE":"UNLOCKED","CALCULATED PROFIT":"","EXPENSE DESCRIPTION":"","PHONE NUMBER OF BUYER":" +234 906 594 4787","AVAILABILITY/DATE SOLD":"2/23/2026","PHONE NUMBER OF SELLER":"2349064968596","RECEIPT &amp; EVIDIENCE LINK":""}</t>
  </si>
  <si>
    <t>f00ac6e857864b789cfd50c3eb3928d4</t>
  </si>
  <si>
    <t>8c6045c8436650d47e91158416563646df460a170842967f2fa97c1754e296b8</t>
  </si>
  <si>
    <t>{"S/N":"273","IMEI":" 356470105997220","TIME":"","COLOUR":"BLACK ","DEVICE":"IPHONE","STORAGE":"64GB","Column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DATE":"","RECORD_ID":"f00ac6e857864b789cfd50c3eb3928d4","BATTERY. H":"100%","CONDITIONS":"","COST PRICE":"","DATE BOUGHT":"2/23/2026","DESCRIPTION":"IPHONE SE 2ND GEN","DEAL LOCATION":"","INTERNAL NOTE":"","NAME OF BUYER":"","EXPENSE AMOUNT":"","NAME OF SELLER":" DENIS4WARD TECHNOLOGY","PRODUCT STATUS":"SOLD","STATUS OF DEVICE":"UNLOCKED","CALCULATED PROFIT":"","EXPENSE DESCRIPTION":"","PHONE NUMBER OF BUYER":"","AVAILABILITY/DATE SOLD":"","PHONE NUMBER OF SELLER":" 08038551439","RECEIPT &amp; EVIDIENCE LINK":""}</t>
  </si>
  <si>
    <t>ad0a670da7ad4240bd647d5668721b2a</t>
  </si>
  <si>
    <t>ea03356b82fbd81ca9968eed91dc7f2b7c2b3bd784e8545c180333af0f5d22f3</t>
  </si>
  <si>
    <t>{"S/N":"274","IMEI":" 356840111699814","TIME":"","COLOUR":"BLACK ","DEVICE":"IPHONE","STORAGE":" 64GB","Column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DATE":"","RECORD_ID":"ad0a670da7ad4240bd647d5668721b2a","BATTERY. H":"100% ","CONDITIONS":"","COST PRICE":"","DATE BOUGHT":"2/23/2026","DESCRIPTION":"IPHONE SE 2ND GEN","DEAL LOCATION":"","INTERNAL NOTE":"","NAME OF BUYER":"","EXPENSE AMOUNT":"","NAME OF SELLER":"DENIS4WARD TECHNOLOGY","PRODUCT STATUS":"SOLD","STATUS OF DEVICE":"UNLOCKED","CALCULATED PROFIT":"","EXPENSE DESCRIPTION":"","PHONE NUMBER OF BUYER":"","AVAILABILITY/DATE SOLD":"","PHONE NUMBER OF SELLER":"08038551439","RECEIPT &amp; EVIDIENCE LINK":""}</t>
  </si>
  <si>
    <t>aa9d7bc366da4deca238b82908833c72</t>
  </si>
  <si>
    <t>5e84fca92c4a0bdcd0394a5b814c917dbd65a04a7deec3aef92e1b1d2abbe673</t>
  </si>
  <si>
    <t>{"S/N":"275","IMEI":"356841111235385","TIME":"","COLOUR":"BLACK","DEVICE":"IPHONE","STORAGE":"64GB","Column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DATE":"","RECORD_ID":"aa9d7bc366da4deca238b82908833c72","BATTERY. H":"83%","CONDITIONS":"","COST PRICE":"","DATE BOUGHT":"2/23/2026","DESCRIPTION":"IPHONE SE 2ND GEN","DEAL LOCATION":"","INTERNAL NOTE":"","NAME OF BUYER":"SAM","EXPENSE AMOUNT":"","NAME OF SELLER":"DENIS4WARD TECHNOLOGY","PRODUCT STATUS":"SOLD","STATUS OF DEVICE":"UNLOCKED","CALCULATED PROFIT":"","EXPENSE DESCRIPTION":"","PHONE NUMBER OF BUYER":"09168257809","AVAILABILITY/DATE SOLD":"3/9/2026","PHONE NUMBER OF SELLER":"08038551439","RECEIPT &amp; EVIDIENCE LINK":""}</t>
  </si>
  <si>
    <t>096abbc8415b40c6a77c9121ea529200</t>
  </si>
  <si>
    <t>b0158f90ca489fd8f6dd296016078b3e731076beb71ac0b80a72411f9e9651cb</t>
  </si>
  <si>
    <t>{"S/N":"276","IMEI":"352373266174783","TIME":"","COLOUR":"ULTRA MARINE","DEVICE":"IPHONE","STORAGE":"128GB","Column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DATE":"","RECORD_ID":"096abbc8415b40c6a77c9121ea529200","BATTERY. H":"100%","CONDITIONS":"","COST PRICE":"","DATE BOUGHT":"2/24/2026","DESCRIPTION":"IPHONE 16 PLUS P + E","DEAL LOCATION":"","INTERNAL NOTE":"","NAME OF BUYER":"","EXPENSE AMOUNT":"","NAME OF SELLER":"SAD BOI","PRODUCT STATUS":"SOLD","STATUS OF DEVICE":"UNLOCKED","CALCULATED PROFIT":"","EXPENSE DESCRIPTION":"","PHONE NUMBER OF BUYER":"","AVAILABILITY/DATE SOLD":"2/28/2026","PHONE NUMBER OF SELLER":"2347040636887","RECEIPT &amp; EVIDIENCE LINK":""}</t>
  </si>
  <si>
    <t>039003c42f6041248569597d4d5fde37</t>
  </si>
  <si>
    <t>e99bab522dcbc9b37fe53eee05b3cf0b77ce0eba3e9d6b5dd970264dab52ac27</t>
  </si>
  <si>
    <t>PHLEMZY GADGET</t>
  </si>
  <si>
    <t>{"S/N":"277","IMEI":"353247108602988","TIME":"","COLOUR":"SPACE GRAY","DEVICE":"IPHONE","STORAGE":"64GB","Column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DATE":"","RECORD_ID":"039003c42f6041248569597d4d5fde37","BATTERY. H":"72%","CONDITIONS":"SENT TONDY","COST PRICE":"","DATE BOUGHT":"2/24/2026","DESCRIPTION":"IPHONE 11 PRO","DEAL LOCATION":"","INTERNAL NOTE":"","NAME OF BUYER":"PHLEMZY GADGET","EXPENSE AMOUNT":"","NAME OF SELLER":"PASCAL (OLUWATURNER)","PRODUCT STATUS":"SOLD","STATUS OF DEVICE":"UNLOCKED","CALCULATED PROFIT":"","EXPENSE DESCRIPTION":"","PHONE NUMBER OF BUYER":"2349065642565","AVAILABILITY/DATE SOLD":"2/28/2026","PHONE NUMBER OF SELLER":"09064611546","RECEIPT &amp; EVIDIENCE LINK":""}</t>
  </si>
  <si>
    <t>cddf98255af1432d98e364befa5149ea</t>
  </si>
  <si>
    <t>f5a12a90074b6ff7852a41985ef329d02cd21e4261763da577e09367ac4ac5b9</t>
  </si>
  <si>
    <t>{"S/N":"278","IMEI":"355300183605562","TIME":"","COLOUR":"WHITE TITANIUM ","DEVICE":"IPHONE","STORAGE":"512GB","Column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DATE":"","RECORD_ID":"cddf98255af1432d98e364befa5149ea","BATTERY. H":"93%","CONDITIONS":"","COST PRICE":"","DATE BOUGHT":"2/24/2026","DESCRIPTION":"IPHONE 16 PRO MAX","DEAL LOCATION":"","INTERNAL NOTE":"","NAME OF BUYER":"DEMEX","EXPENSE AMOUNT":"","NAME OF SELLER":"DON SPARKY GADGET","PRODUCT STATUS":"SOLD","STATUS OF DEVICE":"UNLOCKED","CALCULATED PROFIT":"","EXPENSE DESCRIPTION":"","PHONE NUMBER OF BUYER":"2347067462101","AVAILABILITY/DATE SOLD":"2/28/2026","PHONE NUMBER OF SELLER":"2347069024243","RECEIPT &amp; EVIDIENCE LINK":""}</t>
  </si>
  <si>
    <t>d5ea08809fc345b8b75ba80fcbba3200</t>
  </si>
  <si>
    <t>6d5e71fb8b41b68dfd5ac23d82063a04bc16c2d5de78f135a3e92514323fd27d</t>
  </si>
  <si>
    <t>9908PT2</t>
  </si>
  <si>
    <t>{"S/N":"279","IMEI":"9908PT2","TIME":"","COLOUR":" BLACK","DEVICE":"LAPTOP","STORAGE":"8 / 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DATE":"","RECORD_ID":"d5ea08809fc345b8b75ba80fcbba3200","BATTERY. H":"","CONDITIONS":"","COST PRICE":"","DATE BOUGHT":"2/25/2026","DESCRIPTION":" DELL LATITUDE 3390 2-IN-1","DEAL LOCATION":"","INTERNAL NOTE":"","NAME OF BUYER":"","EXPENSE AMOUNT":"","NAME OF SELLER":"LIBERTY","PRODUCT STATUS":"SOLD","STATUS OF DEVICE":"UNLOCKED","CALCULATED PROFIT":"","EXPENSE DESCRIPTION":"","PHONE NUMBER OF BUYER":"","AVAILABILITY/DATE SOLD":"","PHONE NUMBER OF SELLER":"2349014714505","RECEIPT &amp; EVIDIENCE LINK":""}</t>
  </si>
  <si>
    <t>83fc4c76d7414d90bcfbb0cd4ed7b3cb</t>
  </si>
  <si>
    <t>f0379e918f4eef16377afe09d2ff633d2e22585895854caedcc32303acfa1cdc</t>
  </si>
  <si>
    <t>MR UK GADGET</t>
  </si>
  <si>
    <t>{"S/N":"280","IMEI":"354321296051388","TIME":"","COLOUR":"NATURAL TITANIUM","DEVICE":"IPHONE","STORAGE":"128GB","Column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DATE":"","RECORD_ID":"83fc4c76d7414d90bcfbb0cd4ed7b3cb","BATTERY. H":"86%","CONDITIONS":"","COST PRICE":"","DATE BOUGHT":"2/25/2026","DESCRIPTION":"IPHONE 15 PRO P + E","DEAL LOCATION":"","INTERNAL NOTE":"","NAME OF BUYER":"MR UK GADGET","EXPENSE AMOUNT":"","NAME OF SELLER":"MD GADGS","PRODUCT STATUS":"SOLD","STATUS OF DEVICE":"UNLOCKED","CALCULATED PROFIT":"","EXPENSE DESCRIPTION":"","PHONE NUMBER OF BUYER":"08162819733","AVAILABILITY/DATE SOLD":"2/25/2026","PHONE NUMBER OF SELLER":"2349068103734","RECEIPT &amp; EVIDIENCE LINK":""}</t>
  </si>
  <si>
    <t>7196ef64076147db9fcc9ea2292f808f</t>
  </si>
  <si>
    <t>974d0253007633a757caab488f5de067f66841fa90960daf8dca9656b987b48a</t>
  </si>
  <si>
    <t>{"S/N":"281","IMEI":"352832400580320","TIME":"","COLOUR":"NATURAL TITANIUM","DEVICE":"IPHONE","STORAGE":"256GB","Column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DATE":"","RECORD_ID":"7196ef64076147db9fcc9ea2292f808f","BATTERY. H":"85%","CONDITIONS":"","COST PRICE":"","DATE BOUGHT":"2/27/2026","DESCRIPTION":"IPHONE 15 PRO MAX ESIM","DEAL LOCATION":"","INTERNAL NOTE":"","NAME OF BUYER":"CLINTON GADGET","EXPENSE AMOUNT":"","NAME OF SELLER":"DON SPARKY GADGET","PRODUCT STATUS":"SOLD","STATUS OF DEVICE":"UNLOCKED","CALCULATED PROFIT":"","EXPENSE DESCRIPTION":"","PHONE NUMBER OF BUYER":"2349138407575","AVAILABILITY/DATE SOLD":"2/25/2026","PHONE NUMBER OF SELLER":"2347069024243","RECEIPT &amp; EVIDIENCE LINK":""}</t>
  </si>
  <si>
    <t>36da9fbbeebf47d0b83855b95e72d6c1</t>
  </si>
  <si>
    <t>11bb12890836e8d88e14410fcadae7898dd405d03add225a5c72373c1c415cae</t>
  </si>
  <si>
    <t>{"S/N":"282","IMEI":"354136651263562","TIME":"","COLOUR":"WHITE TITANIUM ","DEVICE":"IPHONE","STORAGE":"256GB","Column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DATE":"","RECORD_ID":"36da9fbbeebf47d0b83855b95e72d6c1","BATTERY. H":"89%","CONDITIONS":"","COST PRICE":"","DATE BOUGHT":"2/27/2026","DESCRIPTION":"IPHONE 16 PRO","DEAL LOCATION":"","INTERNAL NOTE":"","NAME OF BUYER":"MD GADGS","EXPENSE AMOUNT":"","NAME OF SELLER":"STARBOX ","PRODUCT STATUS":"SOLD","STATUS OF DEVICE":"UNLOCKED","CALCULATED PROFIT":"","EXPENSE DESCRIPTION":"","PHONE NUMBER OF BUYER":"0816 686 0603","AVAILABILITY/DATE SOLD":"3/5/2026","PHONE NUMBER OF SELLER":"09063620334","RECEIPT &amp; EVIDIENCE LINK":""}</t>
  </si>
  <si>
    <t>7851c8537e5749348ccfb1d4195e180d</t>
  </si>
  <si>
    <t>ec95aed4a0340c90cae0b1a34cea332889b456c52883fdaf6619b1ad35282f02</t>
  </si>
  <si>
    <t>{"S/N":"283","IMEI":"358302111565956","TIME":"","COLOUR":"SKY BLUE","DEVICE":"IPHONE","STORAGE":"256GB","Column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DATE":"","RECORD_ID":"7851c8537e5749348ccfb1d4195e180d","BATTERY. H":"100%","CONDITIONS":"","COST PRICE":"","DATE BOUGHT":"1/13/2026","DESCRIPTION":"IPHONE 17 AIR","DEAL LOCATION":"","INTERNAL NOTE":"","NAME OF BUYER":"PHINIXEGADGET","EXPENSE AMOUNT":"","NAME OF SELLER":"OZ GADGET","PRODUCT STATUS":"SOLD","STATUS OF DEVICE":"UNLOCKED","CALCULATED PROFIT":"","EXPENSE DESCRIPTION":"","PHONE NUMBER OF BUYER":"09138380700","AVAILABILITY/DATE SOLD":"2/28/2026","PHONE NUMBER OF SELLER":"08106293924","RECEIPT &amp; EVIDIENCE LINK":""}</t>
  </si>
  <si>
    <t>2ba622df745e4b96984de602a4147ef7</t>
  </si>
  <si>
    <t>2f58ba5b59c106b45912d40eaf348846b8184a7c94a298e64b048e276ffd2070</t>
  </si>
  <si>
    <t>{"S/N":"284","IMEI":"K4VQT576LH","TIME":"","COLOUR":"SILVER","DEVICE":"IPHONE","STORAGE":"128GB","Column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DATE":"","RECORD_ID":"2ba622df745e4b96984de602a4147ef7","BATTERY. H":"100%","CONDITIONS":"BOUGHT ALONG WITH IPHONE 17 PRO MAX","COST PRICE":"","DATE BOUGHT":"3/2/2026","DESCRIPTION":"IPAD 11TH GEN ","DEAL LOCATION":"","INTERNAL NOTE":"","NAME OF BUYER":"ARMY MIGHTY","EXPENSE AMOUNT":"","NAME OF SELLER":"STARBOX ","PRODUCT STATUS":"SOLD","STATUS OF DEVICE":"WIFI","CALCULATED PROFIT":"","EXPENSE DESCRIPTION":"","PHONE NUMBER OF BUYER":"08169094027","AVAILABILITY/DATE SOLD":"3/2/2026","PHONE NUMBER OF SELLER":"09063620334","RECEIPT &amp; EVIDIENCE LINK":""}</t>
  </si>
  <si>
    <t>d452b7d858c34677b5272a7fdf31e395</t>
  </si>
  <si>
    <t>17b57a6a35f20625eb9819b7ae38f68dc2445271ef062beab09d45c2514a00ea</t>
  </si>
  <si>
    <t>{"S/N":"285","IMEI":"353497851214438","TIME":"","COLOUR":"SILVER","DEVICE":"IPHONE","STORAGE":"256GB","Column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DATE":"","RECORD_ID":"d452b7d858c34677b5272a7fdf31e395","BATTERY. H":"100%","CONDITIONS":"","COST PRICE":"","DATE BOUGHT":"3/2/2026","DESCRIPTION":"IPHONE 17 PRO MAX","DEAL LOCATION":"","INTERNAL NOTE":"","NAME OF BUYER":"ARMY MIGHTY","EXPENSE AMOUNT":"","NAME OF SELLER":"MD GADGS","PRODUCT STATUS":"PENDING DEAL","STATUS OF DEVICE":"LOCKED","CALCULATED PROFIT":"","EXPENSE DESCRIPTION":"","PHONE NUMBER OF BUYER":"08169094027","AVAILABILITY/DATE SOLD":"3/2/2026","PHONE NUMBER OF SELLER":"2349068103734","RECEIPT &amp; EVIDIENCE LINK":""}</t>
  </si>
  <si>
    <t>54b8ffce9c6e46d2853cff33c67b0351</t>
  </si>
  <si>
    <t>286fbbcb4d408af75435fabed23fc6d899d71bb20933fae65a50794491b128b2</t>
  </si>
  <si>
    <t>MIDE (FROM BECKZ)</t>
  </si>
  <si>
    <t>{"S/N":"286","IMEI":"352678436701855","TIME":"","COLOUR":"MIDNIGHT","DEVICE":"IPHONE","STORAGE":"128GB","Column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DATE":"","RECORD_ID":"54b8ffce9c6e46d2853cff33c67b0351","BATTERY. H":"85%","CONDITIONS":"SWAP WITH LOCKED IPHONE 11 PRO","COST PRICE":"","DATE BOUGHT":"3/2/2026","DESCRIPTION":"IPHONE 13","DEAL LOCATION":"","INTERNAL NOTE":"","NAME OF BUYER":"MIDE (FROM BECKZ)","EXPENSE AMOUNT":"","NAME OF SELLER":"STARBOX ","PRODUCT STATUS":"SOLD","STATUS OF DEVICE":"LOCKED","CALCULATED PROFIT":"","EXPENSE DESCRIPTION":"","PHONE NUMBER OF BUYER":"2348032783523","AVAILABILITY/DATE SOLD":"3/2/2026","PHONE NUMBER OF SELLER":"09063620334","RECEIPT &amp; EVIDIENCE LINK":""}</t>
  </si>
  <si>
    <t>ec8cb72d66674e859faa8d183af673be</t>
  </si>
  <si>
    <t>2cfc42692ddc6645a74d73561b114396fb5e5a1e5d59e0f06c7fd079eb1dbe30</t>
  </si>
  <si>
    <t>{"S/N":"287","IMEI":"357247590767121","TIME":"","COLOUR":"LIGHT GOLD","DEVICE":"IPHONE","STORAGE":"512GB","Column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DATE":"","RECORD_ID":"ec8cb72d66674e859faa8d183af673be","BATTERY. H":"100%","CONDITIONS":"","COST PRICE":"","DATE BOUGHT":"3/4/2026","DESCRIPTION":"IPHONE 17 AIR","DEAL LOCATION":"","INTERNAL NOTE":"","NAME OF BUYER":"FORMULA","EXPENSE AMOUNT":"","NAME OF SELLER":"OZ GADGET","PRODUCT STATUS":"SOLD","STATUS OF DEVICE":"LOCKED","CALCULATED PROFIT":"","EXPENSE DESCRIPTION":"","PHONE NUMBER OF BUYER":"2347067612418","AVAILABILITY/DATE SOLD":"3/14/2026","PHONE NUMBER OF SELLER":"08106293924","RECEIPT &amp; EVIDIENCE LINK":""}</t>
  </si>
  <si>
    <t>f82a5ad3e1294a5d8c99cfb2fe83bc3d</t>
  </si>
  <si>
    <t>35a393d63da49299de68c6ff6556db5fbda2a1072185e95cb7256842a135cc83</t>
  </si>
  <si>
    <t>{"S/N":"288","IMEI":"351605722453850","TIME":"","COLOUR":"SKY BLUE","DEVICE":"IPHONE","STORAGE":"256GB","Column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DATE":"","RECORD_ID":"f82a5ad3e1294a5d8c99cfb2fe83bc3d","BATTERY. H":"100%","CONDITIONS":"TO REPLACE IPHONE 16 PRO MAX 512GB","COST PRICE":"","DATE BOUGHT":"1/22/2026","DESCRIPTION":"IPHONE 17 AIR","DEAL LOCATION":"","INTERNAL NOTE":"","NAME OF BUYER":"SAD BOI","EXPENSE AMOUNT":"","NAME OF SELLER":"OZ GADGET","PRODUCT STATUS":"SOLD","STATUS OF DEVICE":"LOCKED (UNLOCKED)","CALCULATED PROFIT":"","EXPENSE DESCRIPTION":"","PHONE NUMBER OF BUYER":"2347040636887","AVAILABILITY/DATE SOLD":"3/5/2026","PHONE NUMBER OF SELLER":"08106293924","RECEIPT &amp; EVIDIENCE LINK":""}</t>
  </si>
  <si>
    <t>88a1967b8c604f5dac24dcdc31ad1081</t>
  </si>
  <si>
    <t>65cf2b3dd09db4e069ecf4789d9de52d68cd709f27ff826dcfb8b873677e0628</t>
  </si>
  <si>
    <t>{"S/N":"289","IMEI":"351055803413102","TIME":"","COLOUR":"PINK","DEVICE":"IPHONE","STORAGE":"128GB","Column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DATE":"","RECORD_ID":"88a1967b8c604f5dac24dcdc31ad1081","BATTERY. H":"91%","CONDITIONS":"","COST PRICE":"","DATE BOUGHT":"3/5/2026","DESCRIPTION":"IPHONE 13","DEAL LOCATION":"","INTERNAL NOTE":"","NAME OF BUYER":"STARBOX","EXPENSE AMOUNT":"","NAME OF SELLER":"GNF GADGET","PRODUCT STATUS":"SOLD","STATUS OF DEVICE":"UNLOCKED","CALCULATED PROFIT":"","EXPENSE DESCRIPTION":"","PHONE NUMBER OF BUYER":"09063620334","AVAILABILITY/DATE SOLD":"3/5/2026","PHONE NUMBER OF SELLER":"2348160373526","RECEIPT &amp; EVIDIENCE LINK":""}</t>
  </si>
  <si>
    <t>10eb69e24f6848de90629952bd613d84</t>
  </si>
  <si>
    <t>2e133afd8a211a357092db9cb8c53b02b4040ea148eade1dbc60258dfbc5ffd4</t>
  </si>
  <si>
    <t>ADEX</t>
  </si>
  <si>
    <t>{"S/N":"290","IMEI":"354230916172369","TIME":"","COLOUR":"BLACK TITANIUM","DEVICE":"IPHONE","STORAGE":"128GB","Column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DATE":"","RECORD_ID":"10eb69e24f6848de90629952bd613d84","BATTERY. H":"86%","CONDITIONS":"","COST PRICE":"","DATE BOUGHT":"3/5/2026","DESCRIPTION":"IPHONE 15 PRO P + E","DEAL LOCATION":"","INTERNAL NOTE":"","NAME OF BUYER":"ADEX","EXPENSE AMOUNT":"","NAME OF SELLER":"OZ GADGET","PRODUCT STATUS":"SOLD","STATUS OF DEVICE":"UNLOCKED","CALCULATED PROFIT":"","EXPENSE DESCRIPTION":"","PHONE NUMBER OF BUYER":"2347067852062","AVAILABILITY/DATE SOLD":"3/11/2026","PHONE NUMBER OF SELLER":"08106293924","RECEIPT &amp; EVIDIENCE LINK":""}</t>
  </si>
  <si>
    <t>b89e587993794d0ea98f9c18d5f14580</t>
  </si>
  <si>
    <t>a38bee277021d93e20796e8391ea5fc9ae5eb0fc50d0d310c8ff7ccc8030e280</t>
  </si>
  <si>
    <t>{"S/N":"291","IMEI":"352433809356311","TIME":"","COLOUR":"BLACK TITANIUM","DEVICE":"IPHONE","STORAGE":"128GB","Column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DATE":"","RECORD_ID":"b89e587993794d0ea98f9c18d5f14580","BATTERY. H":"90%","CONDITIONS":"","COST PRICE":"","DATE BOUGHT":"3/6/2026","DESCRIPTION":"IPHONE 15 PRO P + E","DEAL LOCATION":"","INTERNAL NOTE":"","NAME OF BUYER":"TOM CRUISE","EXPENSE AMOUNT":"","NAME OF SELLER":"OZ GADGET","PRODUCT STATUS":"SOLD","STATUS OF DEVICE":"UNLOCKED","CALCULATED PROFIT":"","EXPENSE DESCRIPTION":"","PHONE NUMBER OF BUYER":"2348143681060","AVAILABILITY/DATE SOLD":"3/6/2026","PHONE NUMBER OF SELLER":"08106293925","RECEIPT &amp; EVIDIENCE LINK":""}</t>
  </si>
  <si>
    <t>5ee245a7e9044118aec0b252f6ff3d3a</t>
  </si>
  <si>
    <t>146a3e485613d3d300a39bed3d9e2e82e2520244d5b395f529fc27e25e505f8d</t>
  </si>
  <si>
    <t>EZEKIEL OLOYEDE</t>
  </si>
  <si>
    <t>{"S/N":"292","IMEI":"353237107467616","TIME":"","COLOUR":"MIDNIGHT GREEN","DEVICE":"IPHONE","STORAGE":"64GB","Column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DATE":"","RECORD_ID":"5ee245a7e9044118aec0b252f6ff3d3a","BATTERY. H":"72% (89%)","CONDITIONS":"","COST PRICE":"","DATE BOUGHT":"3/6/2026","DESCRIPTION":"IPHONE 11 PRO","DEAL LOCATION":"","INTERNAL NOTE":"","NAME OF BUYER":"EZEKIEL OLOYEDE","EXPENSE AMOUNT":"","NAME OF SELLER":"MHIDEY FROM BECKZ","PRODUCT STATUS":"SOLD","STATUS OF DEVICE":"LOCKED","CALCULATED PROFIT":"","EXPENSE DESCRIPTION":"","PHONE NUMBER OF BUYER":"08039827683","AVAILABILITY/DATE SOLD":"3/13/2026","PHONE NUMBER OF SELLER":"2348032783523","RECEIPT &amp; EVIDIENCE LINK":""}</t>
  </si>
  <si>
    <t>577f2ee8b806429c9081e04723783251</t>
  </si>
  <si>
    <t>0b6527bcf0103603883b09cecb872e7b104544fd559365080a8ad870db79b6e4</t>
  </si>
  <si>
    <t>AFOWOWE VICTOR</t>
  </si>
  <si>
    <t>{"S/N":"293","IMEI":"353235102246621","TIME":"","COLOUR":"MIDNIGHT GREEN","DEVICE":"IPHONE","STORAGE":"256GB","Column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DATE":"","RECORD_ID":"577f2ee8b806429c9081e04723783251","BATTERY. H":"90%","CONDITIONS":"","COST PRICE":"","DATE BOUGHT":"3/6/2026","DESCRIPTION":"IPHONE 11 PRO","DEAL LOCATION":"","INTERNAL NOTE":"","NAME OF BUYER":"AFOWOWE VICTOR","EXPENSE AMOUNT":"","NAME OF SELLER":"DENIS4WARD TECHNOLOGY","PRODUCT STATUS":"SOLD","STATUS OF DEVICE":"UNLOCKED","CALCULATED PROFIT":"","EXPENSE DESCRIPTION":"","PHONE NUMBER OF BUYER":"2347034799457","AVAILABILITY/DATE SOLD":"3/6/2026","PHONE NUMBER OF SELLER":"08038551439","RECEIPT &amp; EVIDIENCE LINK":""}</t>
  </si>
  <si>
    <t>8acdf486cf6249a38b3846128f9349f5</t>
  </si>
  <si>
    <t>0bd28864b3bb975caa43ea4ae2ea5657bafb0bc9c33ed470f8f42c5e616c596e</t>
  </si>
  <si>
    <t>{"S/N":"294","IMEI":"354178502696301","TIME":"","COLOUR":"ULTRA MARINE","DEVICE":"IPHONE","STORAGE":"128GB","Column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DATE":"","RECORD_ID":"8acdf486cf6249a38b3846128f9349f5","BATTERY. H":"94%","CONDITIONS":"","COST PRICE":"","DATE BOUGHT":"3/6/2026","DESCRIPTION":"IPHONE 16","DEAL LOCATION":"","INTERNAL NOTE":"","NAME OF BUYER":"","EXPENSE AMOUNT":"","NAME OF SELLER":"TECH JAR","PRODUCT STATUS":"SOLD","STATUS OF DEVICE":"LOCKED","CALCULATED PROFIT":"","EXPENSE DESCRIPTION":"","PHONE NUMBER OF BUYER":"","AVAILABILITY/DATE SOLD":"","PHONE NUMBER OF SELLER":"2347047512596","RECEIPT &amp; EVIDIENCE LINK":""}</t>
  </si>
  <si>
    <t>6e1ab9e0d46948fcbe65b2ae9fbac785</t>
  </si>
  <si>
    <t>08c95644f719c439f154f900983b17decbc30235c81d8e55606e58b86ac97f69</t>
  </si>
  <si>
    <t>TOLU ONDO STADIUM</t>
  </si>
  <si>
    <t>{"S/N":"295","IMEI":"350465827999914","TIME":"","COLOUR":"BLACK","DEVICE":"IPHONE","STORAGE":"256GB","Column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DATE":"","RECORD_ID":"6e1ab9e0d46948fcbe65b2ae9fbac785","BATTERY. H":"98%","CONDITIONS":"","COST PRICE":"","DATE BOUGHT":"3/7/2026","DESCRIPTION":"IPHONE 16","DEAL LOCATION":"","INTERNAL NOTE":"","NAME OF BUYER":"TOLU ONDO STADIUM","EXPENSE AMOUNT":"","NAME OF SELLER":"ADURAGBEMI ADEBAYO","PRODUCT STATUS":"SOLD","STATUS OF DEVICE":"LOCKED (UNLOCKED)","CALCULATED PROFIT":"","EXPENSE DESCRIPTION":"","PHONE NUMBER OF BUYER":"2349152917173","AVAILABILITY/DATE SOLD":"3/7/2026","PHONE NUMBER OF SELLER":"09027376507","RECEIPT &amp; EVIDIENCE LINK":""}</t>
  </si>
  <si>
    <t>0d27d89da94147ca979c826a9df93a71</t>
  </si>
  <si>
    <t>bc929a00ddf3fe9c693a2f0d664e98fcde8bd5a293d36e788255bae70ac87cde</t>
  </si>
  <si>
    <t>{"S/N":"296","IMEI":"352676522059527","TIME":"","COLOUR":"NATURAL TITANIUM","DEVICE":"IPHONE","STORAGE":"256GB","Column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DATE":"","RECORD_ID":"0d27d89da94147ca979c826a9df93a71","BATTERY. H":"87%","CONDITIONS":"","COST PRICE":"","DATE BOUGHT":"2/21/2026","DESCRIPTION":"IPHONE 15 PRO MAX","DEAL LOCATION":"","INTERNAL NOTE":"","NAME OF BUYER":"DAMBOX","EXPENSE AMOUNT":"","NAME OF SELLER":"DAMBOX","PRODUCT STATUS":"SOLD","STATUS OF DEVICE":"LOCKED (UNLOCKED)","CALCULATED PROFIT":"","EXPENSE DESCRIPTION":"","PHONE NUMBER OF BUYER":"09040943517","AVAILABILITY/DATE SOLD":"3/7/2026","PHONE NUMBER OF SELLER":"09040943517","RECEIPT &amp; EVIDIENCE LINK":""}</t>
  </si>
  <si>
    <t>2d8c9d2fe1314ad48aa6a9badd49df6c</t>
  </si>
  <si>
    <t>b03fd28d0d43d007496da13681001fdeec45d12ad7be8896ee14a20a2255a7a9</t>
  </si>
  <si>
    <t>ADURAGBEMI ADEBAYO</t>
  </si>
  <si>
    <t>{"S/N":"297","IMEI":"357773245354015","TIME":"","COLOUR":"PURPLE","DEVICE":"IPHONE","STORAGE":"128GB","Column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DATE":"","RECORD_ID":"2d8c9d2fe1314ad48aa6a9badd49df6c","BATTERY. H":"85%","CONDITIONS":"","COST PRICE":"","DATE BOUGHT":"3/7/2026","DESCRIPTION":"IPHONE 14 PRO MAX","DEAL LOCATION":"","INTERNAL NOTE":"","NAME OF BUYER":"ADURAGBEMI ADEBAYO","EXPENSE AMOUNT":"","NAME OF SELLER":"DON","PRODUCT STATUS":"SOLD","STATUS OF DEVICE":"LOCKED","CALCULATED PROFIT":"","EXPENSE DESCRIPTION":"","PHONE NUMBER OF BUYER":"09027376507","AVAILABILITY/DATE SOLD":"3/7/2026","PHONE NUMBER OF SELLER":"2348137676322","RECEIPT &amp; EVIDIENCE LINK":""}</t>
  </si>
  <si>
    <t>eb258ad1b069443db77e02d27ef3246b</t>
  </si>
  <si>
    <t>6755bb5e41f8fe44c1a815c2c3ef697e1238c6d045989cb2d49dded8d62aaa9b</t>
  </si>
  <si>
    <t>{"S/N":"298","IMEI":"353240103451972","TIME":"","COLOUR":"MIDNIGHT GREEN","DEVICE":"IPHONE","STORAGE":"256GB","Column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DATE":"","RECORD_ID":"eb258ad1b069443db77e02d27ef3246b","BATTERY. H":"92%","CONDITIONS":"","COST PRICE":"","DATE BOUGHT":"3/7/2026","DESCRIPTION":"IPHONE 11 PRO","DEAL LOCATION":"","INTERNAL NOTE":"","NAME OF BUYER":"MULLER GADGET","EXPENSE AMOUNT":"","NAME OF SELLER":"DENIS4WARD TECHNOLOGY","PRODUCT STATUS":"SOLD","STATUS OF DEVICE":"UNLOCKED","CALCULATED PROFIT":"","EXPENSE DESCRIPTION":"","PHONE NUMBER OF BUYER":"2348165523297","AVAILABILITY/DATE SOLD":"3/7/2026","PHONE NUMBER OF SELLER":"08038551439","RECEIPT &amp; EVIDIENCE LINK":""}</t>
  </si>
  <si>
    <t>c12903c6ba314aa18f347f674ff005ed</t>
  </si>
  <si>
    <t>37f9d60095ea812d2d67b3f5f747bdc6b527e4116ef039d736b607ab06df9a6b</t>
  </si>
  <si>
    <t>{"S/N":"299","IMEI":"354423235215700","TIME":"","COLOUR":"DESERT TITANIUM","DEVICE":"IPHONE","STORAGE":"256GB","Column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DATE":"","RECORD_ID":"c12903c6ba314aa18f347f674ff005ed","BATTERY. H":"95%","CONDITIONS":"","COST PRICE":"","DATE BOUGHT":"3/9/2026","DESCRIPTION":"IPHONE 16 PRO MAX","DEAL LOCATION":"","INTERNAL NOTE":"","NAME OF BUYER":"SAM","EXPENSE AMOUNT":"","NAME OF SELLER":"SAM","PRODUCT STATUS":"SOLD","STATUS OF DEVICE":"LOCKED","CALCULATED PROFIT":"","EXPENSE DESCRIPTION":"","PHONE NUMBER OF BUYER":"09168257809","AVAILABILITY/DATE SOLD":"3/9/2026","PHONE NUMBER OF SELLER":"09168257809","RECEIPT &amp; EVIDIENCE LINK":""}</t>
  </si>
  <si>
    <t>111333f6c66a4b0c89e49491d74b7433</t>
  </si>
  <si>
    <t>34137deaa29d32646a89e4697034cd9b4c92d23924ba3abf2c10eb38822042ed</t>
  </si>
  <si>
    <t>PAPPYTECH</t>
  </si>
  <si>
    <t>{"S/N":"300","IMEI":"356848113696837","TIME":"","COLOUR":"BLACK","DEVICE":"IPHONE ","STORAGE":"64GB","Column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DATE":"","RECORD_ID":"111333f6c66a4b0c89e49491d74b7433","BATTERY. H":"-","CONDITIONS":"","COST PRICE":"","DATE BOUGHT":"3/9/2026","DESCRIPTION":"IPHONE SE 2ND GEN","DEAL LOCATION":"","INTERNAL NOTE":"","NAME OF BUYER":"PAPPYTECH","EXPENSE AMOUNT":"","NAME OF SELLER":"DENIS4WARD TECHNOLOGY","PRODUCT STATUS":"SOLD","STATUS OF DEVICE":"UNLOCKED","CALCULATED PROFIT":"","EXPENSE DESCRIPTION":"","PHONE NUMBER OF BUYER":"2349064677372","AVAILABILITY/DATE SOLD":"3/9/2026","PHONE NUMBER OF SELLER":"08038551439","RECEIPT &amp; EVIDIENCE LINK":""}</t>
  </si>
  <si>
    <t>90c11560e6d84fa08bd2790ffa7283a0</t>
  </si>
  <si>
    <t>9b7b64987ea77abe14e6837201e42b29262492e88f8d6aec86a14771a990f97e</t>
  </si>
  <si>
    <t>{"S/N":"301","IMEI":"355361727018118","TIME":"","COLOUR":"BLACK TITANIUM","DEVICE":"IPHONE","STORAGE":"128GB","Column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DATE":"","RECORD_ID":"90c11560e6d84fa08bd2790ffa7283a0","BATTERY. H":"86%","CONDITIONS":"","COST PRICE":"","DATE BOUGHT":"3/10/2026","DESCRIPTION":"IPHONE 15 PRO P + E","DEAL LOCATION":"","INTERNAL NOTE":"","NAME OF BUYER":"ADEX","EXPENSE AMOUNT":"","NAME OF SELLER":"OZ GADGET","PRODUCT STATUS":"SOLD","STATUS OF DEVICE":"UNLOCKED","CALCULATED PROFIT":"","EXPENSE DESCRIPTION":"","PHONE NUMBER OF BUYER":"2347067852062","AVAILABILITY/DATE SOLD":"3/10/2026","PHONE NUMBER OF SELLER":"08106293924","RECEIPT &amp; EVIDIENCE LINK":""}</t>
  </si>
  <si>
    <t>a73eadf49e1849939098e0378868a6dc</t>
  </si>
  <si>
    <t>ff0c84eda9a4b83abe9b84373ee20336f530ed194a5d296e3dca02a97d56b9df</t>
  </si>
  <si>
    <t>{"S/N":"302","IMEI":"358625099111231","TIME":"","COLOUR":"BLUE","DEVICE":"SAMSUNG","STORAGE":"64GB","Column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DATE":"","RECORD_ID":"a73eadf49e1849939098e0378868a6dc","BATTERY. H":"-","CONDITIONS":"DEPOSITED 90K","COST PRICE":"","DATE BOUGHT":"3/10/2026","DESCRIPTION":"SAMSUNG GALAXY S9","DEAL LOCATION":"","INTERNAL NOTE":"","NAME OF BUYER":"JENROLA OZ","EXPENSE AMOUNT":"","NAME OF SELLER":"DENIS4WARD TECHNOLOGY","PRODUCT STATUS":"SOLD","STATUS OF DEVICE":"UNLOCKED","CALCULATED PROFIT":"","EXPENSE DESCRIPTION":"","PHONE NUMBER OF BUYER":"2348151039966","AVAILABILITY/DATE SOLD":"3/10/2026","PHONE NUMBER OF SELLER":"08038551439","RECEIPT &amp; EVIDIENCE LINK":""}</t>
  </si>
  <si>
    <t>b382f8825b5b490698077b769e5b4890</t>
  </si>
  <si>
    <t>ae11d56d5afbe1c8a0eab57416257df0f852b4aad90cc335a0574cf40ef2fd1f</t>
  </si>
  <si>
    <t>{"S/N":"303","IMEI":"353980107564250","TIME":"","COLOUR":"BLACK","DEVICE":"IPHONE","STORAGE":"64GB","Column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DATE":"","RECORD_ID":"b382f8825b5b490698077b769e5b4890","BATTERY. H":"91%","CONDITIONS":"","COST PRICE":"","DATE BOUGHT":"3/10/2026","DESCRIPTION":"IPHONE 11","DEAL LOCATION":"","INTERNAL NOTE":"","NAME OF BUYER":"BIGSAM","EXPENSE AMOUNT":"","NAME OF SELLER":"ANOINTED WEALTH","PRODUCT STATUS":"SOLD","STATUS OF DEVICE":"UNLOCKED","CALCULATED PROFIT":"","EXPENSE DESCRIPTION":"","PHONE NUMBER OF BUYER":"2348103367143","AVAILABILITY/DATE SOLD":"3/10/2026","PHONE NUMBER OF SELLER":"0813 722 6383","RECEIPT &amp; EVIDIENCE LINK":""}</t>
  </si>
  <si>
    <t>3b417a7677de48c2aec1b0bf6917fe90</t>
  </si>
  <si>
    <t>6fd14dbfdc1a7375a5626c853af54c82546e263664a80fae4ac694d9cd86ebc3</t>
  </si>
  <si>
    <t>{"S/N":"304","IMEI":"353730795949093","TIME":"","COLOUR":"BLACK","DEVICE":"IPHONE","STORAGE":"256GB","Column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DATE":"","RECORD_ID":"3b417a7677de48c2aec1b0bf6917fe90","BATTERY. H":"90%","CONDITIONS":"","COST PRICE":"","DATE BOUGHT":"3/10/2026","DESCRIPTION":"IPHONE 14 PRO","DEAL LOCATION":"","INTERNAL NOTE":"","NAME OF BUYER":"TUNDE BABZ","EXPENSE AMOUNT":"","NAME OF SELLER":"ANOINTED WEALTH","PRODUCT STATUS":"SOLD","STATUS OF DEVICE":"UNLOCKED","CALCULATED PROFIT":"","EXPENSE DESCRIPTION":"","PHONE NUMBER OF BUYER":"08130793960","AVAILABILITY/DATE SOLD":"3/11/2026","PHONE NUMBER OF SELLER":"0813 722 6383","RECEIPT &amp; EVIDIENCE LINK":""}</t>
  </si>
  <si>
    <t>d81bb84ee7c14b0998060c29448d0a03</t>
  </si>
  <si>
    <t>cd7f7d23e40596688e9ed12dd7aa6981ce740597ea9046a8cfe0bf9c6367187d</t>
  </si>
  <si>
    <t>NEXUS TECHNOLOGY</t>
  </si>
  <si>
    <t>{"S/N":"305","IMEI":"350340252616483","TIME":"","COLOUR":"ULTRA MARINE","DEVICE":"IPHONE","STORAGE":"256GB","Column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DATE":"","RECORD_ID":"d81bb84ee7c14b0998060c29448d0a03","BATTERY. H":"91%","CONDITIONS":"","COST PRICE":"","DATE BOUGHT":"3/10/2026","DESCRIPTION":"IPHONE 16","DEAL LOCATION":"","INTERNAL NOTE":"","NAME OF BUYER":"NEXUS TECHNOLOGY","EXPENSE AMOUNT":"","NAME OF SELLER":"DENIS4WARD","PRODUCT STATUS":"SOLD","STATUS OF DEVICE":"LOCKED(UNLOCKED)","CALCULATED PROFIT":"","EXPENSE DESCRIPTION":"","PHONE NUMBER OF BUYER":"2347036020042","AVAILABILITY/DATE SOLD":"3/16/2026","PHONE NUMBER OF SELLER":"08038551439","RECEIPT &amp; EVIDIENCE LINK":""}</t>
  </si>
  <si>
    <t>5ecaf1b5e45243d38fa7c6fea9048526</t>
  </si>
  <si>
    <t>07de5a2fd1c4303a9b95f8ab9ccd3b95907584c324a5f157606c4ac549a3982c</t>
  </si>
  <si>
    <t>{"S/N":"306","IMEI":"354276354227868","TIME":"","COLOUR":"DESERT TITANIUM","DEVICE":"IPHONE","STORAGE":"512GB","Column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DATE":"","RECORD_ID":"5ecaf1b5e45243d38fa7c6fea9048526","BATTERY. H":"92%","CONDITIONS":"","COST PRICE":"","DATE BOUGHT":"3/10/2026","DESCRIPTION":"IPHONE 16 PRO MAX","DEAL LOCATION":"","INTERNAL NOTE":"","NAME OF BUYER":"DAH UNIQUE","EXPENSE AMOUNT":"","NAME OF SELLER":"OZ GADGET","PRODUCT STATUS":"SOLD","STATUS OF DEVICE":"UNLOCKED","CALCULATED PROFIT":"","EXPENSE DESCRIPTION":"","PHONE NUMBER OF BUYER":"2349070536253","AVAILABILITY/DATE SOLD":"3/10/2026","PHONE NUMBER OF SELLER":"08106293924","RECEIPT &amp; EVIDIENCE LINK":""}</t>
  </si>
  <si>
    <t>cf7a80d0ae524639818e0f55290195af</t>
  </si>
  <si>
    <t>3c6ca48ce55c077841c3329474455db6df5dfb84f7b9ecf261d85bd29dd36d08</t>
  </si>
  <si>
    <t>{"S/N":"307","IMEI":"355660520873581","TIME":"","COLOUR":"SILVER","DEVICE":"IPHONE","STORAGE":"256GB","Column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DATE":"","RECORD_ID":"cf7a80d0ae524639818e0f55290195af","BATTERY. H":"90%","CONDITIONS":"","COST PRICE":"","DATE BOUGHT":"3/11/2026","DESCRIPTION":"IPHONE 12 PRO MAX","DEAL LOCATION":"","INTERNAL NOTE":"","NAME OF BUYER":"FAV TECH","EXPENSE AMOUNT":"","NAME OF SELLER":"DENIS4WARD TECHNOLOGY","PRODUCT STATUS":"SOLD","STATUS OF DEVICE":"UNLOCKED","CALCULATED PROFIT":"","EXPENSE DESCRIPTION":"","PHONE NUMBER OF BUYER":"2349067112641","AVAILABILITY/DATE SOLD":"3/11/2026","PHONE NUMBER OF SELLER":"08038551439","RECEIPT &amp; EVIDIENCE LINK":""}</t>
  </si>
  <si>
    <t>74a43a9a3d2746aa81311b981fb9b571</t>
  </si>
  <si>
    <t>9c827efb4925525a511c5de12d4a6757b0dbd45c666ab916a918cbf2e2613d11</t>
  </si>
  <si>
    <t>{"S/N":"308","IMEI":"354230911519598","TIME":"","COLOUR":"BLUE TITANIUM","DEVICE":"IPHONE","STORAGE":"128GB","Column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DATE":"","RECORD_ID":"74a43a9a3d2746aa81311b981fb9b571","BATTERY. H":"90%","CONDITIONS":"SWAPPED WITH P + E IPHONE 15","COST PRICE":"","DATE BOUGHT":"3/12/2026","DESCRIPTION":"IPHONE 15 PRO P + E","DEAL LOCATION":"","INTERNAL NOTE":"","NAME OF BUYER":"ADEX","EXPENSE AMOUNT":"","NAME OF SELLER":"DAH UNIQUE","PRODUCT STATUS":"SOLD","STATUS OF DEVICE":"UNLOCKED","CALCULATED PROFIT":"","EXPENSE DESCRIPTION":"","PHONE NUMBER OF BUYER":"2347067852062","AVAILABILITY/DATE SOLD":"3/12/2026","PHONE NUMBER OF SELLER":"2349070536253","RECEIPT &amp; EVIDIENCE LINK":""}</t>
  </si>
  <si>
    <t>d0f08deb4dc34721a5e9bc8fb7a06812</t>
  </si>
  <si>
    <t>f02fe380ae52ecc006ad7781df5c3464c704fdaf00a28b2017451b10e3674f9a</t>
  </si>
  <si>
    <t>{"S/N":"309","IMEI":"354004395226065","TIME":"","COLOUR":"BLACK","DEVICE":"IPHONE","STORAGE":"128GB","Column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DATE":"","RECORD_ID":"d0f08deb4dc34721a5e9bc8fb7a06812","BATTERY. H":"86%","CONDITIONS":"","COST PRICE":"","DATE BOUGHT":"3/12/2026","DESCRIPTION":"IPHONE 15 P + E","DEAL LOCATION":"","INTERNAL NOTE":"","NAME OF BUYER":"DON","EXPENSE AMOUNT":"","NAME OF SELLER":"ADEX","PRODUCT STATUS":"SOLD","STATUS OF DEVICE":"UNLOCKED","CALCULATED PROFIT":"","EXPENSE DESCRIPTION":"","PHONE NUMBER OF BUYER":"09060637892","AVAILABILITY/DATE SOLD":"3/17/2026","PHONE NUMBER OF SELLER":"2347067852062","RECEIPT &amp; EVIDIENCE LINK":""}</t>
  </si>
  <si>
    <t>d783d9b0c7e54a28baa77dbd61210fce</t>
  </si>
  <si>
    <t>d2a55b7a4e2cb7c70a05b829da07d03535007848270deddcad8d4ac0adc881d2</t>
  </si>
  <si>
    <t>{"S/N":"310","IMEI":"353075116116653","TIME":"","COLOUR":"BLACK","DEVICE":"IPHONE","STORAGE":"128GB","Column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DATE":"","RECORD_ID":"d783d9b0c7e54a28baa77dbd61210fce","BATTERY. H":"82%","CONDITIONS":"","COST PRICE":"","DATE BOUGHT":"3/13/2026","DESCRIPTION":"IPHONE 12 PRO","DEAL LOCATION":"","INTERNAL NOTE":"","NAME OF BUYER":"SEYIFUNMI","EXPENSE AMOUNT":"","NAME OF SELLER":"MBENZ","PRODUCT STATUS":"SOLD","STATUS OF DEVICE":"UNLOCKED","CALCULATED PROFIT":"","EXPENSE DESCRIPTION":"","PHONE NUMBER OF BUYER":"2347065500068","AVAILABILITY/DATE SOLD":"3/16/2026","PHONE NUMBER OF SELLER":"2349137123168","RECEIPT &amp; EVIDIENCE LINK":""}</t>
  </si>
  <si>
    <t>b65e0279e0344b9e89047e76929a2e38</t>
  </si>
  <si>
    <t>6cf1ea14dac02a3dc523d91d16b9173811948c8aea24ada0fb54ba0f2e2b154d</t>
  </si>
  <si>
    <t>{"S/N":"311","IMEI":"350636270816918","TIME":"","COLOUR":"BLACK","DEVICE":"IPHONE","STORAGE":"256GB","Column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DATE":"","RECORD_ID":"b65e0279e0344b9e89047e76929a2e38","BATTERY. H":"82%","CONDITIONS":"","COST PRICE":"","DATE BOUGHT":"3/13/2026","DESCRIPTION":"IPHONE 14 PRO MAX P + E","DEAL LOCATION":"","INTERNAL NOTE":"","NAME OF BUYER":"BRIGHT DENIS4WARD","EXPENSE AMOUNT":"","NAME OF SELLER":"EZEKIEL OLOYEDE","PRODUCT STATUS":"SOLD","STATUS OF DEVICE":"UNLOCKED","CALCULATED PROFIT":"","EXPENSE DESCRIPTION":"","PHONE NUMBER OF BUYER":"09063958834","AVAILABILITY/DATE SOLD":"IPHONE 14","PHONE NUMBER OF SELLER":"","RECEIPT &amp; EVIDIENCE LINK":""}</t>
  </si>
  <si>
    <t>003fa7aa4d254191b73079a377b0e9f1</t>
  </si>
  <si>
    <t>1f656ce2f3108a45296c5afa3a549827ff1a281e457aee908fcd343ab15a54b8</t>
  </si>
  <si>
    <t>{"S/N":"312","IMEI":"355338084731467","TIME":"","COLOUR":"SILVER","DEVICE":"IPHONE","STORAGE":"32GB","Column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DATE":"","RECORD_ID":"003fa7aa4d254191b73079a377b0e9f1","BATTERY. H":"88%","CONDITIONS":"","COST PRICE":"","DATE BOUGHT":"3/13/2026","DESCRIPTION":"IPHONE 7","DEAL LOCATION":"","INTERNAL NOTE":"","NAME OF BUYER":"PAPPYTECH","EXPENSE AMOUNT":"","NAME OF SELLER":"DEMIGLOBAL","PRODUCT STATUS":"SOLD","STATUS OF DEVICE":"UNLOCKED","CALCULATED PROFIT":"","EXPENSE DESCRIPTION":"","PHONE NUMBER OF BUYER":"2349064677372","AVAILABILITY/DATE SOLD":"3/14/2026","PHONE NUMBER OF SELLER":"2349066720385","RECEIPT &amp; EVIDIENCE LINK":""}</t>
  </si>
  <si>
    <t>7db70a29d4f9418aafd5994e158475b8</t>
  </si>
  <si>
    <t>73213e3871f364d3b80328ae42d71fc09cee798248862094780852e968ac8dc6</t>
  </si>
  <si>
    <t>{"S/N":"313","IMEI":"354496311666220","TIME":"","COLOUR":"BLACK TITANIUM","DEVICE":"IPHONE","STORAGE":"128GB","Column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DATE":"","RECORD_ID":"7db70a29d4f9418aafd5994e158475b8","BATTERY. H":"91%","CONDITIONS":"","COST PRICE":"","DATE BOUGHT":"3/13/2026","DESCRIPTION":"IPHONE 15 PRO P + E","DEAL LOCATION":"","INTERNAL NOTE":"","NAME OF BUYER":"","EXPENSE AMOUNT":"","NAME OF SELLER":"PLENTY GADGET","PRODUCT STATUS":"SOLD","STATUS OF DEVICE":"UNLOCKED","CALCULATED PROFIT":"","EXPENSE DESCRIPTION":"","PHONE NUMBER OF BUYER":"","AVAILABILITY/DATE SOLD":"","PHONE NUMBER OF SELLER":"2349022154207","RECEIPT &amp; EVIDIENCE LINK":""}</t>
  </si>
  <si>
    <t>331810cb5c70459eaccdcebe0d40edcf</t>
  </si>
  <si>
    <t>5365238c8355bfa1114ba3ccb2ac1365ea3fd106ceb813549d824930ff4ee374</t>
  </si>
  <si>
    <t>{"S/N":"314","IMEI":"","TIME":"","COLOUR":"BLACK TITANIUM","DEVICE":"IPHONE","STORAGE":"256GB","Column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DATE":"","RECORD_ID":"331810cb5c70459eaccdcebe0d40edcf","BATTERY. H":"","CONDITIONS":"","COST PRICE":"","DATE BOUGHT":"","DESCRIPTION":"IPHONE 15 PRO","DEAL LOCATION":"","INTERNAL NOTE":"","NAME OF BUYER":"","EXPENSE AMOUNT":"","NAME OF SELLER":"","PRODUCT STATUS":"SOLD","STATUS OF DEVICE":"","CALCULATED PROFIT":"","EXPENSE DESCRIPTION":"","PHONE NUMBER OF BUYER":"","AVAILABILITY/DATE SOLD":"","PHONE NUMBER OF SELLER":"","RECEIPT &amp; EVIDIENCE LINK":""}</t>
  </si>
  <si>
    <t>321516cd1bd54daa8eb70d5ebfc441a0</t>
  </si>
  <si>
    <t>f421fb825618b43c6757e7d4ec1ba83b113095112417f1e2739400c92bfb98c6</t>
  </si>
  <si>
    <t>ANOITED WEALTH</t>
  </si>
  <si>
    <t>{"S/N":"315","IMEI":"JKH9GNP094","TIME":"","COLOUR":"JET BLACK","DEVICE":"IWATCH","STORAGE":"-","Column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DATE":"","RECORD_ID":"321516cd1bd54daa8eb70d5ebfc441a0","BATTERY. H":"100%","CONDITIONS":"","COST PRICE":"","DATE BOUGHT":"3/14/2026","DESCRIPTION":"IWATCH SERIES 11 46MM GPS","DEAL LOCATION":"","INTERNAL NOTE":"","NAME OF BUYER":"ANOITED WEALTH","EXPENSE AMOUNT":"","NAME OF SELLER":"MBENZ ESIM","PRODUCT STATUS":"SOLD","STATUS OF DEVICE":"UNLOCKED","CALCULATED PROFIT":"","EXPENSE DESCRIPTION":"","PHONE NUMBER OF BUYER":"2348137226383","AVAILABILITY/DATE SOLD":"4/3/2026","PHONE NUMBER OF SELLER":"2349137123168","RECEIPT &amp; EVIDIENCE LINK":""}</t>
  </si>
  <si>
    <t>85c0693bb2ad4180a4d3b42b907d94bc</t>
  </si>
  <si>
    <t>db0230b02e316d4319b715042055b642e9101be8dd584fae91fc274487ab8b5b</t>
  </si>
  <si>
    <t>MBENZ ESIM</t>
  </si>
  <si>
    <t>{"S/N":"316","IMEI":"359811263248244","TIME":"","COLOUR":"WHITE","DEVICE":"IPHONE","STORAGE":"128GB","Column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DATE":"","RECORD_ID":"85c0693bb2ad4180a4d3b42b907d94bc","BATTERY. H":"74%","CONDITIONS":"","COST PRICE":"","DATE BOUGHT":"3/14/2026","DESCRIPTION":"IPHONE 13 PRO MAX","DEAL LOCATION":"","INTERNAL NOTE":"","NAME OF BUYER":"MBENZ ESIM","EXPENSE AMOUNT":"","NAME OF SELLER":"OLOYEDE ENOCH","PRODUCT STATUS":"sold","STATUS OF DEVICE":"UNLOCKED","CALCULATED PROFIT":"","EXPENSE DESCRIPTION":"","PHONE NUMBER OF BUYER":"2349137123168","AVAILABILITY/DATE SOLD":"3/14/2026","PHONE NUMBER OF SELLER":"09044979373","RECEIPT &amp; EVIDIENCE LINK":""}</t>
  </si>
  <si>
    <t>5fd537b51fac4a8399e62f5eb2c25af6</t>
  </si>
  <si>
    <t>9f66156117257d62b3ca7211a3dc3ba5232892243316e2024b3c75d8a05bccae</t>
  </si>
  <si>
    <t>{"S/N":"317","IMEI":"MC872201734","TIME":"","COLOUR":"BLACK","DEVICE":"CONSOLE","STORAGE":"500GB","Column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DATE":"","RECORD_ID":"5fd537b51fac4a8399e62f5eb2c25af6","BATTERY. H":"-","CONDITIONS":"","COST PRICE":"","DATE BOUGHT":"3/16/2026","DESCRIPTION":"PS4 SLIM","DEAL LOCATION":"","INTERNAL NOTE":"","NAME OF BUYER":"MULLAR GADGET","EXPENSE AMOUNT":"","NAME OF SELLER":"OLUWABURNA","PRODUCT STATUS":"SOLD","STATUS OF DEVICE":"-","CALCULATED PROFIT":"","EXPENSE DESCRIPTION":"","PHONE NUMBER OF BUYER":"2348165523297","AVAILABILITY/DATE SOLD":"4/7/2026","PHONE NUMBER OF SELLER":"2348148422331","RECEIPT &amp; EVIDIENCE LINK":""}</t>
  </si>
  <si>
    <t>3426ecefb22048cabfe9bcec0b6a81d2</t>
  </si>
  <si>
    <t>9c74e81b48e87056dbf878d648d3b9eec837addaf6999881e4ba0d779f225d1a</t>
  </si>
  <si>
    <t>{"S/N":"318","IMEI":"356845113678534","TIME":"","COLOUR":"WHITE","DEVICE":"IPHONE","STORAGE":"64GB","Column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DATE":"","RECORD_ID":"3426ecefb22048cabfe9bcec0b6a81d2","BATTERY. H":"-","CONDITIONS":"","COST PRICE":"","DATE BOUGHT":"3/14/2026","DESCRIPTION":"IPHONE SE 2ND GEN","DEAL LOCATION":"","INTERNAL NOTE":"","NAME OF BUYER":"RAYMOND FLASH","EXPENSE AMOUNT":"","NAME OF SELLER":"DENIS4WARD TECHMOLOGY","PRODUCT STATUS":"SOLD","STATUS OF DEVICE":"UNLOCKED","CALCULATED PROFIT":"","EXPENSE DESCRIPTION":"","PHONE NUMBER OF BUYER":"2349161048040","AVAILABILITY/DATE SOLD":"3/14/2026","PHONE NUMBER OF SELLER":"08038551439","RECEIPT &amp; EVIDIENCE LINK":""}</t>
  </si>
  <si>
    <t>5b88a2475ae44b5ba5bd2955a6b5f9b2</t>
  </si>
  <si>
    <t>c745a225ec62cc3e655d67425da3a47f08c1b7d896660c8dce7317cab93a8cf1</t>
  </si>
  <si>
    <t>{"S/N":"319","IMEI":"354178507884670","TIME":"","COLOUR":"BLACK","DEVICE":"IPHONE","STORAGE":"256GB","Column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DATE":"","RECORD_ID":"5b88a2475ae44b5ba5bd2955a6b5f9b2","BATTERY. H":"100%","CONDITIONS":"","COST PRICE":"","DATE BOUGHT":"3/17/2026","DESCRIPTION":"IPHONE 16","DEAL LOCATION":"","INTERNAL NOTE":"","NAME OF BUYER":"BIGMO","EXPENSE AMOUNT":"","NAME OF SELLER":"MASTERY MOBILE","PRODUCT STATUS":"SOLD","STATUS OF DEVICE":"UNLOCKED","CALCULATED PROFIT":"","EXPENSE DESCRIPTION":"","PHONE NUMBER OF BUYER":"2347030251517","AVAILABILITY/DATE SOLD":"3/21/2026","PHONE NUMBER OF SELLER":"2348027964718","RECEIPT &amp; EVIDIENCE LINK":""}</t>
  </si>
  <si>
    <t>4430cd3c331e42fd8ad8ba06970f9e03</t>
  </si>
  <si>
    <t>bb619fdd41e9b41f1530c3b898e31381b92182407678a7fdd7abf7e96828122f</t>
  </si>
  <si>
    <t>{"S/N":"320","IMEI":"356140776073847","TIME":"","COLOUR":"ULTRA MARINE","DEVICE":"IPHONE","STORAGE":"128GB","Column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DATE":"","RECORD_ID":"4430cd3c331e42fd8ad8ba06970f9e03","BATTERY. H":"100%","CONDITIONS":"","COST PRICE":"","DATE BOUGHT":"3/18/2026","DESCRIPTION":"IPHONE 16","DEAL LOCATION":"","INTERNAL NOTE":"","NAME OF BUYER":"MASTERY MOBILE","EXPENSE AMOUNT":"","NAME OF SELLER":"AYOBAMI CLASSIC","PRODUCT STATUS":"SOLD","STATUS OF DEVICE":"LOCKED (UNLOCKED)","CALCULATED PROFIT":"","EXPENSE DESCRIPTION":"","PHONE NUMBER OF BUYER":"2348027964718","AVAILABILITY/DATE SOLD":"3/26/2026","PHONE NUMBER OF SELLER":"2348169038081","RECEIPT &amp; EVIDIENCE LINK":""}</t>
  </si>
  <si>
    <t>687a7bb99cd648febc1cc425a7ca2525</t>
  </si>
  <si>
    <t>2f85e0c404012f5cb2780d5ec0912d58638e17462c3be9436ce5745cd164089c</t>
  </si>
  <si>
    <t>{"S/N":"321","IMEI":"353249104500786","TIME":"","COLOUR":"MIDNIGHT GREEN","DEVICE":"IPHONE","STORAGE":"256GB","Column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DATE":"","RECORD_ID":"687a7bb99cd648febc1cc425a7ca2525","BATTERY. H":"100%","CONDITIONS":"","COST PRICE":"","DATE BOUGHT":"3/19/2026","DESCRIPTION":"IPHONE 11 PRO","DEAL LOCATION":"","INTERNAL NOTE":"","NAME OF BUYER":"DON","EXPENSE AMOUNT":"","NAME OF SELLER":"MBENZ ESIM","PRODUCT STATUS":"SOLD","STATUS OF DEVICE":"UNLOCKED","CALCULATED PROFIT":"","EXPENSE DESCRIPTION":"","PHONE NUMBER OF BUYER":"2348137676322","AVAILABILITY/DATE SOLD":"3/20/2026","PHONE NUMBER OF SELLER":"2349137123168","RECEIPT &amp; EVIDIENCE LINK":""}</t>
  </si>
  <si>
    <t>f2c98db24511405e8b0cbd1eac053306</t>
  </si>
  <si>
    <t>76ac3367a6d2db3ef762bf44ce975761880aeb26da88a7dcc8ceb795b7251dfc</t>
  </si>
  <si>
    <t>RAYMOND FLASH GADGET</t>
  </si>
  <si>
    <t>{"S/N":"322","IMEI":"354423235215700","TIME":"","COLOUR":"DESERT TITANIUM","DEVICE":"IPHONE","STORAGE":"256GB","Column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DATE":"","RECORD_ID":"f2c98db24511405e8b0cbd1eac053306","BATTERY. H":"100%","CONDITIONS":"","COST PRICE":"","DATE BOUGHT":"3/19/2026","DESCRIPTION":"IPHONE 16 PRO MAX","DEAL LOCATION":"","INTERNAL NOTE":"","NAME OF BUYER":"RAYMOND FLASH GADGET","EXPENSE AMOUNT":"","NAME OF SELLER":"SAM","PRODUCT STATUS":"PENDING DEAL","STATUS OF DEVICE":"LOCKED","CALCULATED PROFIT":"","EXPENSE DESCRIPTION":"","PHONE NUMBER OF BUYER":"2349161048040","AVAILABILITY/DATE SOLD":"PENDING DEAL","PHONE NUMBER OF SELLER":"09168257809","RECEIPT &amp; EVIDIENCE LINK":""}</t>
  </si>
  <si>
    <t>c60fa9b140ac407c9d14c4d1c393e575</t>
  </si>
  <si>
    <t>5e78f865dc4a9e6d2da636c80b3f12a070a051c73319bb2bb67b89f2f7ebaa00</t>
  </si>
  <si>
    <t>{"S/N":"323","IMEI":"353843242565410","TIME":"","COLOUR":"GOLD","DEVICE":"IPHONE","STORAGE":"128GB","Column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DATE":"","RECORD_ID":"c60fa9b140ac407c9d14c4d1c393e575","BATTERY. H":"87%","CONDITIONS":"","COST PRICE":"","DATE BOUGHT":"3/20/2026","DESCRIPTION":"IPHONE 14 PRO MAX P + E","DEAL LOCATION":"","INTERNAL NOTE":"","NAME OF BUYER":"","EXPENSE AMOUNT":"","NAME OF SELLER":"CHRISTINED","PRODUCT STATUS":"sold","STATUS OF DEVICE":"UNLOCKED","CALCULATED PROFIT":"","EXPENSE DESCRIPTION":"","PHONE NUMBER OF BUYER":"","AVAILABILITY/DATE SOLD":"4/2/2026","PHONE NUMBER OF SELLER":"2347042397112","RECEIPT &amp; EVIDIENCE LINK":""}</t>
  </si>
  <si>
    <t>f967e94215094b66b5419e27c8500caa</t>
  </si>
  <si>
    <t>a2d474bddeba75da55cdbc123ec6dd5a28f19eeeb5cf0f19dbe8471d5b7a155e</t>
  </si>
  <si>
    <t>{"S/N":"324","IMEI":"351935566554418","TIME":"","COLOUR":"ULTRA MARINE","DEVICE":"IPHONE","STORAGE":"128GB","Column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DATE":"","RECORD_ID":"f967e94215094b66b5419e27c8500caa","BATTERY. H":"92%","CONDITIONS":"","COST PRICE":"","DATE BOUGHT":"3/21/2026","DESCRIPTION":"IPHONE 16","DEAL LOCATION":"","INTERNAL NOTE":"","NAME OF BUYER":"THANKGOD","EXPENSE AMOUNT":"","NAME OF SELLER":"BAYESH","PRODUCT STATUS":"SOLD","STATUS OF DEVICE":"UNLOCKED","CALCULATED PROFIT":"","EXPENSE DESCRIPTION":"","PHONE NUMBER OF BUYER":"2349060695934","AVAILABILITY/DATE SOLD":"3/29/2026","PHONE NUMBER OF SELLER":"08136276066","RECEIPT &amp; EVIDIENCE LINK":""}</t>
  </si>
  <si>
    <t>bd848ed2c6894620aac23f5d041eb00b</t>
  </si>
  <si>
    <t>46587feacac43c85f6c8a768d04f28e00e725b6786a74e43627ab1055355fc26</t>
  </si>
  <si>
    <t>HADLARD COMMUNICATION</t>
  </si>
  <si>
    <t>{"S/N":"325","IMEI":"358730091228981","TIME":"","COLOUR":"GOLD","DEVICE":"IPHONE","STORAGE":"256GB","Column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DATE":"","RECORD_ID":"bd848ed2c6894620aac23f5d041eb00b","BATTERY. H":"96%","CONDITIONS":"","COST PRICE":"","DATE BOUGHT":"3/21/2026","DESCRIPTION":"IPHONE XS MAX","DEAL LOCATION":"","INTERNAL NOTE":"","NAME OF BUYER":"HADLARD COMMUNICATION","EXPENSE AMOUNT":"","NAME OF SELLER":"IMOLE DC","PRODUCT STATUS":"SOLD","STATUS OF DEVICE":"UNLOCKED","CALCULATED PROFIT":"","EXPENSE DESCRIPTION":"","PHONE NUMBER OF BUYER":"2347030251517","AVAILABILITY/DATE SOLD":"3/26/2026","PHONE NUMBER OF SELLER":"2348101680421","RECEIPT &amp; EVIDIENCE LINK":""}</t>
  </si>
  <si>
    <t>10e4823d6ab54ebc973a0bddd2534006</t>
  </si>
  <si>
    <t>b304ac9918cc2c8079e5e2aa3a2853e02eb22a00713fa835c980b2fbe9a171f2</t>
  </si>
  <si>
    <t>SKY PEROXIDE</t>
  </si>
  <si>
    <t>{"S/N":"326","IMEI":"353926106063562","TIME":"","COLOUR":"MIDNIGHT GREEN","DEVICE":"IPHONE","STORAGE":"256GB","Column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DATE":"","RECORD_ID":"10e4823d6ab54ebc973a0bddd2534006","BATTERY. H":"-","CONDITIONS":"","COST PRICE":"","DATE BOUGHT":"3/23/2026","DESCRIPTION":"IPHONE 11 PRO MAX","DEAL LOCATION":"","INTERNAL NOTE":"","NAME OF BUYER":"SKY PEROXIDE","EXPENSE AMOUNT":"","NAME OF SELLER":"CURTIS ESIM","PRODUCT STATUS":"SOLD","STATUS OF DEVICE":"UNLOCKED","CALCULATED PROFIT":"","EXPENSE DESCRIPTION":"","PHONE NUMBER OF BUYER":"","AVAILABILITY/DATE SOLD":"3/27/2026","PHONE NUMBER OF SELLER":"2349035711584","RECEIPT &amp; EVIDIENCE LINK":""}</t>
  </si>
  <si>
    <t>5bbe1037344940c68e0e1fbc73bcf70c</t>
  </si>
  <si>
    <t>b7fd189e7350fb5ed643ec3a5e47f15973d8ebd1d6b352ba7044985cdc486321</t>
  </si>
  <si>
    <t>{"S/N":"327","IMEI":"356330873132618","TIME":"","COLOUR":"ULTRA MARINE","DEVICE":"IPHONE","STORAGE":"128GB","Column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DATE":"","RECORD_ID":"5bbe1037344940c68e0e1fbc73bcf70c","BATTERY. H":"91%","CONDITIONS":"","COST PRICE":"","DATE BOUGHT":"3/24/2026","DESCRIPTION":"IPHONE 16","DEAL LOCATION":"","INTERNAL NOTE":"","NAME OF BUYER":"ANOINTED WEALTH","EXPENSE AMOUNT":"","NAME OF SELLER":"DAMBOX","PRODUCT STATUS":"SOLD","STATUS OF DEVICE":"LOCKED(UNLOCKED)","CALCULATED PROFIT":"","EXPENSE DESCRIPTION":"","PHONE NUMBER OF BUYER":"2348137226383","AVAILABILITY/DATE SOLD":"","PHONE NUMBER OF SELLER":"09040943517","RECEIPT &amp; EVIDIENCE LINK":""}</t>
  </si>
  <si>
    <t>3956beb4327e42f593dc6f77e1d5878f</t>
  </si>
  <si>
    <t>03e2501853aeab722981022e66e0599fcffcc71481d0d2540810f80d56f955c7</t>
  </si>
  <si>
    <t>{"S/N":"328","IMEI":"351194966961241","TIME":"","COLOUR":"GRAPHITE","DEVICE":"IPHONE","STORAGE":"128GB","Column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DATE":"","RECORD_ID":"3956beb4327e42f593dc6f77e1d5878f","BATTERY. H":"90%","CONDITIONS":"","COST PRICE":"","DATE BOUGHT":"3/24/2026","DESCRIPTION":"IPHONE 12 PRO","DEAL LOCATION":"","INTERNAL NOTE":"","NAME OF BUYER":"SAMMY CONCEPT","EXPENSE AMOUNT":"","NAME OF SELLER":"ELI DOLLAR","PRODUCT STATUS":"SOLD","STATUS OF DEVICE":"UNLOCKED","CALCULATED PROFIT":"","EXPENSE DESCRIPTION":"","PHONE NUMBER OF BUYER":"09037002617","AVAILABILITY/DATE SOLD":"3/26/2026","PHONE NUMBER OF SELLER":"07048810996","RECEIPT &amp; EVIDIENCE LINK":""}</t>
  </si>
  <si>
    <t>304be71750e6480c884d8a56482c1796</t>
  </si>
  <si>
    <t>4114002b6c5c8c74d7b10461fb330d4b9b2479949aa9f7a63bba9a1ff5393aef</t>
  </si>
  <si>
    <t>{"S/N":"329","IMEI":"354331124392649","TIME":"","COLOUR":"WHITE TITANIUM ","DEVICE":"IPHONE","STORAGE":"256GB","Column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DATE":"","RECORD_ID":"304be71750e6480c884d8a56482c1796","BATTERY. H":"97%","CONDITIONS":"","COST PRICE":"","DATE BOUGHT":"3/26/2026","DESCRIPTION":"IPHONE 16 PRO MAX","DEAL LOCATION":"","INTERNAL NOTE":"","NAME OF BUYER":"MD GADGS","EXPENSE AMOUNT":"","NAME OF SELLER":"OZ GADGETS","PRODUCT STATUS":"sold","STATUS OF DEVICE":"UNLOCKED","CALCULATED PROFIT":"","EXPENSE DESCRIPTION":"","PHONE NUMBER OF BUYER":"08166860603","AVAILABILITY/DATE SOLD":"3/27/2026","PHONE NUMBER OF SELLER":"08106293924","RECEIPT &amp; EVIDIENCE LINK":""}</t>
  </si>
  <si>
    <t>f7f89a900c524e1da831e96132786c82</t>
  </si>
  <si>
    <t>f86b90028ac25756b3df4ea04bc7177b6f73f41d8c80d2fb724022bb18ee0848</t>
  </si>
  <si>
    <t>{"S/N":"330","IMEI":"VD7V676WT3","TIME":"","COLOUR":"BLACK","DEVICE":"WATCH","STORAGE":"-","Column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DATE":"","RECORD_ID":"f7f89a900c524e1da831e96132786c82","BATTERY. H":"-","CONDITIONS":"","COST PRICE":"","DATE BOUGHT":"3/26/2026","DESCRIPTION":"IWATCH SERIES 7 GPS + LTE","DEAL LOCATION":"","INTERNAL NOTE":"","NAME OF BUYER":"","EXPENSE AMOUNT":"","NAME OF SELLER":"MASTERY MOBILE","PRODUCT STATUS":"SOLD","STATUS OF DEVICE":"UNLOCKED","CALCULATED PROFIT":"","EXPENSE DESCRIPTION":"","PHONE NUMBER OF BUYER":"","AVAILABILITY/DATE SOLD":"3/29/2026","PHONE NUMBER OF SELLER":"08027964718","RECEIPT &amp; EVIDIENCE LINK":""}</t>
  </si>
  <si>
    <t>7653c8fe30104843a2900a76a5697a40</t>
  </si>
  <si>
    <t>c56ac3cb844f75620b7825c28b4ec1efa5f3de9aa9732b84ae8e15239fb1a26e</t>
  </si>
  <si>
    <t>{"S/N":"331","IMEI":"352973351900768","TIME":"","COLOUR":"ULTRA MARINE","DEVICE":"IPHONE","STORAGE":"256GB","Column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DATE":"","RECORD_ID":"7653c8fe30104843a2900a76a5697a40","BATTERY. H":"91%","CONDITIONS":"","COST PRICE":"","DATE BOUGHT":"3/26/2026","DESCRIPTION":"IPHONE 16 PLUS P + E","DEAL LOCATION":"","INTERNAL NOTE":"","NAME OF BUYER":"KAYWISE","EXPENSE AMOUNT":"","NAME OF SELLER":"ANOINTED WEALTH","PRODUCT STATUS":"SOLD","STATUS OF DEVICE":"UNLOCKED","CALCULATED PROFIT":"","EXPENSE DESCRIPTION":"","PHONE NUMBER OF BUYER":"234 903 261 4464","AVAILABILITY/DATE SOLD":"4/4/2026","PHONE NUMBER OF SELLER":"08137226383","RECEIPT &amp; EVIDIENCE LINK":""}</t>
  </si>
  <si>
    <t>e5c2537a318446849eb550b515f1441c</t>
  </si>
  <si>
    <t>9aab05bf190bf3ba5bda82e10cad54d4f93a23a7c90bf9d23dc847c84393476f</t>
  </si>
  <si>
    <t>{"S/N":"332","IMEI":"356483109107191","TIME":"","COLOUR":"RED","DEVICE":"IPHONE","STORAGE":"64GB","Column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DATE":"","RECORD_ID":"e5c2537a318446849eb550b515f1441c","BATTERY. H":"76%","CONDITIONS":"","COST PRICE":"\u20a6100,000.00","DATE BOUGHT":"3/27/2026","DESCRIPTION":"IPHONE SE 2ND GEN","DEAL LOCATION":"","INTERNAL NOTE":"","NAME OF BUYER":"MULLER GADGET","EXPENSE AMOUNT":"","NAME OF SELLER":"CHRIS CHRONICLES","PRODUCT STATUS":"SOLD","STATUS OF DEVICE":"UNLOCKED","CALCULATED PROFIT":"","EXPENSE DESCRIPTION":"","PHONE NUMBER OF BUYER":"234 8165523297","AVAILABILITY/DATE SOLD":"4/20/2026","PHONE NUMBER OF SELLER":"2348138408833","RECEIPT &amp; EVIDIENCE LINK":""}</t>
  </si>
  <si>
    <t>8a812ad79e744361b750b9367d84ba20</t>
  </si>
  <si>
    <t>02e1d5ef81bc26418a7e0c04a00932c0d693ca26d2a807ab044c2c3782a525d8</t>
  </si>
  <si>
    <t>{"S/N":"333","IMEI":"350359740006958","TIME":"","COLOUR":"BLACK","DEVICE":"SAMSUNG","STORAGE":"256GB","Column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DATE":"","RECORD_ID":"8a812ad79e744361b750b9367d84ba20","BATTERY. H":"-","CONDITIONS":"","COST PRICE":"","DATE BOUGHT":"3/27/2026","DESCRIPTION":"SAMSUNG GALAXY S21","DEAL LOCATION":"","INTERNAL NOTE":"","NAME OF BUYER":"JT GADGET","EXPENSE AMOUNT":"","NAME OF SELLER":"HAYKINZ TECH","PRODUCT STATUS":"SOLD","STATUS OF DEVICE":"UNLOCKED","CALCULATED PROFIT":"","EXPENSE DESCRIPTION":"","PHONE NUMBER OF BUYER":"2349167371765","AVAILABILITY/DATE SOLD":"3/27/2026","PHONE NUMBER OF SELLER":"07030279101","RECEIPT &amp; EVIDIENCE LINK":""}</t>
  </si>
  <si>
    <t>66f0c6feb0264d14a6fc311978a3dcaf</t>
  </si>
  <si>
    <t>50651ff5d7eecae3742da342688552fce88b107658f2d5ef3e668e0be718266a</t>
  </si>
  <si>
    <t>{"S/N":"334","IMEI":"","TIME":"","COLOUR":"GOLD","DEVICE":"","STORAGE":"128GB","Column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DATE":"","RECORD_ID":"66f0c6feb0264d14a6fc311978a3dcaf","BATTERY. H":"","CONDITIONS":"","COST PRICE":"","DATE BOUGHT":"","DESCRIPTION":"IPHONE 14 PRO","DEAL LOCATION":"","INTERNAL NOTE":"","NAME OF BUYER":"","EXPENSE AMOUNT":"","NAME OF SELLER":"","PRODUCT STATUS":"NEEDS DETAILS","STATUS OF DEVICE":"","CALCULATED PROFIT":"","EXPENSE DESCRIPTION":"","PHONE NUMBER OF BUYER":"","AVAILABILITY/DATE SOLD":"","PHONE NUMBER OF SELLER":"","RECEIPT &amp; EVIDIENCE LINK":""}</t>
  </si>
  <si>
    <t>d6980363312b4b09b1f9d82d3084f39c</t>
  </si>
  <si>
    <t>46e2597d8fc4ae30e0f39c5923ec4809001fdd19a52aea0e18836c05aac09224</t>
  </si>
  <si>
    <t>{"S/N":"335","IMEI":"354741555053579","TIME":"","COLOUR":"BLACK","DEVICE":"IPHONE","STORAGE":"128GB","Column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DATE":"","RECORD_ID":"d6980363312b4b09b1f9d82d3084f39c","BATTERY. H":"100%","CONDITIONS":"","COST PRICE":"","DATE BOUGHT":"4/2/2026","DESCRIPTION":"IPHONE 16 E","DEAL LOCATION":"","INTERNAL NOTE":"","NAME OF BUYER":"","EXPENSE AMOUNT":"","NAME OF SELLER":"GNF","PRODUCT STATUS":"SOLD","STATUS OF DEVICE":"UNLOCKED","CALCULATED PROFIT":"","EXPENSE DESCRIPTION":"","PHONE NUMBER OF BUYER":"","AVAILABILITY/DATE SOLD":"","PHONE NUMBER OF SELLER":"2348160373526","RECEIPT &amp; EVIDIENCE LINK":""}</t>
  </si>
  <si>
    <t>03c71f12e10a4020bf51e23c3e7f92f0</t>
  </si>
  <si>
    <t>4b6a47d188aec313efebfd9f10eb169dee97ae57582d96aed0566499683848a5</t>
  </si>
  <si>
    <t>DEMIGLOBAL MULTISERIVICE</t>
  </si>
  <si>
    <t>{"S/N":"336","IMEI":"354496311665220","TIME":"","COLOUR":"BLACK TITANIUM","DEVICE":"IPHONE","STORAGE":"128GB","Column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DATE":"","RECORD_ID":"03c71f12e10a4020bf51e23c3e7f92f0","BATTERY. H":"91%","CONDITIONS":"","COST PRICE":"","DATE BOUGHT":"3/10/2026","DESCRIPTION":"IPHONE 15 PRO P + E","DEAL LOCATION":"","INTERNAL NOTE":"","NAME OF BUYER":"DEMIGLOBAL MULTISERIVICE","EXPENSE AMOUNT":"","NAME OF SELLER":"PLENTY GADGET","PRODUCT STATUS":"SOLD","STATUS OF DEVICE":"UNLOCKED","CALCULATED PROFIT":"","EXPENSE DESCRIPTION":"","PHONE NUMBER OF BUYER":"2349066720385","AVAILABILITY/DATE SOLD":"3/10/2026","PHONE NUMBER OF SELLER":"09022154207","RECEIPT &amp; EVIDIENCE LINK":"\\"}</t>
  </si>
  <si>
    <t>9d0efac5d13e429a9ff3325e08173167</t>
  </si>
  <si>
    <t>508f4fd664c470785585a75d6d80612743025aa0e336a0f8542830e206fd8190</t>
  </si>
  <si>
    <t>{"S/N":"337","IMEI":"357770206656735","TIME":"","COLOUR":"BLACK","DEVICE":"IPHONE","STORAGE":"128GB","Column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DATE":"","RECORD_ID":"9d0efac5d13e429a9ff3325e08173167","BATTERY. H":"86%","CONDITIONS":"","COST PRICE":"","DATE BOUGHT":"4/1/2026","DESCRIPTION":"IPHONE 15","DEAL LOCATION":"","INTERNAL NOTE":"","NAME OF BUYER":"MD GADGS","EXPENSE AMOUNT":"","NAME OF SELLER":"NURUDEEN","PRODUCT STATUS":"SOLD","STATUS OF DEVICE":"UNLOCKED","CALCULATED PROFIT":"","EXPENSE DESCRIPTION":"","PHONE NUMBER OF BUYER":"08166860603","AVAILABILITY/DATE SOLD":"4/4/2026","PHONE NUMBER OF SELLER":"09122727950","RECEIPT &amp; EVIDIENCE LINK":""}</t>
  </si>
  <si>
    <t>ecfee3a077134859bfe338e360555eda</t>
  </si>
  <si>
    <t>a60247126bf0868cc884b79711511bc4909e31a56e2e9745342ff7558d6628e7</t>
  </si>
  <si>
    <t>{"S/N":"338","IMEI":"356478843889559","TIME":"","COLOUR":"GRAPHITE","DEVICE":"IPHONE","STORAGE":"128GB","Column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DATE":"","RECORD_ID":"ecfee3a077134859bfe338e360555eda","BATTERY. H":"91%","CONDITIONS":"","COST PRICE":"\u20a6330,000.00","DATE BOUGHT":"4/2/2026","DESCRIPTION":"IPHONE 12 PRO","DEAL LOCATION":"","INTERNAL NOTE":"","NAME OF BUYER":"MARVY T.M","EXPENSE AMOUNT":"","NAME OF SELLER":"MASTERY MOBILE","PRODUCT STATUS":"PENDING DEAL","STATUS OF DEVICE":"UNLOCKED","CALCULATED PROFIT":"","EXPENSE DESCRIPTION":"","PHONE NUMBER OF BUYER":"2349037388643","AVAILABILITY/DATE SOLD":"PENDING DEAL","PHONE NUMBER OF SELLER":"08027964718","RECEIPT &amp; EVIDIENCE LINK":""}</t>
  </si>
  <si>
    <t>600d0f5b33a14fd491e5a39f2cb5bae5</t>
  </si>
  <si>
    <t>0528390c500458e4eeb1169633cb87585bd576909a79dfc5763d85edf5344e66</t>
  </si>
  <si>
    <t>{"S/N":"339","IMEI":"357344098486526","TIME":"6:14:45 PM","COLOUR":"WHITE","DEVICE":"IPHONE","STORAGE":"128GB","Column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DATE":"","RECORD_ID":"600d0f5b33a14fd491e5a39f2cb5bae5","BATTERY. H":"100%","CONDITIONS":"1:59:38 PM","COST PRICE":"","DATE BOUGHT":"4/3/2026","DESCRIPTION":"IPHONE XR ","DEAL LOCATION":"","INTERNAL NOTE":"","NAME OF BUYER":"PANKYGEE","EXPENSE AMOUNT":"","NAME OF SELLER":"GNF","PRODUCT STATUS":"SOLD","STATUS OF DEVICE":"UNLOCKED","CALCULATED PROFIT":"","EXPENSE DESCRIPTION":"","PHONE NUMBER OF BUYER":"07052247397","AVAILABILITY/DATE SOLD":"4/3/2026","PHONE NUMBER OF SELLER":"2348160373526","RECEIPT &amp; EVIDIENCE LINK":""}</t>
  </si>
  <si>
    <t>1d72aaff04db486fb191cb5844cd5318</t>
  </si>
  <si>
    <t>260548c5c6cad11763438365967789ba10412c8a5eca3e9eb4dd32e2c2179a34</t>
  </si>
  <si>
    <t>{"S/N":"340","IMEI":"356200546566213","TIME":"6:14:41 PM","COLOUR":"Silver ","DEVICE":"IPHONE","STORAGE":"256GB","Column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DATE":"","RECORD_ID":"1d72aaff04db486fb191cb5844cd5318","BATTERY. H":"86%","CONDITIONS":"2:31:34 PM","COST PRICE":"\u20a6500,000.00","DATE BOUGHT":"4/3/2026","DESCRIPTION":"iPhone 14 Pro Max","DEAL LOCATION":"","INTERNAL NOTE":"","NAME OF BUYER":"PROTECH GADGET","EXPENSE AMOUNT":"","NAME OF SELLER":"OZ GADGET","PRODUCT STATUS":"SOLD","STATUS OF DEVICE":"LOCKED","CALCULATED PROFIT":"","EXPENSE DESCRIPTION":"","PHONE NUMBER OF BUYER":"2348102522960","AVAILABILITY/DATE SOLD":"05/02/2026","PHONE NUMBER OF SELLER":"08106293924","RECEIPT &amp; EVIDIENCE LINK":""}</t>
  </si>
  <si>
    <t>9b4f406dd9e742b692184ccfd88ba00a</t>
  </si>
  <si>
    <t>d3a17078081c12742f3509e6e1d4aafafad44d7e8ea7db237985cccf2d8c323b</t>
  </si>
  <si>
    <t>{"S/N":"341","IMEI":"355067548715440","TIME":"6:14:35 PM","COLOUR":"Desert Titanium ","DEVICE":"IPHONE","STORAGE":"256GB","Column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DATE":"","RECORD_ID":"9b4f406dd9e742b692184ccfd88ba00a","BATTERY. H":"97%","CONDITIONS":"","COST PRICE":"\u20a61,000,000.00","DATE BOUGHT":"4/3/2026","DESCRIPTION":"iPhone 16 Pro Max ","DEAL LOCATION":"","INTERNAL NOTE":"","NAME OF BUYER":"FILMS JESSE","EXPENSE AMOUNT":"","NAME OF SELLER":"OZ GADGET","PRODUCT STATUS":"SOLD","STATUS OF DEVICE":"UNLOCKED","CALCULATED PROFIT":"","EXPENSE DESCRIPTION":"","PHONE NUMBER OF BUYER":"2348145094483","AVAILABILITY/DATE SOLD":"04/20/2026","PHONE NUMBER OF SELLER":"08106293925","RECEIPT &amp; EVIDIENCE LINK":""}</t>
  </si>
  <si>
    <t>9dd11511056e47b89ac5b6bbc45d00e8</t>
  </si>
  <si>
    <t>f15a12d644e46c71e782e0a5e650f7852d06f45ab2252c14423576949b8aa0c8</t>
  </si>
  <si>
    <t>zinto</t>
  </si>
  <si>
    <t>{"S/N":"342","IMEI":"355413814718025","TIME":"11:20:15 AM","COLOUR":"CLOUD WHITE","DEVICE":"IPHONE","STORAGE":"256GB","Column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DATE":"","RECORD_ID":"9dd11511056e47b89ac5b6bbc45d00e8","BATTERY. H":"100%","CONDITIONS":"","COST PRICE":"","DATE BOUGHT":"4/4/2026","DESCRIPTION":"IPHONE AIR","DEAL LOCATION":"","INTERNAL NOTE":"","NAME OF BUYER":"zinto","EXPENSE AMOUNT":"","NAME OF SELLER":"DAMBOX","PRODUCT STATUS":"SOLD","STATUS OF DEVICE":"LOCKED","CALCULATED PROFIT":"","EXPENSE DESCRIPTION":"","PHONE NUMBER OF BUYER":"234 901 763 5284","AVAILABILITY/DATE SOLD":"04/10/2026","PHONE NUMBER OF SELLER":"09134339898","RECEIPT &amp; EVIDIENCE LINK":""}</t>
  </si>
  <si>
    <t>efb9315c98c8412da7ded1c1e6b86ae2</t>
  </si>
  <si>
    <t>c01d3fbf272058fb1e0c4a8dbf37c57802ceae704a1605a8956f925ad830b23c</t>
  </si>
  <si>
    <t>TEE BEST</t>
  </si>
  <si>
    <t>{"S/N":"343","IMEI":"354661672109387","TIME":"11:25:36 AM","COLOUR":"DESERT TITANIUM","DEVICE":"IPHONE","STORAGE":"256GB","Column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DATE":"","RECORD_ID":"efb9315c98c8412da7ded1c1e6b86ae2","BATTERY. H":"92%","CONDITIONS":"","COST PRICE":"\u20a6660,000.00","DATE BOUGHT":"4/4/2026","DESCRIPTION":"IPHONE 16 PRO MAX","DEAL LOCATION":"","INTERNAL NOTE":"","NAME OF BUYER":"TEE BEST","EXPENSE AMOUNT":"","NAME OF SELLER":"RICHIE APPLE ID","PRODUCT STATUS":"SOLD","STATUS OF DEVICE":"LOCKED","CALCULATED PROFIT":"","EXPENSE DESCRIPTION":"","PHONE NUMBER OF BUYER":"0803 762 4066","AVAILABILITY/DATE SOLD":"4/5/2026","PHONE NUMBER OF SELLER":"2349060362110","RECEIPT &amp; EVIDIENCE LINK":""}</t>
  </si>
  <si>
    <t>3d38f56497ed4e7d949af0fb79abe7a0</t>
  </si>
  <si>
    <t>d81db1d518f47fb1a6109f3be364d1cf42deb707dbd6ee083001864ff59be19e</t>
  </si>
  <si>
    <t>{"S/N":"344","IMEI":"358915823120982","TIME":"","COLOUR":"ULTRA MARINE","DEVICE":"IPHONE","STORAGE":"128GB","Column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DATE":"","RECORD_ID":"3d38f56497ed4e7d949af0fb79abe7a0","BATTERY. H":"97%","CONDITIONS":"","COST PRICE":"","DATE BOUGHT":"3/30/2026","DESCRIPTION":"IPHONE 16 PLUS","DEAL LOCATION":"","INTERNAL NOTE":"","NAME OF BUYER":"DAMBOX","EXPENSE AMOUNT":"","NAME OF SELLER":"PAPPYTECH","PRODUCT STATUS":"SOLD","STATUS OF DEVICE":"UNLOCKED","CALCULATED PROFIT":"","EXPENSE DESCRIPTION":"","PHONE NUMBER OF BUYER":"09040943517","AVAILABILITY/DATE SOLD":"4/8/2026","PHONE NUMBER OF SELLER":"2349064677372","RECEIPT &amp; EVIDIENCE LINK":""}</t>
  </si>
  <si>
    <t>e20c2b10b085467798946a478b8eb826</t>
  </si>
  <si>
    <t>93a8aa9e60bf2ab4a9d093a93d0924dbf73bb9fc033036eef5cb37bff37a393e</t>
  </si>
  <si>
    <t>{"S/N":"345","IMEI":"353748537419738","TIME":"4:52:47 PM","COLOUR":"DEEP BLUE TITANIUM","DEVICE":"IPHONE","STORAGE":"256GB","Column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DATE":"","RECORD_ID":"e20c2b10b085467798946a478b8eb826","BATTERY. H":"100%","CONDITIONS":"","COST PRICE":"","DATE BOUGHT":"4/4/2026","DESCRIPTION":"IPHONE 17 PRO","DEAL LOCATION":"","INTERNAL NOTE":"","NAME OF BUYER":"BIGMO","EXPENSE AMOUNT":"","NAME OF SELLER":"Tunaro LOCATION SOFTWARE","PRODUCT STATUS":"sold","STATUS OF DEVICE":"LOCKED","CALCULATED PROFIT":"","EXPENSE DESCRIPTION":"","PHONE NUMBER OF BUYER":"0701 715 8374","AVAILABILITY/DATE SOLD":"4/8/2026","PHONE NUMBER OF SELLER":"2349038269473","RECEIPT &amp; EVIDIENCE LINK":""}</t>
  </si>
  <si>
    <t>4261d67e201548e490e02d189fdc160e</t>
  </si>
  <si>
    <t>f994dd774419da7e77ff4e63f2f5c63e310c5a79f83182fc72535c7155b51743</t>
  </si>
  <si>
    <t>{"S/N":"346","IMEI":"353817900069121","TIME":"","COLOUR":"BLACK","DEVICE":"IPHONE","STORAGE":"128GB","Column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DATE":"","RECORD_ID":"4261d67e201548e490e02d189fdc160e","BATTERY. H":"100%","CONDITIONS":"","COST PRICE":"","DATE BOUGHT":"4/7/2026","DESCRIPTION":"iPHONE 15","DEAL LOCATION":"","INTERNAL NOTE":"","NAME OF BUYER":"TETE GADGET","EXPENSE AMOUNT":"","NAME OF SELLER":"DENIS4WARD TECHNOLOGY","PRODUCT STATUS":"SOLD","STATUS OF DEVICE":"LOCKED","CALCULATED PROFIT":"","EXPENSE DESCRIPTION":"","PHONE NUMBER OF BUYER":"07066798196","AVAILABILITY/DATE SOLD":"4/7/2026","PHONE NUMBER OF SELLER":"08038551439","RECEIPT &amp; EVIDIENCE LINK":""}</t>
  </si>
  <si>
    <t>de48f935772c4dea8759e2a4b84352dd</t>
  </si>
  <si>
    <t>a1e67b429af1bbf9abdbc4fbc37b391e961a80424ea5824830cb0477794910ce</t>
  </si>
  <si>
    <t>DANIEL ELUYOYE</t>
  </si>
  <si>
    <t>{"S/N":"347","IMEI":"358637620606720","TIME":"6:52:52 PM","COLOUR":"NATURAL TITANIUM","DEVICE":"IPHONE","STORAGE":"256GB","Column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DATE":"","RECORD_ID":"de48f935772c4dea8759e2a4b84352dd","BATTERY. H":"90%","CONDITIONS":"","COST PRICE":"","DATE BOUGHT":"4/7/2026","DESCRIPTION":"IPHONE 16 PRO MAX","DEAL LOCATION":"","INTERNAL NOTE":"","NAME OF BUYER":"DANIEL ELUYOYE","EXPENSE AMOUNT":"","NAME OF SELLER":"DAMBOX","PRODUCT STATUS":"SOLD","STATUS OF DEVICE":"LOCKED","CALCULATED PROFIT":"","EXPENSE DESCRIPTION":"","PHONE NUMBER OF BUYER":"09017635284","AVAILABILITY/DATE SOLD":"4/7/2026","PHONE NUMBER OF SELLER":"09040943517","RECEIPT &amp; EVIDIENCE LINK":""}</t>
  </si>
  <si>
    <t>8eac750f188b4ee79c74127a1891b2ba</t>
  </si>
  <si>
    <t>9d8d86885fc462a700a920d8a9bb7ee006e26c1eb421bbe33168d074f8dbc176</t>
  </si>
  <si>
    <t>{"S/N":"348","IMEI":"359608203806168","TIME":"6:52:40 PM","COLOUR":"Blue 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DATE":"","RECORD_ID":"8eac750f188b4ee79c74127a1891b2ba","BATTERY. H":"84%","CONDITIONS":"","COST PRICE":"\u20a6150,000.00","DATE BOUGHT":"4/7/2026","DESCRIPTION":"iPhone 14 ","DEAL LOCATION":"","INTERNAL NOTE":"","NAME OF BUYER":"MULLAR GADGET","EXPENSE AMOUNT":"","NAME OF SELLER":"DANIEL ELUYOYE","PRODUCT STATUS":"SOLD","STATUS OF DEVICE":"LOCKED","CALCULATED PROFIT":"","EXPENSE DESCRIPTION":"","PHONE NUMBER OF BUYER":"2348165523297","AVAILABILITY/DATE SOLD":"04/14/2026","PHONE NUMBER OF SELLER":"09017635284","RECEIPT &amp; EVIDIENCE LINK":""}</t>
  </si>
  <si>
    <t>06a40161d1c9445bb998045b99ba5a2c</t>
  </si>
  <si>
    <t>817726c757aaafa85f9e2c388df3900737b956bba3217c5bbd182bffa8d686e7</t>
  </si>
  <si>
    <t>{"S/N":"349","IMEI":"350296272694100","TIME":"1:17","COLOUR":"SILVER","DEVICE":"IPHONE","STORAGE":"256GB","Column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DATE":"","RECORD_ID":"06a40161d1c9445bb998045b99ba5a2c","BATTERY. H":"100%","CONDITIONS":"","COST PRICE":"\u20a61,770,000.00","DATE BOUGHT":"04/10/2026","DESCRIPTION":"SEALED IPHONE 17 PRO P + E","DEAL LOCATION":"","INTERNAL NOTE":"","NAME OF BUYER":"CH4","EXPENSE AMOUNT":"","NAME OF SELLER":"OZ GADGETS","PRODUCT STATUS":"SOLD","STATUS OF DEVICE":"UNLOCKED","CALCULATED PROFIT":"","EXPENSE DESCRIPTION":"","PHONE NUMBER OF BUYER":"2348131941406","AVAILABILITY/DATE SOLD":"05/06/2026","PHONE NUMBER OF SELLER":"2348106293924","RECEIPT &amp; EVIDIENCE LINK":""}</t>
  </si>
  <si>
    <t>5c73e3350adc4d7b93e679930a46cad8</t>
  </si>
  <si>
    <t>cb17fab226c1a72663524379b19e9bb2fa74dcb73c0c41089d55f7986727851a</t>
  </si>
  <si>
    <t>{"S/N":"350","IMEI":"358838944190470","TIME":"16:37","COLOUR":"SKY BLUE","DEVICE":"IPHONE","STORAGE":"256GB","Column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DATE":"","RECORD_ID":"5c73e3350adc4d7b93e679930a46cad8","BATTERY. H":"100%","CONDITIONS":"SNAPBAN","COST PRICE":"\u20a61,000,000.00","DATE BOUGHT":"04/10/2026","DESCRIPTION":"IPHONE AIR","DEAL LOCATION":"","INTERNAL NOTE":"","NAME OF BUYER":"FIRSTCLASS FURNITURE","EXPENSE AMOUNT":"","NAME OF SELLER":"SAMMY CONCEPT","PRODUCT STATUS":"SOLD","STATUS OF DEVICE":"UNLOCKED","CALCULATED PROFIT":"","EXPENSE DESCRIPTION":"","PHONE NUMBER OF BUYER":"2347031845198","AVAILABILITY/DATE SOLD":"04/21/2026","PHONE NUMBER OF SELLER":"2349037002617","RECEIPT &amp; EVIDIENCE LINK":""}</t>
  </si>
  <si>
    <t>fba88674e7a142df8ff314ff3edb8c0c</t>
  </si>
  <si>
    <t>504386b71fb81d636f5159aab4173700ebb715fe15dfa6c2e415e8b5742cb48f</t>
  </si>
  <si>
    <t>{"S/N":"351","IMEI":"358838941045446","TIME":"18:10","COLOUR":"SKY BLUE","DEVICE":"IPHONE","STORAGE":"256GB","Column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DATE":"","RECORD_ID":"fba88674e7a142df8ff314ff3edb8c0c","BATTERY. H":"95%","CONDITIONS":"CRACKED BACK","COST PRICE":"\u20a6870,000.00","DATE BOUGHT":"04/10/2026","DESCRIPTION":"IPHONE AIR","DEAL LOCATION":"","INTERNAL NOTE":"","NAME OF BUYER":"PROTECH GADGET","EXPENSE AMOUNT":"","NAME OF SELLER":"DEMIGLOBAL MULTISERVICE","PRODUCT STATUS":"SOLD","STATUS OF DEVICE":"UNLOCKED","CALCULATED PROFIT":"","EXPENSE DESCRIPTION":"","PHONE NUMBER OF BUYER":"2348102522960","AVAILABILITY/DATE SOLD":"04/10/2026","PHONE NUMBER OF SELLER":"2349066720385","RECEIPT &amp; EVIDIENCE LINK":""}</t>
  </si>
  <si>
    <t>8239df5f510640238aeae6a0665df19a</t>
  </si>
  <si>
    <t>78e75ff586e12c787cd97421fce5a23f548009f418b787470c2cf3e6b27e09cf</t>
  </si>
  <si>
    <t>{"S/N":"352","IMEI":"356473104213474","TIME":"12:40","COLOUR":"BLACK","DEVICE":"IPHONE","STORAGE":"64GB","Column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DATE":"","RECORD_ID":"8239df5f510640238aeae6a0665df19a","BATTERY. H":"-","CONDITIONS":"NO TOUCH ID","COST PRICE":"\u20a6125,000.00","DATE BOUGHT":"04/11/2026","DESCRIPTION":"IPHONE SE 2","DEAL LOCATION":"","INTERNAL NOTE":"","NAME OF BUYER":"MZEE","EXPENSE AMOUNT":"","NAME OF SELLER":"DENIS4WARD TECHNOLOGY","PRODUCT STATUS":"SOLD","STATUS OF DEVICE":"UNLOCKED","CALCULATED PROFIT":"","EXPENSE DESCRIPTION":"","PHONE NUMBER OF BUYER":"2349038935833","AVAILABILITY/DATE SOLD":"04/11/2026","PHONE NUMBER OF SELLER":"2348038551439","RECEIPT &amp; EVIDIENCE LINK":""}</t>
  </si>
  <si>
    <t>d3927104c3894c2a8431fb7d9e414196</t>
  </si>
  <si>
    <t>d09a4bbdd533c2fda21697ca5cf6c33bba4cb3b4ca843fa38ea99278a190f8f6</t>
  </si>
  <si>
    <t>{"S/N":"353","IMEI":"358178370957021","TIME":"13:27","COLOUR":"BLACK","DEVICE":"IPHONE","STORAGE":"128GB","Column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DATE":"","RECORD_ID":"d3927104c3894c2a8431fb7d9e414196","BATTERY. H":"90%","CONDITIONS":"ESIM UNLOCKED","COST PRICE":"\u20a6575,000.00","DATE BOUGHT":"04/11/2026","DESCRIPTION":"IPHONE 15","DEAL LOCATION":"","INTERNAL NOTE":"","NAME OF BUYER":"GLORY BOMA","EXPENSE AMOUNT":"","NAME OF SELLER":"HAYKINZ","PRODUCT STATUS":"SOLD","STATUS OF DEVICE":"UNLOCKED","CALCULATED PROFIT":"","EXPENSE DESCRIPTION":"","PHONE NUMBER OF BUYER":"2348163305240","AVAILABILITY/DATE SOLD":"04/11/2026","PHONE NUMBER OF SELLER":"2347030279101","RECEIPT &amp; EVIDIENCE LINK":""}</t>
  </si>
  <si>
    <t>e13b13c5e089416bae2686283a03dda7</t>
  </si>
  <si>
    <t>446001b822b9d2f65b80e231cecf2c6157c93d468aca45436a6be9936be24775</t>
  </si>
  <si>
    <t>{"S/N":"354","IMEI":"353352958920199","TIME":"14:19","COLOUR":"PINK","DEVICE":"IPHONE","STORAGE":"128GB","Column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DATE":"","RECORD_ID":"e13b13c5e089416bae2686283a03dda7","BATTERY. H":"91%","CONDITIONS":"SWAPPED TO GET IPHONE 15","COST PRICE":"\u20a6400,000.00","DATE BOUGHT":"04/11/2026","DESCRIPTION":"IPHONE 15 PLUS","DEAL LOCATION":"","INTERNAL NOTE":"","NAME OF BUYER":"BAHMS","EXPENSE AMOUNT":"","NAME OF SELLER":"GLORY BOMA","PRODUCT STATUS":"SOLD","STATUS OF DEVICE":"LOCKED","CALCULATED PROFIT":"","EXPENSE DESCRIPTION":"","PHONE NUMBER OF BUYER":"2349069477050","AVAILABILITY/DATE SOLD":"04/15/2026","PHONE NUMBER OF SELLER":"2348163305240","RECEIPT &amp; EVIDIENCE LINK":""}</t>
  </si>
  <si>
    <t>10d10b4ab3794feaa9816bf6d5efa478</t>
  </si>
  <si>
    <t>41752273ba40a979962677783978d58d95593491a307a6220676ea0e409e6e7e</t>
  </si>
  <si>
    <t>{"S/N":"355","IMEI":"358355843220282","TIME":"16:32","COLOUR":"BLACK","DEVICE":"IPHONE","STORAGE":"128GB","Column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DATE":"","RECORD_ID":"10d10b4ab3794feaa9816bf6d5efa478","BATTERY. H":"86%","CONDITIONS":"USED AS REPLACEMENT FOR HIS IPHONE 14 PRO","COST PRICE":"\u20a6570,000.00","DATE BOUGHT":"04/11/2026","DESCRIPTION":"IPHONE 15","DEAL LOCATION":"","INTERNAL NOTE":"","NAME OF BUYER":"DEMIGLOBAL MULTISERVICE","EXPENSE AMOUNT":"","NAME OF SELLER":"HAYKINS","PRODUCT STATUS":"SOLD","STATUS OF DEVICE":"UNLOCKED","CALCULATED PROFIT":"","EXPENSE DESCRIPTION":"","PHONE NUMBER OF BUYER":"2349066720385","AVAILABILITY/DATE SOLD":"04/11/2026","PHONE NUMBER OF SELLER":"2347030279101","RECEIPT &amp; EVIDIENCE LINK":""}</t>
  </si>
  <si>
    <t>8e4d33a1af0447e696d3ca8417485a9f</t>
  </si>
  <si>
    <t>3826ba98c497991785e706b01cc828ff353d685cc34f786364a068d48dba919a</t>
  </si>
  <si>
    <t>{"S/N":"356","IMEI":"MG230529524","TIME":"17:11","COLOUR":"BLACK","DEVICE":"CONSOLE","STORAGE":"500HD","Column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DATE":"","RECORD_ID":"8e4d33a1af0447e696d3ca8417485a9f","BATTERY. H":"-","CONDITIONS":"FIXED HDD","COST PRICE":"\u20a6210,000.00","DATE BOUGHT":"04/11/2026","DESCRIPTION":"PS4 SLIM AND 2 PADS","DEAL LOCATION":"","INTERNAL NOTE":"","NAME OF BUYER":"ZINTO","EXPENSE AMOUNT":"","NAME OF SELLER":"POPI","PRODUCT STATUS":"SOLD","STATUS OF DEVICE":"UNLOCKED","CALCULATED PROFIT":"","EXPENSE DESCRIPTION":"","PHONE NUMBER OF BUYER":"2349068103734","AVAILABILITY/DATE SOLD":"04/11/2026","PHONE NUMBER OF SELLER":"","RECEIPT &amp; EVIDIENCE LINK":""}</t>
  </si>
  <si>
    <t>1e8329d56ed84879978f51a77e2e8da3</t>
  </si>
  <si>
    <t>14bae1d9333b9261aad0dcf85640ecf821fcebafac8d5d9c9b84b078f1b968f4</t>
  </si>
  <si>
    <t>{"S/N":"357","IMEI":"357136795531251","TIME":"17:15","COLOUR":"BLACK","DEVICE":"IPHONE","STORAGE":"128GB","Column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DATE":"","RECORD_ID":"1e8329d56ed84879978f51a77e2e8da3","BATTERY. H":"89%","CONDITIONS":"","COST PRICE":"\u20a6500,000.00","DATE BOUGHT":"04/11/2026","DESCRIPTION":"IPHONE 15 PLUS","DEAL LOCATION":"","INTERNAL NOTE":"","NAME OF BUYER":"MD GADGS","EXPENSE AMOUNT":"","NAME OF SELLER":"MD GADGETS","PRODUCT STATUS":"PENDING DEAL","STATUS OF DEVICE":"UNLOCKED","CALCULATED PROFIT":"","EXPENSE DESCRIPTION":"","PHONE NUMBER OF BUYER":"2348166860603","AVAILABILITY/DATE SOLD":"PENDING DEAL","PHONE NUMBER OF SELLER":"2349068103734","RECEIPT &amp; EVIDIENCE LINK":""}</t>
  </si>
  <si>
    <t>61dae124014f4fd39fce6cd8dfd749d8</t>
  </si>
  <si>
    <t>0ec4ef802f38c062fc4efeeedbb276d190702b229b90fb2df834061b9239f566</t>
  </si>
  <si>
    <t>{"S/N":"358","IMEI":"356549102962491","TIME":"14:20","COLOUR":"Black","DEVICE":"IPHONE","STORAGE":"64GB","Column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DATE":"","RECORD_ID":"61dae124014f4fd39fce6cd8dfd749d8","BATTERY. H":"99","CONDITIONS":"GENUINE CHANGED BATTERY AND SCREEN","COST PRICE":"\u20a6230,000.00","DATE BOUGHT":"04/13/2026","DESCRIPTION":"iPhone 11","DEAL LOCATION":"","INTERNAL NOTE":"","NAME OF BUYER":"IMISIOLUWA","EXPENSE AMOUNT":"","NAME OF SELLER":"HOLLAH GADGETS","PRODUCT STATUS":"SOLD","STATUS OF DEVICE":"UNLOCKED","CALCULATED PROFIT":"","EXPENSE DESCRIPTION":"","PHONE NUMBER OF BUYER":"2347014473284","AVAILABILITY/DATE SOLD":"04/13/2026","PHONE NUMBER OF SELLER":"2347041440724","RECEIPT &amp; EVIDIENCE LINK":""}</t>
  </si>
  <si>
    <t>83f6079d084c4677bf3cd99c09fa808a</t>
  </si>
  <si>
    <t>3a610d6ad9bdc783099726d3430232f8045a3234266f84c576cd3b337c9acfaa</t>
  </si>
  <si>
    <t>{"S/N":"359","IMEI":"354741550229463","TIME":"14:25","COLOUR":"Black","DEVICE":"iPhone","STORAGE":"128GB","Column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DATE":"","RECORD_ID":"83f6079d084c4677bf3cd99c09fa808a","BATTERY. H":"94","CONDITIONS":"","COST PRICE":"\u20a6300,000.00","DATE BOUGHT":"04/13/2026","DESCRIPTION":"iPhone 16e","DEAL LOCATION":"","INTERNAL NOTE":"","NAME OF BUYER":"ZEE TECH","EXPENSE AMOUNT":"","NAME OF SELLER":"Laid By J From JOY","PRODUCT STATUS":"PENDING DEAL","STATUS OF DEVICE":"LOCKED","CALCULATED PROFIT":"","EXPENSE DESCRIPTION":"","PHONE NUMBER OF BUYER":"2349033724061","AVAILABILITY/DATE SOLD":"PENDING DEAL","PHONE NUMBER OF SELLER":"2348105838181","RECEIPT &amp; EVIDIENCE LINK":""}</t>
  </si>
  <si>
    <t>f28bc353ad49429195d278c4f1e80fa9</t>
  </si>
  <si>
    <t>0422a60a445f298d87424e8034fe2ac217c3c28e7c882694f3b3711e5a155f19</t>
  </si>
  <si>
    <t>{"S/N":"360","IMEI":"359012141800617","TIME":"14:56","COLOUR":"Black","DEVICE":"IPHONE","STORAGE":"128GB","Column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DATE":"","RECORD_ID":"f28bc353ad49429195d278c4f1e80fa9","BATTERY. H":"100","CONDITIONS":"","COST PRICE":"\u20a6780,000.00","DATE BOUGHT":"04/13/2026","DESCRIPTION":"iPhone 16 Plus","DEAL LOCATION":"","INTERNAL NOTE":"","NAME OF BUYER":"MC GADGETS","EXPENSE AMOUNT":"","NAME OF SELLER":"TOBILOBA HENRY (Location)","PRODUCT STATUS":"SOLD","STATUS OF DEVICE":"UNLOCKED","CALCULATED PROFIT":"","EXPENSE DESCRIPTION":"","PHONE NUMBER OF BUYER":"2348129564538","AVAILABILITY/DATE SOLD":"04/20/2026","PHONE NUMBER OF SELLER":"2348164982726","RECEIPT &amp; EVIDIENCE LINK":""}</t>
  </si>
  <si>
    <t>1803d553144149efbfdfbc637f0039e8</t>
  </si>
  <si>
    <t>b4c1b0b639c65231492d7dbbf6d9c1a3847132374f184793bd47ab7578df5a11</t>
  </si>
  <si>
    <t>{"S/N":"361","IMEI":"356545108980057","TIME":"09:59","COLOUR":"Red","DEVICE":"IPHONE","STORAGE":"64GB","Column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DATE":"","RECORD_ID":"1803d553144149efbfdfbc637f0039e8","BATTERY. H":"71","CONDITIONS":"SERVICE BATTERY","COST PRICE":"\u20a6160,000.00","DATE BOUGHT":"04/14/2026","DESCRIPTION":"iPhone 11","DEAL LOCATION":"","INTERNAL NOTE":"","NAME OF BUYER":"CSGV","EXPENSE AMOUNT":"","NAME OF SELLER":"OZ GADGETS","PRODUCT STATUS":"SOLD","STATUS OF DEVICE":"UNLOCKED","CALCULATED PROFIT":"","EXPENSE DESCRIPTION":"","PHONE NUMBER OF BUYER":"2348106125167","AVAILABILITY/DATE SOLD":"04/17/2026","PHONE NUMBER OF SELLER":"2348106293924","RECEIPT &amp; EVIDIENCE LINK":""}</t>
  </si>
  <si>
    <t>670f3a00ab934ff09d9f11abd07db993</t>
  </si>
  <si>
    <t>e791b1a415c53a9f2290f17b3aa3231f11f8ec683f241f13fd7f17cc003f1f4f</t>
  </si>
  <si>
    <t>{"S/N":"362","IMEI":"352306390093560","TIME":"09:57","COLOUR":"BLACK","DEVICE":"IPHONE","STORAGE":"128","Column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DATE":"","RECORD_ID":"670f3a00ab934ff09d9f11abd07db993","BATTERY. H":"100","CONDITIONS":"","COST PRICE":"","DATE BOUGHT":"04/14/2026","DESCRIPTION":"IPHONE 16 O.B LOCKED ESIM","DEAL LOCATION":"","INTERNAL NOTE":"","NAME OF BUYER":"","EXPENSE AMOUNT":"","NAME OF SELLER":"RICHIE APPLE ID","PRODUCT STATUS":"SOLD","STATUS OF DEVICE":"UNLOCKED","CALCULATED PROFIT":"","EXPENSE DESCRIPTION":"","PHONE NUMBER OF BUYER":"","AVAILABILITY/DATE SOLD":"4/15/2026","PHONE NUMBER OF SELLER":"2349060362110","RECEIPT &amp; EVIDIENCE LINK":""}</t>
  </si>
  <si>
    <t>9d290b2472e7424a80d35dcf6f165ae7</t>
  </si>
  <si>
    <t>91531d021586aaeff1299b238f3fbddc9e9a9077a713a7dd693217ce3b65c375</t>
  </si>
  <si>
    <t>3536659042422875</t>
  </si>
  <si>
    <t>{"S/N":"363","IMEI":"3536659042422875","TIME":"10:21","COLOUR":"WHITE","DEVICE":"IPHONE","STORAGE":"128","Column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DATE":"","RECORD_ID":"9d290b2472e7424a80d35dcf6f165ae7","BATTERY. H":"89","CONDITIONS":"","COST PRICE":"","DATE BOUGHT":"04/14/2026","DESCRIPTION":"IPHONE 14 PRO MAX P+E","DEAL LOCATION":"","INTERNAL NOTE":"","NAME OF BUYER":"","EXPENSE AMOUNT":"","NAME OF SELLER":"THANKGOD CONCEPT","PRODUCT STATUS":"SOLD","STATUS OF DEVICE":"UNLOCKED","CALCULATED PROFIT":"","EXPENSE DESCRIPTION":"","PHONE NUMBER OF BUYER":"","AVAILABILITY/DATE SOLD":"4/16/2026","PHONE NUMBER OF SELLER":"2349060695934","RECEIPT &amp; EVIDIENCE LINK":""}</t>
  </si>
  <si>
    <t>2e1fb5ac54df4ecf83f19652e01bf1ae</t>
  </si>
  <si>
    <t>462be041b77bec913e3528215b6619f142f58d81a84f97fdff2e392874030f95</t>
  </si>
  <si>
    <t>{"S/N":"364","IMEI":"353065095311516","TIME":"10:25","COLOUR":"SILVER","DEVICE":"IPHONE","STORAGE":"32","Column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DATE":"","RECORD_ID":"2e1fb5ac54df4ecf83f19652e01bf1ae","BATTERY. H":"100","CONDITIONS":"","COST PRICE":"","DATE BOUGHT":"04/14/2026","DESCRIPTION":"IPHONE SE","DEAL LOCATION":"","INTERNAL NOTE":"","NAME OF BUYER":"","EXPENSE AMOUNT":"","NAME OF SELLER":"AYINUOLA DADA","PRODUCT STATUS":"SOLD","STATUS OF DEVICE":"UNLOCKED","CALCULATED PROFIT":"","EXPENSE DESCRIPTION":"","PHONE NUMBER OF BUYER":"","AVAILABILITY/DATE SOLD":"4/17/2026","PHONE NUMBER OF SELLER":"2349032350638","RECEIPT &amp; EVIDIENCE LINK":""}</t>
  </si>
  <si>
    <t>4e1166f3f8a84414b7aa10ea7a4f7221</t>
  </si>
  <si>
    <t>0fe73ba04cb7e62787675fff867468cc7aa23079a7b95e3a70accd5327ec7847</t>
  </si>
  <si>
    <t>{"S/N":"365","IMEI":"355906551464042","TIME":"10:27","COLOUR":"GOLD","DEVICE":"IPHONE","STORAGE":"256","Column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DATE":"","RECORD_ID":"4e1166f3f8a84414b7aa10ea7a4f7221","BATTERY. H":"87","CONDITIONS":"","COST PRICE":"","DATE BOUGHT":"04/14/2026","DESCRIPTION":"IPHONE 12 PRO","DEAL LOCATION":"","INTERNAL NOTE":"","NAME OF BUYER":"","EXPENSE AMOUNT":"","NAME OF SELLER":"OZ GADGET","PRODUCT STATUS":"SOLD","STATUS OF DEVICE":"UNLOCKED","CALCULATED PROFIT":"","EXPENSE DESCRIPTION":"","PHONE NUMBER OF BUYER":"","AVAILABILITY/DATE SOLD":"4/18/2026","PHONE NUMBER OF SELLER":"2348106293924","RECEIPT &amp; EVIDIENCE LINK":""}</t>
  </si>
  <si>
    <t>8f813a0767f949908fa33fc7da60ee83</t>
  </si>
  <si>
    <t>0b4fc384d904660c4e102191d3dfbba419d10cd3eb1aa1014cf13c8c9dd2ad11</t>
  </si>
  <si>
    <t>{"S/N":"366","IMEI":"359049970973305","TIME":"10:29","COLOUR":"BLACK","DEVICE":"IPHONE","STORAGE":"128","Column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DATE":"","RECORD_ID":"8f813a0767f949908fa33fc7da60ee83","BATTERY. H":"100","CONDITIONS":"","COST PRICE":"","DATE BOUGHT":"12/23/2025","DESCRIPTION":"IPHONE 16 PLUS ESIM","DEAL LOCATION":"","INTERNAL NOTE":"","NAME OF BUYER":"","EXPENSE AMOUNT":"","NAME OF SELLER":"","PRODUCT STATUS":"SOLD","STATUS OF DEVICE":"LOCKED","CALCULATED PROFIT":"","EXPENSE DESCRIPTION":"","PHONE NUMBER OF BUYER":"","AVAILABILITY/DATE SOLD":"4/19/2026","PHONE NUMBER OF SELLER":"","RECEIPT &amp; EVIDIENCE LINK":""}</t>
  </si>
  <si>
    <t>f7744591be7640e9b0fda61877aec612</t>
  </si>
  <si>
    <t>5279ab28a7258526d40408f7c5afb756e49fe196197fcd0be39a38e8f0e224c4</t>
  </si>
  <si>
    <t>8CG842CV0R</t>
  </si>
  <si>
    <t>{"S/N":"367","IMEI":"8CG842CV0R","TIME":"10:34","COLOUR":"SILVER","DEVICE":"LAPTOP","STORAGE":"8GB/1TB","Column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DATE":"","RECORD_ID":"f7744591be7640e9b0fda61877aec612","BATTERY. H":"","CONDITIONS":"","COST PRICE":"","DATE BOUGHT":"12/23/2025","DESCRIPTION":"HP PAVILION X360 CONVERTIBLE","DEAL LOCATION":"","INTERNAL NOTE":"","NAME OF BUYER":"","EXPENSE AMOUNT":"","NAME OF SELLER":"DAZZLING LAUNDRY","PRODUCT STATUS":"SOLD","STATUS OF DEVICE":"UNLOCKED","CALCULATED PROFIT":"","EXPENSE DESCRIPTION":"","PHONE NUMBER OF BUYER":"","AVAILABILITY/DATE SOLD":"4/20/2026","PHONE NUMBER OF SELLER":"2347043505336","RECEIPT &amp; EVIDIENCE LINK":""}</t>
  </si>
  <si>
    <t>34a322d2506f432cb3668402e5de2a7c</t>
  </si>
  <si>
    <t>2b8961146ff13d3bb7cb78b9102b736b6174b28da65de0382ce15edda34d5402</t>
  </si>
  <si>
    <t>{"S/N":"368","IMEI":"354387359325787","TIME":"10:37","COLOUR":"BLACK","DEVICE":"IPHONE","STORAGE":"128","Column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DATE":"","RECORD_ID":"34a322d2506f432cb3668402e5de2a7c","BATTERY. H":"","CONDITIONS":"","COST PRICE":"","DATE BOUGHT":"12/25/2025","DESCRIPTION":"IPHONE 15 PLUS ESIM","DEAL LOCATION":"","INTERNAL NOTE":"","NAME OF BUYER":"","EXPENSE AMOUNT":"","NAME OF SELLER":"DEMI GLOBAL","PRODUCT STATUS":"SOLD","STATUS OF DEVICE":"UNLOCKED","CALCULATED PROFIT":"","EXPENSE DESCRIPTION":"","PHONE NUMBER OF BUYER":"","AVAILABILITY/DATE SOLD":"4/21/2026","PHONE NUMBER OF SELLER":"2349066720385","RECEIPT &amp; EVIDIENCE LINK":""}</t>
  </si>
  <si>
    <t>6e76a1c3e19e4429896107b268642e40</t>
  </si>
  <si>
    <t>1bc9cdd9c76f975e1744678da04d70807dda295244a522ed164db0bed3ef5080</t>
  </si>
  <si>
    <t>G99Y32VKKDH0</t>
  </si>
  <si>
    <t>{"S/N":"369","IMEI":"G99Y32VKKDH0","TIME":"10:39","COLOUR":"BLACK","DEVICE":"IWATCH","STORAGE":"","Column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DATE":"","RECORD_ID":"6e76a1c3e19e4429896107b268642e40","BATTERY. H":"","CONDITIONS":"","COST PRICE":"","DATE BOUGHT":"12/25/2025","DESCRIPTION":"IWATCH SERIES 4","DEAL LOCATION":"","INTERNAL NOTE":"","NAME OF BUYER":"","EXPENSE AMOUNT":"","NAME OF SELLER":"DEMI GLOBAL","PRODUCT STATUS":"SOLD","STATUS OF DEVICE":"UNLOCKED","CALCULATED PROFIT":"","EXPENSE DESCRIPTION":"","PHONE NUMBER OF BUYER":"","AVAILABILITY/DATE SOLD":"4/22/2026","PHONE NUMBER OF SELLER":"2349066720385","RECEIPT &amp; EVIDIENCE LINK":""}</t>
  </si>
  <si>
    <t>0ad0dd675b184001b897a8a281e5b9f3</t>
  </si>
  <si>
    <t>2795c30d80f72e4c7fe20d751ceb5334b1e49aba0f8b05f3aeb9d270a4047526</t>
  </si>
  <si>
    <t>{"S/N":"370","IMEI":"355017388381290","TIME":"10:40","COLOUR":"BLUE","DEVICE":"IPHONE","STORAGE":"256","Column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DATE":"","RECORD_ID":"0ad0dd675b184001b897a8a281e5b9f3","BATTERY. H":"78","CONDITIONS":"","COST PRICE":"","DATE BOUGHT":"04/14/2026","DESCRIPTION":"IPHONE 13 MDM","DEAL LOCATION":"","INTERNAL NOTE":"","NAME OF BUYER":"","EXPENSE AMOUNT":"","NAME OF SELLER":"OZ GADGET","PRODUCT STATUS":"SOLD","STATUS OF DEVICE":"UNLOCKED","CALCULATED PROFIT":"","EXPENSE DESCRIPTION":"","PHONE NUMBER OF BUYER":"","AVAILABILITY/DATE SOLD":"4/23/2026","PHONE NUMBER OF SELLER":"2348106293924","RECEIPT &amp; EVIDIENCE LINK":""}</t>
  </si>
  <si>
    <t>baedd454ef4e4b409899049a54b67e6b</t>
  </si>
  <si>
    <t>be8a7655c9ba323a561f9c6063756fd48ff905b11d0a4868f400c5e3855cbf4c</t>
  </si>
  <si>
    <t>{"S/N":"371","IMEI":"35559119264386","TIME":"10:42","COLOUR":"GOLD","DEVICE":"","STORAGE":"512","Column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DATE":"","RECORD_ID":"baedd454ef4e4b409899049a54b67e6b","BATTERY. H":"100","CONDITIONS":"","COST PRICE":"","DATE BOUGHT":"04/14/2026","DESCRIPTION":"IPHONE 12 PRO MAX {SCREEN + BATTERY}","DEAL LOCATION":"","INTERNAL NOTE":"","NAME OF BUYER":"","EXPENSE AMOUNT":"","NAME OF SELLER":"AJOKE BEAUTY HAVEN","PRODUCT STATUS":"SOLD","STATUS OF DEVICE":"UNLOCKED","CALCULATED PROFIT":"","EXPENSE DESCRIPTION":"","PHONE NUMBER OF BUYER":"","AVAILABILITY/DATE SOLD":"4/24/2026","PHONE NUMBER OF SELLER":"2347046502373","RECEIPT &amp; EVIDIENCE LINK":""}</t>
  </si>
  <si>
    <t>a6372a47ef2748d3b67333a2f8e28a09</t>
  </si>
  <si>
    <t>ecff746676620c97953f3f3daf777becf01b1533f63040e27275458c09418ebc</t>
  </si>
  <si>
    <t>{"S/N":"372","IMEI":"357828284691295","TIME":"10:43","COLOUR":"SILVER","DEVICE":"","STORAGE":"256","Column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DATE":"","RECORD_ID":"a6372a47ef2748d3b67333a2f8e28a09","BATTERY. H":"87","CONDITIONS":"","COST PRICE":"","DATE BOUGHT":"01/06/2026","DESCRIPTION":"IPHONE 14 PRO MAX","DEAL LOCATION":"","INTERNAL NOTE":"","NAME OF BUYER":"","EXPENSE AMOUNT":"","NAME OF SELLER":"OZ GADGET","PRODUCT STATUS":"SOLD","STATUS OF DEVICE":"LOCKED","CALCULATED PROFIT":"","EXPENSE DESCRIPTION":"","PHONE NUMBER OF BUYER":"","AVAILABILITY/DATE SOLD":"4/25/2026","PHONE NUMBER OF SELLER":"2348106293924","RECEIPT &amp; EVIDIENCE LINK":""}</t>
  </si>
  <si>
    <t>6a6628c9fca540e89506242bd1453af4</t>
  </si>
  <si>
    <t>db3087f9db95e69ab2a8fb7c836c6756dfeb686b4d9755ab84a3f0c055162412</t>
  </si>
  <si>
    <t>{"S/N":"373","IMEI":"354387358117250","TIME":"10:45","COLOUR":"PINK","DEVICE":"IPHONE","STORAGE":"128","Column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DATE":"","RECORD_ID":"6a6628c9fca540e89506242bd1453af4","BATTERY. H":"90","CONDITIONS":"","COST PRICE":"","DATE BOUGHT":"01/06/2026","DESCRIPTION":"IPHONE 15 PLUS","DEAL LOCATION":"","INTERNAL NOTE":"","NAME OF BUYER":"","EXPENSE AMOUNT":"","NAME OF SELLER":"FIRST CLASS FURNITURE","PRODUCT STATUS":"SOLD","STATUS OF DEVICE":"UNLOCKED","CALCULATED PROFIT":"","EXPENSE DESCRIPTION":"","PHONE NUMBER OF BUYER":"","AVAILABILITY/DATE SOLD":"4/26/2026","PHONE NUMBER OF SELLER":"2347031845198","RECEIPT &amp; EVIDIENCE LINK":""}</t>
  </si>
  <si>
    <t>06ba13bf629b499d84054aa01b6603f1</t>
  </si>
  <si>
    <t>252c6664dca6e642007370efe6153b468b0b05e585ed8932d21040613e8b49c2</t>
  </si>
  <si>
    <t>{"S/N":"374","IMEI":"352051687722782","TIME":"10:49","COLOUR":"RED","DEVICE":"IPHONE","STORAGE":"128","Column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DATE":"","RECORD_ID":"06ba13bf629b499d84054aa01b6603f1","BATTERY. H":"78","CONDITIONS":"","COST PRICE":"","DATE BOUGHT":"01/06/2026","DESCRIPTION":"IPHONE 14","DEAL LOCATION":"","INTERNAL NOTE":"","NAME OF BUYER":"","EXPENSE AMOUNT":"","NAME OF SELLER":"AYOMIPOSI","PRODUCT STATUS":"SOLD","STATUS OF DEVICE":"LOCKED","CALCULATED PROFIT":"","EXPENSE DESCRIPTION":"","PHONE NUMBER OF BUYER":"","AVAILABILITY/DATE SOLD":"4/27/2026","PHONE NUMBER OF SELLER":"2347043365526","RECEIPT &amp; EVIDIENCE LINK":""}</t>
  </si>
  <si>
    <t>040c139d40c54637bdaf1805dd0c7a0f</t>
  </si>
  <si>
    <t>42286f044a4052878a3542aec0de61974dea5f95898eddb5864deb4630416891</t>
  </si>
  <si>
    <t>{"S/N":"375","IMEI":"359012141800617","TIME":"10:50","COLOUR":"BLACK","DEVICE":"IPHONE","STORAGE":"128","Column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DATE":"","RECORD_ID":"040c139d40c54637bdaf1805dd0c7a0f","BATTERY. H":"100","CONDITIONS":"","COST PRICE":"","DATE BOUGHT":"01/07/2026","DESCRIPTION":"IPHONE 16PLUS","DEAL LOCATION":"","INTERNAL NOTE":"","NAME OF BUYER":"","EXPENSE AMOUNT":"","NAME OF SELLER":"DENISE4WORLD","PRODUCT STATUS":"SOLD","STATUS OF DEVICE":"LOCKED","CALCULATED PROFIT":"","EXPENSE DESCRIPTION":"","PHONE NUMBER OF BUYER":"","AVAILABILITY/DATE SOLD":"04/20/2026","PHONE NUMBER OF SELLER":"2348038551439","RECEIPT &amp; EVIDIENCE LINK":""}</t>
  </si>
  <si>
    <t>546de16ac9f6444e808bea2fd14e72e0</t>
  </si>
  <si>
    <t>f0021357838b63ab06fa5dd834d30e14e097ebb30ea7cb75e0c86f87e367b464</t>
  </si>
  <si>
    <t>{"S/N":"376","IMEI":"356122179966835","TIME":"10:54","COLOUR":"BLUE","DEVICE":"IPHONE","STORAGE":"128","Column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DATE":"","RECORD_ID":"546de16ac9f6444e808bea2fd14e72e0","BATTERY. H":"76","CONDITIONS":"","COST PRICE":"","DATE BOUGHT":"01/12/2026","DESCRIPTION":"IPHONE 13","DEAL LOCATION":"","INTERNAL NOTE":"","NAME OF BUYER":"","EXPENSE AMOUNT":"","NAME OF SELLER":"KENNYLESKY","PRODUCT STATUS":"SOLD","STATUS OF DEVICE":"LOCKED","CALCULATED PROFIT":"","EXPENSE DESCRIPTION":"","PHONE NUMBER OF BUYER":"","AVAILABILITY/DATE SOLD":"4/29/2026","PHONE NUMBER OF SELLER":"2347060545118","RECEIPT &amp; EVIDIENCE LINK":""}</t>
  </si>
  <si>
    <t>69ffbcda984744cc9662dbc94a74709a</t>
  </si>
  <si>
    <t>2dc05b4f8c936abce4854e496e78f1870c57d1498958962ba54fc2892176e0ea</t>
  </si>
  <si>
    <t>{"S/N":"377","IMEI":"355515607252507","TIME":"10:56","COLOUR":"NATURAL TITANIUM","DEVICE":"IPHONE","STORAGE":"256","Column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DATE":"","RECORD_ID":"69ffbcda984744cc9662dbc94a74709a","BATTERY. H":"95","CONDITIONS":"","COST PRICE":"","DATE BOUGHT":"01/15/2026","DESCRIPTION":"IPHONE 16 PRO","DEAL LOCATION":"","INTERNAL NOTE":"","NAME OF BUYER":"","EXPENSE AMOUNT":"","NAME OF SELLER":"AYANFE","PRODUCT STATUS":"SOLD","STATUS OF DEVICE":"LOCKED","CALCULATED PROFIT":"","EXPENSE DESCRIPTION":"","PHONE NUMBER OF BUYER":"","AVAILABILITY/DATE SOLD":"4/30/2026","PHONE NUMBER OF SELLER":"2348038108648","RECEIPT &amp; EVIDIENCE LINK":""}</t>
  </si>
  <si>
    <t>1154f15f037f45c9aab22a2bdd3be9ba</t>
  </si>
  <si>
    <t>4713297013217d1ab79ebf488ec8a9261f6008b486789317fadf612f31bde5bc</t>
  </si>
  <si>
    <t>{"S/N":"378","IMEI":"","TIME":"10:58","COLOUR":"GOLD","DEVICE":"IPHONE","STORAGE":"128","Column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DATE":"","RECORD_ID":"1154f15f037f45c9aab22a2bdd3be9ba","BATTERY. H":"","CONDITIONS":"","COST PRICE":"","DATE BOUGHT":"01/15/2026","DESCRIPTION":"IPHONE 12 PRO MAX BAD SCREEN","DEAL LOCATION":"","INTERNAL NOTE":"","NAME OF BUYER":"","EXPENSE AMOUNT":"","NAME OF SELLER":"","PRODUCT STATUS":"SOLD","STATUS OF DEVICE":"UNLOCKED","CALCULATED PROFIT":"","EXPENSE DESCRIPTION":"","PHONE NUMBER OF BUYER":"","AVAILABILITY/DATE SOLD":"5/1/2026","PHONE NUMBER OF SELLER":"","RECEIPT &amp; EVIDIENCE LINK":""}</t>
  </si>
  <si>
    <t>714c63da8d584d18b8ddc3fd83544fd3</t>
  </si>
  <si>
    <t>48b482dfbfb51761663c7f400393dfa1662c173253cd9b1c78412cbb60d79cf2</t>
  </si>
  <si>
    <t>{"S/N":"379","IMEI":"351433144775853","TIME":"11:00","COLOUR":"MIDNIGHT","DEVICE":"IPHONE","STORAGE":"128","Column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DATE":"","RECORD_ID":"714c63da8d584d18b8ddc3fd83544fd3","BATTERY. H":"100","CONDITIONS":"MDM","COST PRICE":"","DATE BOUGHT":"01/16/2026","DESCRIPTION":"IPHONE 14","DEAL LOCATION":"","INTERNAL NOTE":"","NAME OF BUYER":"","EXPENSE AMOUNT":"","NAME OF SELLER":"DENISE4WORLD","PRODUCT STATUS":"SOLD","STATUS OF DEVICE":"MDM","CALCULATED PROFIT":"","EXPENSE DESCRIPTION":"","PHONE NUMBER OF BUYER":"","AVAILABILITY/DATE SOLD":"5/2/2026","PHONE NUMBER OF SELLER":"2348038551439","RECEIPT &amp; EVIDIENCE LINK":""}</t>
  </si>
  <si>
    <t>531458f6996d4a65b480a11fafb824e9</t>
  </si>
  <si>
    <t>e1240ba83b7485c62d51f57dd33b897f2430c59dd4c02cb16f6fe03a001ffc94</t>
  </si>
  <si>
    <t>{"S/N":"380","IMEI":"358686417129909","TIME":"11:01","COLOUR":"GOLD","DEVICE":"IPHONE","STORAGE":"256","Column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DATE":"","RECORD_ID":"531458f6996d4a65b480a11fafb824e9","BATTERY. H":"76","CONDITIONS":"","COST PRICE":"","DATE BOUGHT":"01/16/2026","DESCRIPTION":"IPHONE 12 PRO MAX","DEAL LOCATION":"","INTERNAL NOTE":"","NAME OF BUYER":"","EXPENSE AMOUNT":"","NAME OF SELLER":"CLARK GADGET","PRODUCT STATUS":"SOLD","STATUS OF DEVICE":"UNLOCKED","CALCULATED PROFIT":"","EXPENSE DESCRIPTION":"","PHONE NUMBER OF BUYER":"","AVAILABILITY/DATE SOLD":"5/3/2026","PHONE NUMBER OF SELLER":"2347064459910","RECEIPT &amp; EVIDIENCE LINK":""}</t>
  </si>
  <si>
    <t>81bb29b932fe4a3da75b2de41b82929f</t>
  </si>
  <si>
    <t>b27d048b57bf694057e2c214bc3a872306e4c80fb48550a74de043d7109d3298</t>
  </si>
  <si>
    <t>350591860583768/01</t>
  </si>
  <si>
    <t>{"S/N":"381","IMEI":"350591860583768/01","TIME":"11:03","COLOUR":"PINK","DEVICE":"SAMSUNG","STORAGE":"12/256","Column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DATE":"","RECORD_ID":"81bb29b932fe4a3da75b2de41b82929f","BATTERY. H":"","CONDITIONS":"","COST PRICE":"","DATE BOUGHT":"01/16/2026","DESCRIPTION":"SAMSUNG FOLD 6","DEAL LOCATION":"","INTERNAL NOTE":"","NAME OF BUYER":"","EXPENSE AMOUNT":"","NAME OF SELLER":"ELVIS","PRODUCT STATUS":"SOLD","STATUS OF DEVICE":"UNLOCKED","CALCULATED PROFIT":"","EXPENSE DESCRIPTION":"","PHONE NUMBER OF BUYER":"","AVAILABILITY/DATE SOLD":"5/4/2026","PHONE NUMBER OF SELLER":"2348102522960","RECEIPT &amp; EVIDIENCE LINK":""}</t>
  </si>
  <si>
    <t>d6227d17fc6d49c3b5210000b8096938</t>
  </si>
  <si>
    <t>e197fb02f7f8b482488e2171379c913279f1bed8915d7e521352698b5992545e</t>
  </si>
  <si>
    <t>{"S/N":"382","IMEI":"356086092354736","TIME":"11:06","COLOUR":"WHITE","DEVICE":"IPHONE","STORAGE":"64","Column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DATE":"","RECORD_ID":"d6227d17fc6d49c3b5210000b8096938","BATTERY. H":"77","CONDITIONS":"","COST PRICE":"","DATE BOUGHT":"01/17/2026","DESCRIPTION":"IPHONE 8","DEAL LOCATION":"","INTERNAL NOTE":"","NAME OF BUYER":"","EXPENSE AMOUNT":"","NAME OF SELLER":"OLUWATURNER","PRODUCT STATUS":"SOLD","STATUS OF DEVICE":"UNLOCKED","CALCULATED PROFIT":"","EXPENSE DESCRIPTION":"","PHONE NUMBER OF BUYER":"","AVAILABILITY/DATE SOLD":"5/5/2026","PHONE NUMBER OF SELLER":"2349033193331","RECEIPT &amp; EVIDIENCE LINK":""}</t>
  </si>
  <si>
    <t>2a72f2bb6c504e06a96dbcc403a8e23a</t>
  </si>
  <si>
    <t>7140bb8599ed36dce0021fa43311d0465da79248aa85dfd1e98c57c5822d49ab</t>
  </si>
  <si>
    <t>{"S/N":"383","IMEI":"354230912637266","TIME":"11:09","COLOUR":"NATURAL","DEVICE":"IPHONE","STORAGE":"128","Column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DATE":"","RECORD_ID":"2a72f2bb6c504e06a96dbcc403a8e23a","BATTERY. H":"88","CONDITIONS":"","COST PRICE":"","DATE BOUGHT":"01/19/2026","DESCRIPTION":"IPHONE 15 PRO PHY+ESIM","DEAL LOCATION":"","INTERNAL NOTE":"","NAME OF BUYER":"","EXPENSE AMOUNT":"","NAME OF SELLER":"OZ GADGET","PRODUCT STATUS":"SOLD","STATUS OF DEVICE":"UNLOCKED","CALCULATED PROFIT":"","EXPENSE DESCRIPTION":"","PHONE NUMBER OF BUYER":"","AVAILABILITY/DATE SOLD":"5/6/2026","PHONE NUMBER OF SELLER":"2348106293924","RECEIPT &amp; EVIDIENCE LINK":""}</t>
  </si>
  <si>
    <t>9549c678604d4404bd1104e7b91937c4</t>
  </si>
  <si>
    <t>d8ae77783770c21331055598d1f5b47abe132041ebc010210747f67c39b8a1a7</t>
  </si>
  <si>
    <t>{"S/N":"384","IMEI":"354230916428563","TIME":"11:11","COLOUR":"BLUE","DEVICE":"IPHONE","STORAGE":"128","Column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DATE":"","RECORD_ID":"9549c678604d4404bd1104e7b91937c4","BATTERY. H":"95","CONDITIONS":"","COST PRICE":"","DATE BOUGHT":"01/19/2026","DESCRIPTION":"IPHONE 15 PRO PHY+ESIM","DEAL LOCATION":"","INTERNAL NOTE":"","NAME OF BUYER":"","EXPENSE AMOUNT":"","NAME OF SELLER":"OZ GADGET","PRODUCT STATUS":"SOLD","STATUS OF DEVICE":"UNLOCKED","CALCULATED PROFIT":"","EXPENSE DESCRIPTION":"","PHONE NUMBER OF BUYER":"","AVAILABILITY/DATE SOLD":"5/7/2026","PHONE NUMBER OF SELLER":"2348106293924","RECEIPT &amp; EVIDIENCE LINK":""}</t>
  </si>
  <si>
    <t>0f830cdcd4834cf786be1561582abb01</t>
  </si>
  <si>
    <t>1d577f4c30d595dd8718fb5a5535a24a9f2765502bd0dac0d52124345663b109</t>
  </si>
  <si>
    <t>{"S/N":"385","IMEI":"350165055577768","TIME":"11:14","COLOUR":"PINK","DEVICE":"IPHONE","STORAGE":"128","Column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DATE":"","RECORD_ID":"0f830cdcd4834cf786be1561582abb01","BATTERY. H":"71","CONDITIONS":"","COST PRICE":"","DATE BOUGHT":"01/20/2026","DESCRIPTION":"IPHONE 13 PRO CHANGED SCREEN","DEAL LOCATION":"","INTERNAL NOTE":"","NAME OF BUYER":"","EXPENSE AMOUNT":"","NAME OF SELLER":"HANOCH ABEEB FROSH","PRODUCT STATUS":"SOLD","STATUS OF DEVICE":"UNLOCKED","CALCULATED PROFIT":"","EXPENSE DESCRIPTION":"","PHONE NUMBER OF BUYER":"","AVAILABILITY/DATE SOLD":"5/8/2026","PHONE NUMBER OF SELLER":"2347040395105","RECEIPT &amp; EVIDIENCE LINK":""}</t>
  </si>
  <si>
    <t>a3104e77014b42ecb426d16ab5cf24e7</t>
  </si>
  <si>
    <t>87776f720b7d05cfdc5dcc1896d7773dd2cb7d36eaa0412fc732a110040d982f</t>
  </si>
  <si>
    <t>{"S/N":"386","IMEI":"357797970138046","TIME":"11:19","COLOUR":"WHITE","DEVICE":"","STORAGE":"128","Column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DATE":"","RECORD_ID":"a3104e77014b42ecb426d16ab5cf24e7","BATTERY. H":"","CONDITIONS":"","COST PRICE":"","DATE BOUGHT":"01/20/2026","DESCRIPTION":"SAMSUNG S22","DEAL LOCATION":"","INTERNAL NOTE":"","NAME OF BUYER":"","EXPENSE AMOUNT":"","NAME OF SELLER":"SAMMY CONCEPT","PRODUCT STATUS":"SOLD","STATUS OF DEVICE":"UNLOCKED","CALCULATED PROFIT":"","EXPENSE DESCRIPTION":"","PHONE NUMBER OF BUYER":"","AVAILABILITY/DATE SOLD":"5/9/2026","PHONE NUMBER OF SELLER":"2349037002617","RECEIPT &amp; EVIDIENCE LINK":""}</t>
  </si>
  <si>
    <t>7ddad1f4813940fab4be0a49569c5cb7</t>
  </si>
  <si>
    <t>1aaea6bf618a3fb569c5171cda023f0b07e9a70913afe4970abd16aa8f4673ba</t>
  </si>
  <si>
    <t>{"S/N":"387","IMEI":"355939978190338","TIME":"11:22","COLOUR":"BLUE","DEVICE":"IPAD","STORAGE":"64","Column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DATE":"","RECORD_ID":"7ddad1f4813940fab4be0a49569c5cb7","BATTERY. H":"","CONDITIONS":"","COST PRICE":"","DATE BOUGHT":"01/20/2026","DESCRIPTION":"IPAD 10TH GEN WIFI + CELLULAR","DEAL LOCATION":"","INTERNAL NOTE":"","NAME OF BUYER":"","EXPENSE AMOUNT":"","NAME OF SELLER":"STARBOX","PRODUCT STATUS":"SOLD","STATUS OF DEVICE":"UNLOCKED","CALCULATED PROFIT":"","EXPENSE DESCRIPTION":"","PHONE NUMBER OF BUYER":"","AVAILABILITY/DATE SOLD":"5/10/2026","PHONE NUMBER OF SELLER":"2349063620334","RECEIPT &amp; EVIDIENCE LINK":""}</t>
  </si>
  <si>
    <t>1f48cbae36b9409d9406cd148fd32dfc</t>
  </si>
  <si>
    <t>46eb1e11242659c61ed8b0d2d0e84c7f5ac92264b69fef23ece7a319bdeff4ff</t>
  </si>
  <si>
    <t>{"S/N":"388","IMEI":"353342888286365","TIME":"11:25","COLOUR":"WHITE","DEVICE":"IPHONE","STORAGE":"64","Column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DATE":"","RECORD_ID":"1f48cbae36b9409d9406cd148fd32dfc","BATTERY. H":"","CONDITIONS":"","COST PRICE":"","DATE BOUGHT":"01/21/2026","DESCRIPTION":"IPHONE 12","DEAL LOCATION":"","INTERNAL NOTE":"","NAME OF BUYER":"","EXPENSE AMOUNT":"","NAME OF SELLER":"HAYKINZ","PRODUCT STATUS":"SOLD","STATUS OF DEVICE":"UNLOCKED","CALCULATED PROFIT":"","EXPENSE DESCRIPTION":"","PHONE NUMBER OF BUYER":"","AVAILABILITY/DATE SOLD":"5/11/2026","PHONE NUMBER OF SELLER":"2347030279101","RECEIPT &amp; EVIDIENCE LINK":""}</t>
  </si>
  <si>
    <t>88582844ab70494899fdd818ac15445a</t>
  </si>
  <si>
    <t>11fb9823e8aaf92a4505f080f8d47a5606063b67397bd5f249c9b3521cf2cb16</t>
  </si>
  <si>
    <t>{"S/N":"389","IMEI":"356543102375689","TIME":"11:27","COLOUR":"RED","DEVICE":"IPHONE","STORAGE":"64","Column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DATE":"","RECORD_ID":"88582844ab70494899fdd818ac15445a","BATTERY. H":"","CONDITIONS":"","COST PRICE":"","DATE BOUGHT":"01/22/2026","DESCRIPTION":"IPHONE 11","DEAL LOCATION":"","INTERNAL NOTE":"","NAME OF BUYER":"","EXPENSE AMOUNT":"","NAME OF SELLER":"FAME GADGET","PRODUCT STATUS":"SOLD","STATUS OF DEVICE":"UNLOCKED","CALCULATED PROFIT":"","EXPENSE DESCRIPTION":"","PHONE NUMBER OF BUYER":"","AVAILABILITY/DATE SOLD":"5/12/2026","PHONE NUMBER OF SELLER":"2348144970435","RECEIPT &amp; EVIDIENCE LINK":""}</t>
  </si>
  <si>
    <t>4d6819fefa164a78ade5df537eec33ef</t>
  </si>
  <si>
    <t>36595fe1c01f5b067f1d8a08bc5c048de7293dfe69cebbdfc1954301e8d7d355</t>
  </si>
  <si>
    <t>{"S/N":"390","IMEI":"357769850405670","TIME":"11:30","COLOUR":"MIDNIGHT","DEVICE":"IPHONE","STORAGE":"128","Column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DATE":"","RECORD_ID":"4d6819fefa164a78ade5df537eec33ef","BATTERY. H":"","CONDITIONS":"","COST PRICE":"","DATE BOUGHT":"01/22/2026","DESCRIPTION":"IPHONE 14 ESIM","DEAL LOCATION":"","INTERNAL NOTE":"","NAME OF BUYER":"","EXPENSE AMOUNT":"","NAME OF SELLER":"KING FCG","PRODUCT STATUS":"SOLD","STATUS OF DEVICE":"UNLOCKED","CALCULATED PROFIT":"","EXPENSE DESCRIPTION":"","PHONE NUMBER OF BUYER":"","AVAILABILITY/DATE SOLD":"5/13/2026","PHONE NUMBER OF SELLER":"2349068121856","RECEIPT &amp; EVIDIENCE LINK":""}</t>
  </si>
  <si>
    <t>a752d3f773be436496f9a5fb0570a466</t>
  </si>
  <si>
    <t>9200b6bd7fd9ac036bdd024daa2dcb4c57eb563ff48b11ad21c8dfba2c34bb23</t>
  </si>
  <si>
    <t>{"S/N":"391","IMEI":"352306395277143","TIME":"11:32","COLOUR":"BLACK","DEVICE":"IPHONE","STORAGE":"128","Column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DATE":"","RECORD_ID":"a752d3f773be436496f9a5fb0570a466","BATTERY. H":"","CONDITIONS":"","COST PRICE":"","DATE BOUGHT":"01/22/2026","DESCRIPTION":"IPHONE 16 ESIM","DEAL LOCATION":"","INTERNAL NOTE":"","NAME OF BUYER":"","EXPENSE AMOUNT":"","NAME OF SELLER":"HAYKINZ","PRODUCT STATUS":"SOLD","STATUS OF DEVICE":"UNLOCKED","CALCULATED PROFIT":"","EXPENSE DESCRIPTION":"","PHONE NUMBER OF BUYER":"","AVAILABILITY/DATE SOLD":"5/14/2026","PHONE NUMBER OF SELLER":"2347030279101","RECEIPT &amp; EVIDIENCE LINK":""}</t>
  </si>
  <si>
    <t>4fe0f4e9508d4258a47d11feb7a3d066</t>
  </si>
  <si>
    <t>44b9dc75e4b1966eca8307b0ba3bbd44e1a43c04cc20d3b67adf93f48c7af29f</t>
  </si>
  <si>
    <t>{"S/N":"392","IMEI":"353662256514381","TIME":"11:53","COLOUR":"BLUE","DEVICE":"IPHONE","STORAGE":"128","Column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DATE":"","RECORD_ID":"4fe0f4e9508d4258a47d11feb7a3d066","BATTERY. H":"","CONDITIONS":"","COST PRICE":"","DATE BOUGHT":"01/22/2026","DESCRIPTION":"IPHONE 15","DEAL LOCATION":"","INTERNAL NOTE":"","NAME OF BUYER":"","EXPENSE AMOUNT":"","NAME OF SELLER":"OZ GADGET","PRODUCT STATUS":"SOLD","STATUS OF DEVICE":"UNLOCKED","CALCULATED PROFIT":"","EXPENSE DESCRIPTION":"","PHONE NUMBER OF BUYER":"","AVAILABILITY/DATE SOLD":"5/15/2026","PHONE NUMBER OF SELLER":"2348106293924","RECEIPT &amp; EVIDIENCE LINK":""}</t>
  </si>
  <si>
    <t>a792de0b61ab49f681dee8f3fa37a5f5</t>
  </si>
  <si>
    <t>b648f3736c9bca58d1654e2ec1f8c3754e7ece5e2effe1cdfdd449b6b5c2a651</t>
  </si>
  <si>
    <t>{"S/N":"393","IMEI":"351605720358861","TIME":"11:55","COLOUR":"CLOUD WHITE","DEVICE":"IPHONE","STORAGE":"256","Column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DATE":"","RECORD_ID":"a792de0b61ab49f681dee8f3fa37a5f5","BATTERY. H":"","CONDITIONS":"","COST PRICE":"","DATE BOUGHT":"01/22/2026","DESCRIPTION":"IPHONE 17 AIR","DEAL LOCATION":"","INTERNAL NOTE":"","NAME OF BUYER":"","EXPENSE AMOUNT":"","NAME OF SELLER":"OZ GADGET","PRODUCT STATUS":"SOLD","STATUS OF DEVICE":"UNLOCKED","CALCULATED PROFIT":"","EXPENSE DESCRIPTION":"","PHONE NUMBER OF BUYER":"","AVAILABILITY/DATE SOLD":"5/16/2026","PHONE NUMBER OF SELLER":"2348106293924","RECEIPT &amp; EVIDIENCE LINK":""}</t>
  </si>
  <si>
    <t>568c8bd048294c63b426c4b73003c558</t>
  </si>
  <si>
    <t>da43fa312e303bd5e41be65ca9741578241c86ef7120a352b2a52a5d0a20d13a</t>
  </si>
  <si>
    <t>{"S/N":"394","IMEI":"358302111565956","TIME":"11:56","COLOUR":"SKY BLUE","DEVICE":"IPHONE","STORAGE":"256","Column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DATE":"","RECORD_ID":"568c8bd048294c63b426c4b73003c558","BATTERY. H":"","CONDITIONS":"","COST PRICE":"","DATE BOUGHT":"01/22/2026","DESCRIPTION":"IPHONE 17 AIR","DEAL LOCATION":"","INTERNAL NOTE":"","NAME OF BUYER":"","EXPENSE AMOUNT":"","NAME OF SELLER":"OZ GADGET","PRODUCT STATUS":"SOLD","STATUS OF DEVICE":"UNLOCKED","CALCULATED PROFIT":"","EXPENSE DESCRIPTION":"","PHONE NUMBER OF BUYER":"","AVAILABILITY/DATE SOLD":"2/28/2026","PHONE NUMBER OF SELLER":"2348106293924","RECEIPT &amp; EVIDIENCE LINK":""}</t>
  </si>
  <si>
    <t>6e92914eccfa44eda8d799a2fe8301bd</t>
  </si>
  <si>
    <t>398c09d9c443ff314df90d2f24971d74b0fd131195162906acce1392ce8332a7</t>
  </si>
  <si>
    <t>{"S/N":"395","IMEI":"350032730355095","TIME":"11:58","COLOUR":"Midnight","DEVICE":"IPHONE","STORAGE":"128GB","Column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DATE":"","RECORD_ID":"6e92914eccfa44eda8d799a2fe8301bd","BATTERY. H":"84","CONDITIONS":"","COST PRICE":"\u20a6410,000.00","DATE BOUGHT":"04/14/2026","DESCRIPTION":"iPhone 14","DEAL LOCATION":"","INTERNAL NOTE":"","NAME OF BUYER":"","EXPENSE AMOUNT":"","NAME OF SELLER":"OZ GADGET","PRODUCT STATUS":"AVAILABLE","STATUS OF DEVICE":"UNLOCKED","CALCULATED PROFIT":"","EXPENSE DESCRIPTION":"","PHONE NUMBER OF BUYER":"","AVAILABILITY/DATE SOLD":"AVAILABLE","PHONE NUMBER OF SELLER":"2348106293924","RECEIPT &amp; EVIDIENCE LINK":""}</t>
  </si>
  <si>
    <t>27210c92768e4d47a07068ae9b902505</t>
  </si>
  <si>
    <t>fa632480944e9dd55c3768820da21552fcc13985bdc56320ef330dbd007282c1</t>
  </si>
  <si>
    <t>{"S/N":"396","IMEI":"353906104909362","TIME":"14:15","COLOUR":"Silver","DEVICE":"IPHONE","STORAGE":"64GB","Column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DATE":"","RECORD_ID":"27210c92768e4d47a07068ae9b902505","BATTERY. H":"91","CONDITIONS":"","COST PRICE":"\u20a6250,000.00","DATE BOUGHT":"04/14/2026","DESCRIPTION":"iPhone 11 Pro Max","DEAL LOCATION":"","INTERNAL NOTE":"","NAME OF BUYER":"MBENZ","EXPENSE AMOUNT":"","NAME OF SELLER":"OZ GADGET","PRODUCT STATUS":"SOLD","STATUS OF DEVICE":"UNLOCKED","CALCULATED PROFIT":"","EXPENSE DESCRIPTION":"","PHONE NUMBER OF BUYER":"2349137123168","AVAILABILITY/DATE SOLD":"04/29/2026","PHONE NUMBER OF SELLER":"2348106293924","RECEIPT &amp; EVIDIENCE LINK":""}</t>
  </si>
  <si>
    <t>0e35638b143240ec910de900f0c55a9f</t>
  </si>
  <si>
    <t>336a530ea212672c502dc4881794a89aaa8cea6357ee4d775fceee5baae3de47</t>
  </si>
  <si>
    <t>{"S/N":"397","IMEI":"350114363080305","TIME":"14:34","COLOUR":"GOLD","DEVICE":"IPHONE","STORAGE":"256GB","Column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DATE":"","RECORD_ID":"0e35638b143240ec910de900f0c55a9f","BATTERY. H":"83%","CONDITIONS":"SEEMS CHAHGED CARCASS","COST PRICE":"\u20a6600,000.00","DATE BOUGHT":"04/15/2026","DESCRIPTION":"IPHONE 14 PRO P + E","DEAL LOCATION":"","INTERNAL NOTE":"","NAME OF BUYER":"DON","EXPENSE AMOUNT":"","NAME OF SELLER":"OZ GADGETS","PRODUCT STATUS":"SOLD","STATUS OF DEVICE":"UNLOCKED","CALCULATED PROFIT":"","EXPENSE DESCRIPTION":"","PHONE NUMBER OF BUYER":"2348137676322","AVAILABILITY/DATE SOLD":"05/05/2026","PHONE NUMBER OF SELLER":"2348106293924","RECEIPT &amp; EVIDIENCE LINK":""}</t>
  </si>
  <si>
    <t>d9348cb756ab4d418671036b63acab17</t>
  </si>
  <si>
    <t>143a441bc9f056f4d407d69147fb4ae4df69e7ca0143dc233a85ac46a7d80514</t>
  </si>
  <si>
    <t>{"S/N":"398","IMEI":"355845080208761","TIME":"14:36","COLOUR":"SILVER","DEVICE":"IPHONE","STORAGE":"32GB","Column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DATE":"","RECORD_ID":"d9348cb756ab4d418671036b63acab17","BATTERY. H":"91%","CONDITIONS":"","COST PRICE":"\u20a660,000.00","DATE BOUGHT":"04/15/2026","DESCRIPTION":"IPHONE 7","DEAL LOCATION":"","INTERNAL NOTE":"","NAME OF BUYER":"KUNLEX COMMUNICATION","EXPENSE AMOUNT":"","NAME OF SELLER":"MASTERY MOBILE","PRODUCT STATUS":"SOLD","STATUS OF DEVICE":"UNLOCKED","CALCULATED PROFIT":"","EXPENSE DESCRIPTION":"","PHONE NUMBER OF BUYER":"2347076133809","AVAILABILITY/DATE SOLD":"04/15/2026","PHONE NUMBER OF SELLER":"2348027964718","RECEIPT &amp; EVIDIENCE LINK":""}</t>
  </si>
  <si>
    <t>da57a67c4bcf49ba92ce4179de9ce6bd</t>
  </si>
  <si>
    <t>f8e148c3d83c0b2d06c652191bf021c1521a037bce692bd4070194f7cba2d1c7</t>
  </si>
  <si>
    <t>{"S/N":"399","IMEI":"353342886555290","TIME":"14:40","COLOUR":"WHITE","DEVICE":"IPHONE","STORAGE":"64GB","Column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DATE":"","RECORD_ID":"da57a67c4bcf49ba92ce4179de9ce6bd","BATTERY. H":"76%","CONDITIONS":"SWAP DEAL FOR IPHONE 14","COST PRICE":"\u20a6200,000.00","DATE BOUGHT":"04/15/2026","DESCRIPTION":"IPHONE 12","DEAL LOCATION":"","INTERNAL NOTE":"","NAME OF BUYER":"DEMIGLOBAL MULTISERVICE","EXPENSE AMOUNT":"","NAME OF SELLER":"MULLAR GADGET","PRODUCT STATUS":"SOLD","STATUS OF DEVICE":"UNLOCKED","CALCULATED PROFIT":"","EXPENSE DESCRIPTION":"","PHONE NUMBER OF BUYER":"2349066720385","AVAILABILITY/DATE SOLD":"04/20/2026","PHONE NUMBER OF SELLER":"2348165523297","RECEIPT &amp; EVIDIENCE LINK":""}</t>
  </si>
  <si>
    <t>900a7c2803c244bbae3f52ee1fbf6143</t>
  </si>
  <si>
    <t>415b196bbfb5d87eeacb96dc52bdf420a8c424865d1ea9c86d198db689a13b5a</t>
  </si>
  <si>
    <t>{"S/N":"400","IMEI":"358355843220282","TIME":"17:37","COLOUR":"BLACK","DEVICE":"IPHONE","STORAGE":"128","Column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DATE":"","RECORD_ID":"900a7c2803c244bbae3f52ee1fbf6143","BATTERY. H":"86","CONDITIONS":"","COST PRICE":"\u20a6540,000.00","DATE BOUGHT":"04/15/2026","DESCRIPTION":"IPHONE 15 ESIM","DEAL LOCATION":"","INTERNAL NOTE":"","NAME OF BUYER":"SALVAGE YARD","EXPENSE AMOUNT":"","NAME OF SELLER":"DEMI GLOBAL","PRODUCT STATUS":"SOLD","STATUS OF DEVICE":"UNLOCKED","CALCULATED PROFIT":"","EXPENSE DESCRIPTION":"","PHONE NUMBER OF BUYER":"234 811 530 8158","AVAILABILITY/DATE SOLD":"4/21/2026","PHONE NUMBER OF SELLER":"2349066720385","RECEIPT &amp; EVIDIENCE LINK":""}</t>
  </si>
  <si>
    <t>e99fc08e91204f1a96c512a6dc2b43d3</t>
  </si>
  <si>
    <t>2636574af30b419a2e26b5df4c3fcae0422053db17aa9e4389944af3437069fc</t>
  </si>
  <si>
    <t>{"S/N":"401","IMEI":"353263428082785","TIME":"09:21","COLOUR":"BLUE TITANIUM","DEVICE":"IPHONE","STORAGE":"128","Column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DATE":"","RECORD_ID":"e99fc08e91204f1a96c512a6dc2b43d3","BATTERY. H":"100","CONDITIONS":"","COST PRICE":"\u20a61,380,000.00","DATE BOUGHT":"04/17/2026","DESCRIPTION":"SEALED IPHONE 17 PRO MAX","DEAL LOCATION":"","INTERNAL NOTE":"","NAME OF BUYER":"IPRO GADGET","EXPENSE AMOUNT":"","NAME OF SELLER":"DAMBOX","PRODUCT STATUS":"SOLD","STATUS OF DEVICE":"UNLOCKED","CALCULATED PROFIT":"","EXPENSE DESCRIPTION":"","PHONE NUMBER OF BUYER":"2348109344663","AVAILABILITY/DATE SOLD":"04/17/2026","PHONE NUMBER OF SELLER":"2349040943517","RECEIPT &amp; EVIDIENCE LINK":""}</t>
  </si>
  <si>
    <t>ba295aed431d4c28a66dbf76b38afa2f</t>
  </si>
  <si>
    <t>a2e6b7534f000200374ba5c869e3bee81292bd1d96d86929b22786710a6b943a</t>
  </si>
  <si>
    <t>{"S/N":"402","IMEI":"","TIME":"17:12","COLOUR":"BLACK","DEVICE":"","STORAGE":"","Column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DATE":"","RECORD_ID":"ba295aed431d4c28a66dbf76b38afa2f","BATTERY. H":"","CONDITIONS":"","COST PRICE":"\u20a645,000.00","DATE BOUGHT":"04/17/2026","DESCRIPTION":"VOICE CHANGER I9 SOUND CARD","DEAL LOCATION":"","INTERNAL NOTE":"","NAME OF BUYER":"DARQUIZ PROMOTIONS","EXPENSE AMOUNT":"","NAME OF SELLER":"DENIS4WARD","PRODUCT STATUS":"PENDING DEAL","STATUS OF DEVICE":"UNLOCKED","CALCULATED PROFIT":"","EXPENSE DESCRIPTION":"","PHONE NUMBER OF BUYER":"2348027719627","AVAILABILITY/DATE SOLD":"PENDING DEAL","PHONE NUMBER OF SELLER":"2348038551439","RECEIPT &amp; EVIDIENCE LINK":""}</t>
  </si>
  <si>
    <t>51cfc9cbdb2e419bbe4cfdeb34e4ca7d</t>
  </si>
  <si>
    <t>c250a70e5ee40629adcda286adedf137f22760a291af66b49924892819fd4d06</t>
  </si>
  <si>
    <t>{"S/N":"403","IMEI":"356258487038139","TIME":"10:08","COLOUR":"BLACK","DEVICE":"iPhone","STORAGE":"256","Column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DATE":"","RECORD_ID":"51cfc9cbdb2e419bbe4cfdeb34e4ca7d","BATTERY. H":"100","CONDITIONS":"320 CC","COST PRICE":"\u20a6600,000.00","DATE BOUGHT":"04/20/2026","DESCRIPTION":"OPEN BOX IPHONE 15 PHY+ESIM","DEAL LOCATION":"","INTERNAL NOTE":"","NAME OF BUYER":"IGEE","EXPENSE AMOUNT":"","NAME OF SELLER":"MULLAR GADGET","PRODUCT STATUS":"SOLD","STATUS OF DEVICE":"UNLOCKED","CALCULATED PROFIT":"","EXPENSE DESCRIPTION":"","PHONE NUMBER OF BUYER":"2347071736488","AVAILABILITY/DATE SOLD":"04/27/2026","PHONE NUMBER OF SELLER":"2348165523297","RECEIPT &amp; EVIDIENCE LINK":""}</t>
  </si>
  <si>
    <t>231fdfab1b374c69906277a848ccb529</t>
  </si>
  <si>
    <t>6420071c008eb70f2b8f22139fcb8cfe1742aa920899cab0067da2d59d279430</t>
  </si>
  <si>
    <t>{"S/N":"404","IMEI":"353268399262753","TIME":"12:44","COLOUR":"NATURAL TITANIUM","DEVICE":"IPHONE","STORAGE":"256","Column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DATE":"","RECORD_ID":"231fdfab1b374c69906277a848ccb529","BATTERY. H":"98%","CONDITIONS":"UNLOCK AFTER STOCKING.. LOCKED TO RESELLER FLEX","COST PRICE":"\u20a6669,265.00","DATE BOUGHT":"04/20/2026","DESCRIPTION":"IPHONE 16 PRO","DEAL LOCATION":"","INTERNAL NOTE":"","NAME OF BUYER":"OG LEVEL","EXPENSE AMOUNT":"","NAME OF SELLER":"MASTERY MOBILE","PRODUCT STATUS":"SOLD","STATUS OF DEVICE":"UNLOCKED (LOCKED)","CALCULATED PROFIT":"","EXPENSE DESCRIPTION":"","PHONE NUMBER OF BUYER":"2349064673042","AVAILABILITY/DATE SOLD":"04/25/2026","PHONE NUMBER OF SELLER":"2348027964718","RECEIPT &amp; EVIDIENCE LINK":""}</t>
  </si>
  <si>
    <t>525b39b2be7e4ed086d439cf84b1ff93</t>
  </si>
  <si>
    <t>6b923798edb116df5aa01f343b2e92f5fc696998218a3bce310f5f6ce700a670</t>
  </si>
  <si>
    <t>{"S/N":"405","IMEI":"357170546854167","TIME":"10:38","COLOUR":"GOLD","DEVICE":"IPHONE","STORAGE":"256GB","Column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DATE":"","RECORD_ID":"525b39b2be7e4ed086d439cf84b1ff93","BATTERY. H":"77%","CONDITIONS":"CHANGED CARCASS.. WALLPER NOT CHANGING ON LONG PRESS","COST PRICE":"\u20a6500,000.00","DATE BOUGHT":"04/21/2026","DESCRIPTION":"IPHONE 14 PRO P + E","DEAL LOCATION":"","INTERNAL NOTE":"","NAME OF BUYER":"ZEE TECH","EXPENSE AMOUNT":"","NAME OF SELLER":"MC GADGETS","PRODUCT STATUS":"PENDING DEAL","STATUS OF DEVICE":"UNLOCKED","CALCULATED PROFIT":"","EXPENSE DESCRIPTION":"","PHONE NUMBER OF BUYER":"2349033724061","AVAILABILITY/DATE SOLD":"PENDING DEAL","PHONE NUMBER OF SELLER":"2348129564538","RECEIPT &amp; EVIDIENCE LINK":"GOTTEN FROM SWAP DEAL OF IPHONE 16 PLUS"}</t>
  </si>
  <si>
    <t>a6ae012d382344d48eaa9bea262e25e6</t>
  </si>
  <si>
    <t>71557c40e427d782f11a7278707994bcc82a5ad41173b8b33e53f1fcc9286ca4</t>
  </si>
  <si>
    <t>XRXHP67HDH</t>
  </si>
  <si>
    <t>{"S/N":"406","IMEI":"XRXHP67HDH","TIME":"11:25","COLOUR":"BLACK","DEVICE":"IPAD","STORAGE":"","Column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DATE":"","RECORD_ID":"a6ae012d382344d48eaa9bea262e25e6","BATTERY. H":"","CONDITIONS":"","COST PRICE":"\u20a6200,000.00","DATE BOUGHT":"04/22/2026","DESCRIPTION":"MAGIC KEYBOARD FOR IPAD PRO 13 INCHES","DEAL LOCATION":"","INTERNAL NOTE":"","NAME OF BUYER":"","EXPENSE AMOUNT":"","NAME OF SELLER":"MBENZ","PRODUCT STATUS":"AVAILABLE","STATUS OF DEVICE":"UNLOCKED","CALCULATED PROFIT":"","EXPENSE DESCRIPTION":"","PHONE NUMBER OF BUYER":"","AVAILABILITY/DATE SOLD":"AVAILABLE","PHONE NUMBER OF SELLER":"2349137123168","RECEIPT &amp; EVIDIENCE LINK":""}</t>
  </si>
  <si>
    <t>7878b5ef84d24c958d0872cfecaf7598</t>
  </si>
  <si>
    <t>12e4d1ac375fca07377da43992ee70b44887a8f09240d27932c6ff67fdad2847</t>
  </si>
  <si>
    <t>{"S/N":"407","IMEI":"352045531646999","TIME":"12:40","COLOUR":"Space Black","DEVICE":"IPAD","STORAGE":"256","Column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DATE":"","RECORD_ID":"7878b5ef84d24c958d0872cfecaf7598","BATTERY. H":"92","CONDITIONS":"USED AS A PAYMENT FOR MONEY BORROWED","COST PRICE":"\u20a6900,000.00","DATE BOUGHT":"04/22/2026","DESCRIPTION":"iPad Pro 13-inch (M4)  WIFI AND CELLULAR","DEAL LOCATION":"","INTERNAL NOTE":"","NAME OF BUYER":"","EXPENSE AMOUNT":"","NAME OF SELLER":"MBENZ","PRODUCT STATUS":"AVAILABLE","STATUS OF DEVICE":"UNLOCKED","CALCULATED PROFIT":"","EXPENSE DESCRIPTION":"","PHONE NUMBER OF BUYER":"","AVAILABILITY/DATE SOLD":"AVAILABLE","PHONE NUMBER OF SELLER":"2349137123168","RECEIPT &amp; EVIDIENCE LINK":"USED AS A PAYMENT FOR MONEY BORROWED"}</t>
  </si>
  <si>
    <t>ddd95026ebe94b588276abb8faf20624</t>
  </si>
  <si>
    <t>208e567bc59bea00b42005867d1be77694fb161eeeeca28482379fffa3c191a6</t>
  </si>
  <si>
    <t>{"S/N":"408","IMEI":"351188229101645","TIME":"15:01","COLOUR":"Blue Titanium","DEVICE":"IPHONE","STORAGE":"128","Column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DATE":"","RECORD_ID":"ddd95026ebe94b588276abb8faf20624","BATTERY. H":"86","CONDITIONS":"","COST PRICE":"\u20a6600,000.00","DATE BOUGHT":"04/22/2026","DESCRIPTION":"iPhone 15 Pro","DEAL LOCATION":"","INTERNAL NOTE":"","NAME OF BUYER":"DENIS4WARD","EXPENSE AMOUNT":"","NAME OF SELLER":"CH4","PRODUCT STATUS":"SOLD","STATUS OF DEVICE":"UNLOCKED","CALCULATED PROFIT":"","EXPENSE DESCRIPTION":"","PHONE NUMBER OF BUYER":"2348038551439","AVAILABILITY/DATE SOLD":"04/22/2026","PHONE NUMBER OF SELLER":"2348131941406","RECEIPT &amp; EVIDIENCE LINK":""}</t>
  </si>
  <si>
    <t>8593240c8a814505b7a4542186358b38</t>
  </si>
  <si>
    <t>04a69875944161d1a943e799bb8c4c6e7cbbce938f5aa86d3e5f97499f490c72</t>
  </si>
  <si>
    <t>{"S/N":"409","IMEI":"358206139865878","TIME":"08:36","COLOUR":"COSMIC ORANGE","DEVICE":"iPhone","STORAGE":"512","Column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DATE":"","RECORD_ID":"8593240c8a814505b7a4542186358b38","BATTERY. H":"100","CONDITIONS":"UNLOCKING","COST PRICE":"\u20a61,330,000.00","DATE BOUGHT":"04/24/2026","DESCRIPTION":"IPHONE 17 PRO MAX NON ACTIVE","DEAL LOCATION":"","INTERNAL NOTE":"","NAME OF BUYER":"","EXPENSE AMOUNT":"","NAME OF SELLER":"STARBOX","PRODUCT STATUS":"AVAILABLE","STATUS OF DEVICE":"LOCKED","CALCULATED PROFIT":"","EXPENSE DESCRIPTION":"","PHONE NUMBER OF BUYER":"","AVAILABILITY/DATE SOLD":"AVAILABLE","PHONE NUMBER OF SELLER":"2349063620334","RECEIPT &amp; EVIDIENCE LINK":""}</t>
  </si>
  <si>
    <t>134fc9a0e77744c59841d75b74150526</t>
  </si>
  <si>
    <t>750089cce1fbf6840536a521fd67f079738b633783ab8651df3ce78f3a449e0c</t>
  </si>
  <si>
    <t>{"S/N":"410","IMEI":"350022963659040","TIME":"17:00","COLOUR":"Graphite","DEVICE":"iPhone","STORAGE":"256","Column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DATE":"","RECORD_ID":"134fc9a0e77744c59841d75b74150526","BATTERY. H":"93","CONDITIONS":"","COST PRICE":"\u20a6380,000.00","DATE BOUGHT":"04/24/2026","DESCRIPTION":"iPhone 12 Pro Max","DEAL LOCATION":"","INTERNAL NOTE":"","NAME OF BUYER":"AYOMIDE DAVIDE FASORE","EXPENSE AMOUNT":"","NAME OF SELLER":"MASTERY MOBILE","PRODUCT STATUS":"SOLD","STATUS OF DEVICE":"UNLOCKED","CALCULATED PROFIT":"","EXPENSE DESCRIPTION":"","PHONE NUMBER OF BUYER":"2348034910127","AVAILABILITY/DATE SOLD":"04/30/2026","PHONE NUMBER OF SELLER":"2348027964718","RECEIPT &amp; EVIDIENCE LINK":""}</t>
  </si>
  <si>
    <t>5b715b2b159a406b915faeec356f2a0f</t>
  </si>
  <si>
    <t>8ec0888a304d3d59fa342e201334c683ff2189fd1a7564229271c0db576c9e58</t>
  </si>
  <si>
    <t>{"S/N":"411","IMEI":"354034472315143/73","TIME":"11:18","COLOUR":"BLACK","DEVICE":"SAMSUNG","STORAGE":"8/128G","Column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DATE":"","RECORD_ID":"5b715b2b159a406b915faeec356f2a0f","BATTERY. H":"","CONDITIONS":"","COST PRICE":"\u20a6200,000.00","DATE BOUGHT":"04/25/2026","DESCRIPTION":"S21 5G","DEAL LOCATION":"","INTERNAL NOTE":"","NAME OF BUYER":"OG SCOTT","EXPENSE AMOUNT":"","NAME OF SELLER":"NURUDEEN","PRODUCT STATUS":"SOLD","STATUS OF DEVICE":"UNLOCKED","CALCULATED PROFIT":"","EXPENSE DESCRIPTION":"","PHONE NUMBER OF BUYER":"2348140980933","AVAILABILITY/DATE SOLD":"04/25/2026","PHONE NUMBER OF SELLER":"2349122727950","RECEIPT &amp; EVIDIENCE LINK":""}</t>
  </si>
  <si>
    <t>b1fa9f7fa26e491eb6b19862906ccf9d</t>
  </si>
  <si>
    <t>af3fa8296dcfc41e263d452ac82dc0cebf2bcea111452e43b78d6de6a7b973fe</t>
  </si>
  <si>
    <t>{"S/N":"412","IMEI":"351885215226753/13","TIME":"12:06","COLOUR":"GRAPHITE","DEVICE":"SAMSUNG","STORAGE":"12|256GB","Column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DATE":"","RECORD_ID":"b1fa9f7fa26e491eb6b19862906ccf9d","BATTERY. H":"","CONDITIONS":"ANDROID VERSION 16","COST PRICE":"\u20a6700,000.00","DATE BOUGHT":"04/25/2026","DESCRIPTION":"SAMSUNG S24 ULTRA","DEAL LOCATION":"","INTERNAL NOTE":"","NAME OF BUYER":"MD GADGS","EXPENSE AMOUNT":"","NAME OF SELLER":"SALVAGE YARD","PRODUCT STATUS":"SOLD","STATUS OF DEVICE":"UNLOCKED","CALCULATED PROFIT":"","EXPENSE DESCRIPTION":"","PHONE NUMBER OF BUYER":"2348166860603","AVAILABILITY/DATE SOLD":"05/01/2026","PHONE NUMBER OF SELLER":"2348115308158","RECEIPT &amp; EVIDIENCE LINK":""}</t>
  </si>
  <si>
    <t>9e92cf78da784316a9c1819e66b961bd</t>
  </si>
  <si>
    <t>280405726ad0a64bd5d4e090b375dfe3051613a20418ad2ebcfd48de9740dd8f</t>
  </si>
  <si>
    <t>{"S/N":"413","IMEI":"C02G38FWQ05N","TIME":"10:35","COLOUR":"SILVER","DEVICE":"MACBOOK","STORAGE":"16GB + 256GB","Column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DATE":"","RECORD_ID":"9e92cf78da784316a9c1819e66b961bd","BATTERY. H":"85","CONDITIONS":"193","COST PRICE":"\u20a6500,000.00","DATE BOUGHT":"04/27/2026","DESCRIPTION":"MACBOOK M1 PRO 2020","DEAL LOCATION":"","INTERNAL NOTE":"","NAME OF BUYER":"AKINPELUMI MEE","EXPENSE AMOUNT":"","NAME OF SELLER":"MBENZ","PRODUCT STATUS":"SOLD","STATUS OF DEVICE":"UNLOCKED","CALCULATED PROFIT":"","EXPENSE DESCRIPTION":"","PHONE NUMBER OF BUYER":"2349039596257","AVAILABILITY/DATE SOLD":"05/02/2026","PHONE NUMBER OF SELLER":"2349137123168","RECEIPT &amp; EVIDIENCE LINK":""}</t>
  </si>
  <si>
    <t>04f837c28d664559b7df6ac364fe86ff</t>
  </si>
  <si>
    <t>9aaa3d8a9529bc5b77568295e373d9956b603ab765144671ae1a99cbb1d43ec1</t>
  </si>
  <si>
    <t>{"S/N":"414","IMEI":"357762267842460","TIME":"11:48","COLOUR":"ULTRA MARINE","DEVICE":"IPHONE","STORAGE":"128GB","Column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DATE":"","RECORD_ID":"04f837c28d664559b7df6ac364fe86ff","BATTERY. H":"90","CONDITIONS":"GOT FROM IPHONE 16 PRO SWAP","COST PRICE":"\u20a6700,000.00","DATE BOUGHT":"04/27/2026","DESCRIPTION":"IPHONE 16","DEAL LOCATION":"","INTERNAL NOTE":"","NAME OF BUYER":"MARVITECH","EXPENSE AMOUNT":"","NAME OF SELLER":"OG LEVEL","PRODUCT STATUS":"SOLD","STATUS OF DEVICE":"UNLOCKED","CALCULATED PROFIT":"","EXPENSE DESCRIPTION":"","PHONE NUMBER OF BUYER":"2348106931715","AVAILABILITY/DATE SOLD":"05/01/2026","PHONE NUMBER OF SELLER":"2349064673042","RECEIPT &amp; EVIDIENCE LINK":""}</t>
  </si>
  <si>
    <t>89011f226f6c4b2baf90191320fa350c</t>
  </si>
  <si>
    <t>3faef39ebc5ff9447456061cb720175334fb9d8f26834233715b6309464e7fda</t>
  </si>
  <si>
    <t>{"S/N":"415","IMEI":"353431655327849","TIME":"16:04","COLOUR":"BLUE TITANIUM","DEVICE":"IPHONE","STORAGE":"256GB","Column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DATE":"","RECORD_ID":"89011f226f6c4b2baf90191320fa350c","BATTERY. H":"100","CONDITIONS":"","COST PRICE":"\u20a6600,000.00","DATE BOUGHT":"04/27/2026","DESCRIPTION":"IPHONE 15 PRO","DEAL LOCATION":"","INTERNAL NOTE":"","NAME OF BUYER":"ADESOLA AYODELE","EXPENSE AMOUNT":"","NAME OF SELLER":"DENIS4WARD TECHNOLOGY","PRODUCT STATUS":"SOLD","STATUS OF DEVICE":"UNLOCKED","CALCULATED PROFIT":"","EXPENSE DESCRIPTION":"","PHONE NUMBER OF BUYER":"2349166314423","AVAILABILITY/DATE SOLD":"04/27/2026","PHONE NUMBER OF SELLER":"2348038551439","RECEIPT &amp; EVIDIENCE LINK":""}</t>
  </si>
  <si>
    <t>8abeb0f23d0b4b6f8a6201b05a9e8bba</t>
  </si>
  <si>
    <t>afd05491d620f9ddaa80e58fc4ed331f0993cd2d4c0aa97fa4ecfcf758ab2e1e</t>
  </si>
  <si>
    <t>{"S/N":"416","IMEI":"353992319885357","TIME":"09:05","COLOUR":"SKY BLUE","DEVICE":"IPHONE","STORAGE":"128GB","Column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DATE":"","RECORD_ID":"8abeb0f23d0b4b6f8a6201b05a9e8bba","BATTERY. H":"100%","CONDITIONS":"DEMO, RESELLER FLEX","COST PRICE":"\u20a6450,000.00","DATE BOUGHT":"04/29/2026","DESCRIPTION":"IPHONE 15","DEAL LOCATION":"","INTERNAL NOTE":"","NAME OF BUYER":"VICTOR EXCEL","EXPENSE AMOUNT":"","NAME OF SELLER":"CH4","PRODUCT STATUS":"SOLD","STATUS OF DEVICE":"LOCKED","CALCULATED PROFIT":"","EXPENSE DESCRIPTION":"","PHONE NUMBER OF BUYER":"2347046258301","AVAILABILITY/DATE SOLD":"04/29/2026","PHONE NUMBER OF SELLER":"2348131941406","RECEIPT &amp; EVIDIENCE LINK":""}</t>
  </si>
  <si>
    <t>685c63ee0bbf439c87c5aaf1e16ffb31</t>
  </si>
  <si>
    <t>430fa9ab66927c2058b9c5f80b924482da185b96caf3b8d591bf43e953c7d737</t>
  </si>
  <si>
    <t>{"S/N":"416","IMEI":"357498197864031","TIME":"21:19","COLOUR":"BLACK","DEVICE":"IPHONE","STORAGE":"128GB","Column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DATE":"","RECORD_ID":"685c63ee0bbf439c87c5aaf1e16ffb31","BATTERY. H":"92%","CONDITIONS":"PHYSICAL AND ESIM 8.5/10 NEATNESS","COST PRICE":"\u20a6780,000.00","DATE BOUGHT":"04/28/2026","DESCRIPTION":"IPHONE 16 P + E","DEAL LOCATION":"","INTERNAL NOTE":"","NAME OF BUYER":"JEFFERY EMONEMA","EXPENSE AMOUNT":"","NAME OF SELLER":"STAR BUSSY","PRODUCT STATUS":"SOLD","STATUS OF DEVICE":"UNLOCKED","CALCULATED PROFIT":"","EXPENSE DESCRIPTION":"","PHONE NUMBER OF BUYER":"2347025278481","AVAILABILITY/DATE SOLD":"04/29/2026","PHONE NUMBER OF SELLER":"2348127738411","RECEIPT &amp; EVIDIENCE LINK":""}</t>
  </si>
  <si>
    <t>a45c697bf2d541609e8e1bdce5273f47</t>
  </si>
  <si>
    <t>abd93e3b461173d8e6d665d584b7fe86e5550c221a24ce0e9174993a8d190057</t>
  </si>
  <si>
    <t>{"S/N":"417","IMEI":"351284086814162","TIME":"11:31","COLOUR":"GOLD","DEVICE":"IPHONE","STORAGE":"256GB","Column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DATE":"","RECORD_ID":"a45c697bf2d541609e8e1bdce5273f47","BATTERY. H":"88%","CONDITIONS":"SWAPPED WITH IPHONE 15 LOCKED FROM CH4","COST PRICE":"\u20a6400,000.00","DATE BOUGHT":"04/29/2026","DESCRIPTION":"IPHONE 14 PRO","DEAL LOCATION":"","INTERNAL NOTE":"","NAME OF BUYER":"MD GADGS","EXPENSE AMOUNT":"","NAME OF SELLER":"VICTOR EXCEL","PRODUCT STATUS":"SOLD","STATUS OF DEVICE":"LOCKED","CALCULATED PROFIT":"","EXPENSE DESCRIPTION":"","PHONE NUMBER OF BUYER":"2348166860603","AVAILABILITY/DATE SOLD":"04/30/2026","PHONE NUMBER OF SELLER":"2347046258301","RECEIPT &amp; EVIDIENCE LINK":""}</t>
  </si>
  <si>
    <t>1777021258eb4c05b6ef597bcc1b6ac3</t>
  </si>
  <si>
    <t>461e01bfe3ccceeb4e9ef056640d92da94da7925322cb7f5fd53882892af102e</t>
  </si>
  <si>
    <t>{"S/N":"418","IMEI":"354540530464186","TIME":"12:53","COLOUR":"SPACE BLACK","DEVICE":"IPHONE","STORAGE":"128GB","Column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DATE":"","RECORD_ID":"1777021258eb4c05b6ef597bcc1b6ac3","BATTERY. H":"90%","CONDITIONS":"SWAPPED TO IPHONE 16 PHYSICAL + ESIM","COST PRICE":"\u20a6520,000.00","DATE BOUGHT":"04/29/2026","DESCRIPTION":"IPHONE 14 PRO P + E","DEAL LOCATION":"","INTERNAL NOTE":"","NAME OF BUYER":"DOVESGADGETS","EXPENSE AMOUNT":"","NAME OF SELLER":"JEFFREY EMONEMA","PRODUCT STATUS":"SOLD","STATUS OF DEVICE":"UNLOCKED","CALCULATED PROFIT":"","EXPENSE DESCRIPTION":"","PHONE NUMBER OF BUYER":"2348131118365","AVAILABILITY/DATE SOLD":"05/02/2026","PHONE NUMBER OF SELLER":"2347025278481","RECEIPT &amp; EVIDIENCE LINK":""}</t>
  </si>
  <si>
    <t>3566091f80b44e7eb45f6a25bee5f312</t>
  </si>
  <si>
    <t>3a0fac8e2b55232a1c94763e7f6ced311fc70fe81fa847b64193bf54c62376e6</t>
  </si>
  <si>
    <t>{"S/N":"419","IMEI":"358933738239243","TIME":"13:35","COLOUR":"WHITE","DEVICE":"SAMSUNG","STORAGE":"256GB","Column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DATE":"","RECORD_ID":"3566091f80b44e7eb45f6a25bee5f312","BATTERY. H":"-","CONDITIONS":"SEALED AS NEW","COST PRICE":"\u20a6330,000.00","DATE BOUGHT":"04/29/2026","DESCRIPTION":"SAMSUNG GALAXY S22 SEALED","DEAL LOCATION":"","INTERNAL NOTE":"","NAME OF BUYER":"ADEBAYO ROKEEB","EXPENSE AMOUNT":"","NAME OF SELLER":"DENIS4WARS TECHNOLOGY","PRODUCT STATUS":"SOLD","STATUS OF DEVICE":"UNLOCKED","CALCULATED PROFIT":"","EXPENSE DESCRIPTION":"","PHONE NUMBER OF BUYER":"2348073670589","AVAILABILITY/DATE SOLD":"04/29/2026","PHONE NUMBER OF SELLER":"2348038551439","RECEIPT &amp; EVIDIENCE LINK":""}</t>
  </si>
  <si>
    <t>9f584138ca384c5f9f8a9c76078b5a75</t>
  </si>
  <si>
    <t>899abbdda1eb7dc37aa84a00f5fe57158bb5d226f071787f1afcdb8d1068fece</t>
  </si>
  <si>
    <t>{"S/N":"420","IMEI":"1H85136QQB","TIME":"21:02","COLOUR":"BLACK","DEVICE":"LAPTOP","STORAGE":"512GB","Column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DATE":"","RECORD_ID":"9f584138ca384c5f9f8a9c76078b5a75","BATTERY. H":"-","CONDITIONS":"16 GB, 512GB STORAGE","COST PRICE":"\u20a61,030,000.00","DATE BOUGHT":"04/29/2026","DESCRIPTION":"VICTUS BY HP GAMING LAPTOP 15-fa2xxx","DEAL LOCATION":"","INTERNAL NOTE":"","NAME OF BUYER":"SWEETBOY","EXPENSE AMOUNT":"","NAME OF SELLER":"TECH JAR","PRODUCT STATUS":"SOLD","STATUS OF DEVICE":"UNLOCKED","CALCULATED PROFIT":"","EXPENSE DESCRIPTION":"","PHONE NUMBER OF BUYER":"2349039519037","AVAILABILITY/DATE SOLD":"04/30/2026","PHONE NUMBER OF SELLER":"2347047512596","RECEIPT &amp; EVIDIENCE LINK":""}</t>
  </si>
  <si>
    <t>0b4e477ad6f44b26829c12f2b70a6716</t>
  </si>
  <si>
    <t>5dec2cc17e63124312ea3e0b6bdae0ffc26c2545775cdca30309490dd7206ee0</t>
  </si>
  <si>
    <t>{"S/N":"420","IMEI":"357463526732960","TIME":"10:03","COLOUR":"Blue","DEVICE":"iPhone","STORAGE":"64GB","Column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DATE":"","RECORD_ID":"0b4e477ad6f44b26829c12f2b70a6716","BATTERY. H":"82","CONDITIONS":"UPPER AND LOWER SPEAKER NOT DETECTABL BY PD+","COST PRICE":"\u20a6200,000.00","DATE BOUGHT":"04/30/2026","DESCRIPTION":"iPhone 12","DEAL LOCATION":"","INTERNAL NOTE":"","NAME OF BUYER":"OPEYEMI STORE","EXPENSE AMOUNT":"","NAME OF SELLER":"PAPPY TECH","PRODUCT STATUS":"SOLD","STATUS OF DEVICE":"UNLOCKED","CALCULATED PROFIT":"","EXPENSE DESCRIPTION":"","PHONE NUMBER OF BUYER":"2347053250105","AVAILABILITY/DATE SOLD":"05/08/2026","PHONE NUMBER OF SELLER":"2349064677372","RECEIPT &amp; EVIDIENCE LINK":""}</t>
  </si>
  <si>
    <t>db73adae06bd42d3b9dc7c043439612f</t>
  </si>
  <si>
    <t>12a4bb056ce4d336df1214b8f05851551001d8308ddd32d63d2d0f58701d3769</t>
  </si>
  <si>
    <t>{"S/N":"421","IMEI":"354029285395035","TIME":"12:44","COLOUR":"BLACK","DEVICE":"IPHONE","STORAGE":"128GB","Column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DATE":"","RECORD_ID":"db73adae06bd42d3b9dc7c043439612f","BATTERY. H":"88%","CONDITIONS":"","COST PRICE":"\u20a6500,000.00","DATE BOUGHT":"04/17/2026","DESCRIPTION":"IPHONE 15","DEAL LOCATION":"","INTERNAL NOTE":"","NAME OF BUYER":"SALVAGE YARD","EXPENSE AMOUNT":"","NAME OF SELLER":"ACTIVE GADGETS","PRODUCT STATUS":"SOLD","STATUS OF DEVICE":"UNLOCKED","CALCULATED PROFIT":"","EXPENSE DESCRIPTION":"","PHONE NUMBER OF BUYER":"2348115308158","AVAILABILITY/DATE SOLD":"05/01/2026","PHONE NUMBER OF SELLER":"2348145310779","RECEIPT &amp; EVIDIENCE LINK":""}</t>
  </si>
  <si>
    <t>5da4180b0b5c4ba98694216cc08aa859</t>
  </si>
  <si>
    <t>2daf4773469aa662f45c1fbf81dbbd441417306b781ab79fcf78686ef02fe58d</t>
  </si>
  <si>
    <t>{"S/N":"422","IMEI":"352142372175541","TIME":"13:33","COLOUR":"ULTRAMARINE BLUE","DEVICE":"IPHONE","STORAGE":"128GB","Column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DATE":"","RECORD_ID":"5da4180b0b5c4ba98694216cc08aa859","BATTERY. H":"90%","CONDITIONS":"8.5/10 NEAT","COST PRICE":"\u20a6730,000.00","DATE BOUGHT":"05/03/2026","DESCRIPTION":"IPHONE 16 P + E","DEAL LOCATION":"CHIKINIE MONIE","INTERNAL NOTE":"","NAME OF BUYER":"KABEX KAYWISE","EXPENSE AMOUNT":"","NAME OF SELLER":"KAYWISE","PRODUCT STATUS":"SOLD","STATUS OF DEVICE":"UNLOCKED","CALCULATED PROFIT":"","EXPENSE DESCRIPTION":"","PHONE NUMBER OF BUYER":"2349167221871","AVAILABILITY/DATE SOLD":"05/07/2026","PHONE NUMBER OF SELLER":"2349032614464","RECEIPT &amp; EVIDIENCE LINK":""}</t>
  </si>
  <si>
    <t>dd3c6b36301e46bfa0d36f9a0ea26fcd</t>
  </si>
  <si>
    <t>9bdc8e68e82a5d50a739201be2d3663d872c730c11da86c303e96c98b8becc1a</t>
  </si>
  <si>
    <t>{"S/N":"423","IMEI":"359814712534123","TIME":"10:05","COLOUR":"DEEP BLUE","DEVICE":"IPHONE","STORAGE":"512GB","Column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DATE":"","RECORD_ID":"dd3c6b36301e46bfa0d36f9a0ea26fcd","BATTERY. H":"100%","CONDITIONS":"LOCKED","COST PRICE":"\u20a61,180,000.00","DATE BOUGHT":"05/04/2026","DESCRIPTION":"IPHONE 17 PRO MAX","DEAL LOCATION":"","INTERNAL NOTE":"","NAME OF BUYER":"ANOINTED WEALTH","EXPENSE AMOUNT":"","NAME OF SELLER":"WIDAD","PRODUCT STATUS":"SOLD","STATUS OF DEVICE":"LOCKED","CALCULATED PROFIT":"","EXPENSE DESCRIPTION":"","PHONE NUMBER OF BUYER":"2348137226383","AVAILABILITY/DATE SOLD":"05/05/2026","PHONE NUMBER OF SELLER":"2347062514545","RECEIPT &amp; EVIDIENCE LINK":""}</t>
  </si>
  <si>
    <t>ed7be9dedd8844bc818f0435bd9215e2</t>
  </si>
  <si>
    <t>2ac85996e332532b6f4b75c32a65674994da7516fab199325295bf97ef532f0f</t>
  </si>
  <si>
    <t>{"S/N":"424","IMEI":"352942563450037","TIME":"10:10","COLOUR":"BLACK","DEVICE":"IPHONE","STORAGE":"128GB","Column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DATE":"","RECORD_ID":"ed7be9dedd8844bc818f0435bd9215e2","BATTERY. H":"96%","CONDITIONS":"ESIM UNLOCKED WITH BOX","COST PRICE":"\u20a6820,000.00","DATE BOUGHT":"05/04/2026","DESCRIPTION":"IPHONE 16 PLUS","DEAL LOCATION":"","INTERNAL NOTE":"","NAME OF BUYER":"","EXPENSE AMOUNT":"","NAME OF SELLER":"KAYWISE","PRODUCT STATUS":"AVAILABLE","STATUS OF DEVICE":"UNLOCKED","CALCULATED PROFIT":"","EXPENSE DESCRIPTION":"","PHONE NUMBER OF BUYER":"","AVAILABILITY/DATE SOLD":"AVAILABLE","PHONE NUMBER OF SELLER":"2349032614464","RECEIPT &amp; EVIDIENCE LINK":""}</t>
  </si>
  <si>
    <t>039de94dd5e9423f80ecf326497b16ba</t>
  </si>
  <si>
    <t>20c068b5bee96b63e9cd0d0cdab62a8e5bfd9abe530823049edf1c9759606015</t>
  </si>
  <si>
    <t>355731672093862/01</t>
  </si>
  <si>
    <t>{"S/N":"422","IMEI":"355731672093862/01","TIME":"08:37","COLOUR":"YELLOW","DEVICE":"SAMSUNG","STORAGE":"12/512GB","Column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DATE":"","RECORD_ID":"039de94dd5e9423f80ecf326497b16ba","BATTERY. H":"PERFECT","CONDITIONS":"WITH BOX","COST PRICE":"\u20a6730,000.00","DATE BOUGHT":"05/04/2026","DESCRIPTION":"SAMSUNG GALAXY S24 ULTRA DUAL PHY &amp; ESIM","DEAL LOCATION":"","INTERNAL NOTE":"","NAME OF BUYER":"","EXPENSE AMOUNT":"","NAME OF SELLER":"KAYWISE","PRODUCT STATUS":"AVAILABLE","STATUS OF DEVICE":"UNLOCKED","CALCULATED PROFIT":"","EXPENSE DESCRIPTION":"","PHONE NUMBER OF BUYER":"","AVAILABILITY/DATE SOLD":"AVAILABLE","PHONE NUMBER OF SELLER":"2349032614464","RECEIPT &amp; EVIDIENCE LINK":""}</t>
  </si>
  <si>
    <t>027140106f5242f9a5b689e7d5546d10</t>
  </si>
  <si>
    <t>f3d5f6fd10457404ee05a04c66b00594bbcbcba55195a46d6e17c54f33585f20</t>
  </si>
  <si>
    <t>{"S/N":"425","IMEI":"355818455602793","TIME":"11:14","COLOUR":"MIDNIGHT","DEVICE":"IPHONE","STORAGE":"256GB","Column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DATE":"","RECORD_ID":"027140106f5242f9a5b689e7d5546d10","BATTERY. H":"87%","CONDITIONS":"","COST PRICE":"\u20a6345,000.00","DATE BOUGHT":"05/05/2026","DESCRIPTION":"IPHONE 13","DEAL LOCATION":"","INTERNAL NOTE":"","NAME OF BUYER":"","EXPENSE AMOUNT":"","NAME OF SELLER":"KABEX","PRODUCT STATUS":"AVAILABLE","STATUS OF DEVICE":"UNLOCKED","CALCULATED PROFIT":"","EXPENSE DESCRIPTION":"","PHONE NUMBER OF BUYER":"2348142735624","AVAILABILITY/DATE SOLD":"PENDING DEAL","PHONE NUMBER OF SELLER":"2349167221871","RECEIPT &amp; EVIDIENCE LINK":""}</t>
  </si>
  <si>
    <t>008fc0743f8543ae839d3f7de3b5cc54</t>
  </si>
  <si>
    <t>799d08f956336a3778fe2f0df15b752fe5b73f4df95c5037c4d71981614f9fb2</t>
  </si>
  <si>
    <t>{"S/N":"","IMEI":"123456789012345","TIME":"","COLOUR":"","DEVICE":"","STORAGE":"","Column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DATE":"","RECORD_ID":"008fc0743f8543ae839d3f7de3b5cc54","BATTERY. H":"","CONDITIONS":"","COST PRICE":"","DATE BOUGHT":"","DESCRIPTION":"TEST DEVICE DEBUG","DEAL LOCATION":"","INTERNAL NOTE":"","NAME OF BUYER":"","EXPENSE AMOUNT":"","NAME OF SELLER":"","PRODUCT STATUS":"AVAILABLE","STATUS OF DEVICE":"","CALCULATED PROFIT":"","EXPENSE DESCRIPTION":"","PHONE NUMBER OF BUYER":"","AVAILABILITY/DATE SOLD":"","PHONE NUMBER OF SELLER":"","RECEIPT &amp; EVIDIENCE LINK":""}</t>
  </si>
  <si>
    <t>1a8388b720194d5d8bc9b0fa4aafb074</t>
  </si>
  <si>
    <t>20a884f46704de830e229e19333ba95ae7ad61100a0bd0007fd83cb14c1078ab</t>
  </si>
  <si>
    <t>{"S/N":"426","IMEI":"350599864034605","TIME":"15:40","COLOUR":"DEEP BLUE","DEVICE":"IPHONE","STORAGE":"256GB","Column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DATE":"","RECORD_ID":"1a8388b720194d5d8bc9b0fa4aafb074","BATTERY. H":"100%","CONDITIONS":"23CC","COST PRICE":"\u20a61,070,000.00","DATE BOUGHT":"05/05/2026","DESCRIPTION":"IPHONE 17 PRO MAX","DEAL LOCATION":"","INTERNAL NOTE":"","NAME OF BUYER":"","EXPENSE AMOUNT":"","NAME OF SELLER":"STARBOX","PRODUCT STATUS":"AVAILABLE","STATUS OF DEVICE":"UNLOCKED","CALCULATED PROFIT":"","EXPENSE DESCRIPTION":"","PHONE NUMBER OF BUYER":"","AVAILABILITY/DATE SOLD":"AVAILABLE","PHONE NUMBER OF SELLER":"2349063620334","RECEIPT &amp; EVIDIENCE LINK":""}</t>
  </si>
  <si>
    <t>1319c118b36e436e8dd6f6c37002614c</t>
  </si>
  <si>
    <t>2f37410e87e18f7f29403e7c0714dd53b3a5b247b20947f98d795104ec4a3457</t>
  </si>
  <si>
    <t>{"S/N":"427","IMEI":"353718462738667","TIME":"16:42","COLOUR":"BLACK","DEVICE":"IPHONE","STORAGE":"128","Column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DATE":"","RECORD_ID":"1319c118b36e436e8dd6f6c37002614c","BATTERY. H":"89","CONDITIONS":"","COST PRICE":"\u20a6750,000.00","DATE BOUGHT":"05/05/2026","DESCRIPTION":"IPHONE 16 P + E","DEAL LOCATION":"","INTERNAL NOTE":"","NAME OF BUYER":"OGRICHIE GADGETS","EXPENSE AMOUNT":"","NAME OF SELLER":"MD GADGS","PRODUCT STATUS":"PENDING DEAL","STATUS OF DEVICE":"UNLOCKED","CALCULATED PROFIT":"","EXPENSE DESCRIPTION":"","PHONE NUMBER OF BUYER":"2348162302777","AVAILABILITY/DATE SOLD":"PENDING DEAL","PHONE NUMBER OF SELLER":"2348166860603","RECEIPT &amp; EVIDIENCE LINK":""}</t>
  </si>
  <si>
    <t>1a7c0367de504ef489ab8fab3ae4ed60</t>
  </si>
  <si>
    <t>897bcde5b50dd51f7030612b071f8778ee4361d7fa81ed94b3f8a527609878a9</t>
  </si>
  <si>
    <t>{"S/N":"428","IMEI":"357254472881814","TIME":"16:46","COLOUR":"DEEP BLUE","DEVICE":"IPHONE","STORAGE":"256","Column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DATE":"","RECORD_ID":"1a7c0367de504ef489ab8fab3ae4ed60","BATTERY. H":"100","CONDITIONS":"NON ACTIVE","COST PRICE":"\u20a61,100,000.00","DATE BOUGHT":"05/05/2026","DESCRIPTION":"BRAND NEW  IPHONE 17 PRO","DEAL LOCATION":"","INTERNAL NOTE":"","NAME OF BUYER":"","EXPENSE AMOUNT":"","NAME OF SELLER":"YUSLORD","PRODUCT STATUS":"AVAILABLE","STATUS OF DEVICE":"LOCKED","CALCULATED PROFIT":"","EXPENSE DESCRIPTION":"","PHONE NUMBER OF BUYER":"","AVAILABILITY/DATE SOLD":"AVAILABLE","PHONE NUMBER OF SELLER":"2348022551794","RECEIPT &amp; EVIDIENCE LINK":""}</t>
  </si>
  <si>
    <t>8e3e742f622a425692062e5d5cd495ff</t>
  </si>
  <si>
    <t>bd3b626dc0328eddb9729c01ce979167dd684ba6bd23e91146ac6c864fc98761</t>
  </si>
  <si>
    <t>{"S/N":"","IMEI":"","TIME":"10:55","COLOUR":"SILVER","DEVICE":"","STORAGE":"","Column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DATE":"","RECORD_ID":"8e3e742f622a425692062e5d5cd495ff","BATTERY. H":"","CONDITIONS":"","COST PRICE":"","DATE BOUGHT":"","DESCRIPTION":"BRAND NEW IPHONE 17 PRO MAX","DEAL LOCATION":"","INTERNAL NOTE":"","NAME OF BUYER":"","EXPENSE AMOUNT":"","NAME OF SELLER":"","PRODUCT STATUS":"AVAILABLE","STATUS OF DEVICE":"","CALCULATED PROFIT":"","EXPENSE DESCRIPTION":"","PHONE NUMBER OF BUYER":"","AVAILABILITY/DATE SOLD":"AVAILABLE","PHONE NUMBER OF SELLER":"","RECEIPT &amp; EVIDIENCE LINK":""}</t>
  </si>
  <si>
    <t>c38c5627d9934f43bb2f45dd4d29eda2</t>
  </si>
  <si>
    <t>5a3c44a0fbc240533ebc96c7b9d92eedf2ef45d528aa51e0acd26efd513717f0</t>
  </si>
  <si>
    <t>{"S/N":"429","IMEI":"355101470374973","TIME":"09:55","COLOUR":"SILVER","DEVICE":"SAMSUNG","STORAGE":"256GB","Column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DATE":"","RECORD_ID":"c38c5627d9934f43bb2f45dd4d29eda2","BATTERY. H":"100","CONDITIONS":"NON ACTIVE","COST PRICE":"\u20a61,230,000.00","DATE BOUGHT":"05/06/2026","DESCRIPTION":"BRAND NEW IPHONE 17 PRO MAX","DEAL LOCATION":"","INTERNAL NOTE":"","NAME OF BUYER":"MD GADGS","EXPENSE AMOUNT":"","NAME OF SELLER":"STAR BUSSY","PRODUCT STATUS":"SOLD","STATUS OF DEVICE":"UNLOCKED","CALCULATED PROFIT":"","EXPENSE DESCRIPTION":"","PHONE NUMBER OF BUYER":"2348166860603","AVAILABILITY/DATE SOLD":"05/07/2026","PHONE NUMBER OF SELLER":"2348127738411","RECEIPT &amp; EVIDIENCE LINK":""}</t>
  </si>
  <si>
    <t>01109ccbd1b44454a0586f271eb95577</t>
  </si>
  <si>
    <t>67e9122c06b46f92e7dc60dbcff8cf4bda4a141386c223317bdbb3ef9191dfe3</t>
  </si>
  <si>
    <t>{"S/N":"430","IMEI":"357183964961505","TIME":"11:42","COLOUR":"Space Black","DEVICE":"iPhone","STORAGE":"128GB","Column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DATE":"","RECORD_ID":"01109ccbd1b44454a0586f271eb95577","BATTERY. H":"75","CONDITIONS":"WITH BOX","COST PRICE":"\u20a6400,000.00","DATE BOUGHT":"05/06/2026","DESCRIPTION":"IPHONE 14 PRO MAX","DEAL LOCATION":"","INTERNAL NOTE":"","NAME OF BUYER":"","EXPENSE AMOUNT":"","NAME OF SELLER":"AFRIKA","PRODUCT STATUS":"AVAILABLE","STATUS OF DEVICE":"UNLOCKED","CALCULATED PROFIT":"","EXPENSE DESCRIPTION":"","PHONE NUMBER OF BUYER":"","AVAILABILITY/DATE SOLD":"AVAILABLE","PHONE NUMBER OF SELLER":"2349032711183","RECEIPT &amp; EVIDIENCE LINK":""}</t>
  </si>
  <si>
    <t>ebe4cb44af46451fb76d18654ea81cdd</t>
  </si>
  <si>
    <t>2f6d476850c18ea55f9edf2704121c4f217fed1861942ac071a6ff9d8ea2ceda</t>
  </si>
  <si>
    <t>{"S/N":"431","IMEI":"","TIME":"15:54","COLOUR":"SILVER","DEVICE":"","STORAGE":"256GB","Column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DATE":"","RECORD_ID":"ebe4cb44af46451fb76d18654ea81cdd","BATTERY. H":"","CONDITIONS":"","COST PRICE":"","DATE BOUGHT":"05/07/2026","DESCRIPTION":"OPEN BOX IPHONE 17 PRO","DEAL LOCATION":"","INTERNAL NOTE":"","NAME OF BUYER":"","EXPENSE AMOUNT":"","NAME OF SELLER":"","PRODUCT STATUS":"AVAILABLE","STATUS OF DEVICE":"UNLOCKED","CALCULATED PROFIT":"","EXPENSE DESCRIPTION":"","PHONE NUMBER OF BUYER":"","AVAILABILITY/DATE SOLD":"AVAILABLE","PHONE NUMBER OF SELLER":"","RECEIPT &amp; EVIDIENCE LINK":""}</t>
  </si>
  <si>
    <t>c9c276f8cf2e4a5ea02044341d342dea</t>
  </si>
  <si>
    <t>9d24b4bcfe50eabf5df9abbf282226d363c51dfc13e07ed8502fa56817879028</t>
  </si>
  <si>
    <t>{"S/N":"432","IMEI":"","TIME":"17:37","COLOUR":"SILVER","DEVICE":"","STORAGE":"256GB","Column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DATE":"","RECORD_ID":"c9c276f8cf2e4a5ea02044341d342dea","BATTERY. H":"","CONDITIONS":"","COST PRICE":"","DATE BOUGHT":"05/07/2026","DESCRIPTION":"OPEN BOX IPHONE 17 PRO","DEAL LOCATION":"","INTERNAL NOTE":"","NAME OF BUYER":"","EXPENSE AMOUNT":"","NAME OF SELLER":"","PRODUCT STATUS":"AVAILABLE","STATUS OF DEVICE":"UNLOCKED","CALCULATED PROFIT":"","EXPENSE DESCRIPTION":"","PHONE NUMBER OF BUYER":"","AVAILABILITY/DATE SOLD":"AVAILABLE","PHONE NUMBER OF SELLER":"","RECEIPT &amp; EVIDIENCE LINK":""}</t>
  </si>
  <si>
    <t>c3b7ea62ba7847cc8be3db34c57df1a7</t>
  </si>
  <si>
    <t>97449ca8f1a5eb4a074b604c5d080ec79a07138b409ab707fb0349c6d3ba110e</t>
  </si>
  <si>
    <t>{"S/N":"433","IMEI":"353407178571469","TIME":"17:39","COLOUR":"SILVER","DEVICE":"IPHONE","STORAGE":"256GB","Column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DATE":"","RECORD_ID":"c3b7ea62ba7847cc8be3db34c57df1a7","BATTERY. H":"100","CONDITIONS":"WITH BOX AND 128 CC","COST PRICE":"\u20a61,520,000.00","DATE BOUGHT":"05/07/2026","DESCRIPTION":"OPEN BOX IPHONE 17 PRO","DEAL LOCATION":"","INTERNAL NOTE":"","NAME OF BUYER":"FAME","EXPENSE AMOUNT":"","NAME OF SELLER":"MD GADGS","PRODUCT STATUS":"PENDING DEAL","STATUS OF DEVICE":"UNLOCKED","CALCULATED PROFIT":"","EXPENSE DESCRIPTION":"","PHONE NUMBER OF BUYER":"2348144970435","AVAILABILITY/DATE SOLD":"PENDING DEAL","PHONE NUMBER OF SELLER":"2348166860603","RECEIPT &amp; EVIDIENCE LINK":""}</t>
  </si>
  <si>
    <t>3463c4418eb7492099d345d12e19eafb</t>
  </si>
  <si>
    <t>0b91f502ff999994ef21c22fe326fe0ef5ea8536f87bd4a18bae70d916bcc7bb</t>
  </si>
  <si>
    <t>{"S/N":"434","IMEI":"351829319886468","TIME":"13:41","COLOUR":"ULTRAMARINE BLUE","DEVICE":"IPHONE","STORAGE":"128GB","Column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DATE":"","RECORD_ID":"3463c4418eb7492099d345d12e19eafb","BATTERY. H":"90%","CONDITIONS":"DID FIX BATTERY FLASH FROM 88 TO 90%","COST PRICE":"\u20a6780,000.00","DATE BOUGHT":"05/08/2026","DESCRIPTION":"IPHONE 16 P + E","DEAL LOCATION":"","INTERNAL NOTE":"","NAME OF BUYER":"TEE BEST GADGET","EXPENSE AMOUNT":"","NAME OF SELLER":"OZ GADGETS","PRODUCT STATUS":"SOLD","STATUS OF DEVICE":"UNLOCKED","CALCULATED PROFIT":"","EXPENSE DESCRIPTION":"","PHONE NUMBER OF BUYER":"2348037624066","AVAILABILITY/DATE SOLD":"05/09/2026","PHONE NUMBER OF SELLER":"2348106293924","RECEIPT &amp; EVIDIENCE LINK":""}</t>
  </si>
  <si>
    <t>f1cadbc6dfcf44dab781ce71af0180de</t>
  </si>
  <si>
    <t>9a6158a47d7b265117e5842a816067dedf8c7222c6cea87e069afcac5b3a50d3</t>
  </si>
  <si>
    <t>{"S/N":"435","IMEI":"351935560787485","TIME":"12:53","COLOUR":"BLACK","DEVICE":"IPHONE","STORAGE":"128GB","Column 17":"","Column 24":"","Column 25":"","Column 26":"","Column 27":"","Column 28":"","Column 29":"","Column 30":"","Column 31":"","Column 36":"","Column 37":"","Column 38":"","Column 39":"","Column 40":"","Column 41":"","Column 42":"","Column 43":"","Column 44":"","Column 45":"","Column 46":"","Column 47":"","PAID DATE":"","RECORD_ID":"f1cadbc6dfcf44dab781ce71af0180de","BATTERY. H":"92%","CONDITIONS":"WITH BOX 9/10","COST PRICE":"\u20a6700,000.00","DATE BOUGHT":"05/09/2026","DESCRIPTION":"OPENED BOX IPHONE 16","DEAL LOCATION":"","INTERNAL NOTE":"","NAME OF BUYER":"","EXPENSE AMOUNT":"","NAME OF SELLER":"OZ GADGETS","PRODUCT STATUS":"AVAILABLE","STATUS OF DEVICE":"UNLOCKED","CALCULATED PROFIT":"","EXPENSE DESCRIPTION":"","PHONE NUMBER OF BUYER":"","AVAILABILITY/DATE SOLD":"AVAILABLE","PHONE NUMBER OF SELLER":"2348106293924","RECEIPT &amp; EVIDIENCE LINK":""}</t>
  </si>
  <si>
    <t>id</t>
  </si>
  <si>
    <t>amount</t>
  </si>
  <si>
    <t>description</t>
  </si>
  <si>
    <t>expense_date</t>
  </si>
  <si>
    <t>is_reversed</t>
  </si>
  <si>
    <t>reversed_at</t>
  </si>
  <si>
    <t>week_start</t>
  </si>
  <si>
    <t>allowance_amount</t>
  </si>
  <si>
    <t>withdrawn_status</t>
  </si>
  <si>
    <t>withdrawn_date</t>
  </si>
  <si>
    <t>withdrawn_by</t>
  </si>
  <si>
    <t>period_key</t>
  </si>
  <si>
    <t>period_type</t>
  </si>
  <si>
    <t>period_start</t>
  </si>
  <si>
    <t>period_end</t>
  </si>
  <si>
    <t>profit_seen</t>
  </si>
  <si>
    <t>expenses_total</t>
  </si>
  <si>
    <t>net_profit</t>
  </si>
  <si>
    <t>profit_left</t>
  </si>
  <si>
    <t>generated_at</t>
  </si>
  <si>
    <t>4504f2dd-13e5-4cba-ba3b-9aa10464e8b1</t>
  </si>
  <si>
    <t>month:2026-05-01:2026-05-31</t>
  </si>
  <si>
    <t>month</t>
  </si>
  <si>
    <t>2026-05-11T17:29:40.181783+01:00</t>
  </si>
  <si>
    <t>f1a2150e-06da-4251-ab53-b383493b8c49</t>
  </si>
  <si>
    <t>week:2026-05-09:2026-05-15</t>
  </si>
  <si>
    <t>week</t>
  </si>
  <si>
    <t>2026-05-11T17:29:40.176367+01:00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</si>
</sst>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₦]#,##0.00"/>
    <numFmt numFmtId="165" formatCode="m/d/yyyy"/>
    <numFmt numFmtId="166" formatCode="h:mm am/pm"/>
    <numFmt numFmtId="167" formatCode="mm/dd/yyyy"/>
    <numFmt numFmtId="168" formatCode="yyyy-mm-dd"/>
    <numFmt numFmtId="169" formatCode="yyyy-mm-dd h:mm:ss"/>
  </numFmts>
  <fonts count="10">
    <font>
      <sz val="10.0"/>
      <color rgb="FF000000"/>
      <name val="Arial"/>
      <scheme val="minor"/>
    </font>
    <font>
      <b/>
      <color rgb="FF000000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  <font>
      <b/>
      <sz val="11.0"/>
      <color rgb="FF000000"/>
      <name val="Arial"/>
      <scheme val="minor"/>
    </font>
    <font>
      <b/>
      <sz val="10.0"/>
      <color rgb="FF000000"/>
      <name val="Arial"/>
      <scheme val="minor"/>
    </font>
    <font>
      <b/>
      <sz val="10.0"/>
      <color theme="1"/>
      <name val="Arial"/>
      <scheme val="minor"/>
    </font>
    <font>
      <b/>
      <color theme="1"/>
      <name val="Arial"/>
      <scheme val="minor"/>
    </font>
    <font>
      <b/>
      <sz val="12.0"/>
      <color rgb="FF383838"/>
      <name val="Source_sans_proregular"/>
    </font>
    <font>
      <color rgb="FF000000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theme="8"/>
        <bgColor theme="8"/>
      </patternFill>
    </fill>
    <fill>
      <patternFill patternType="solid">
        <fgColor rgb="FFFF9900"/>
        <bgColor rgb="FFFF9900"/>
      </patternFill>
    </fill>
    <fill>
      <patternFill patternType="solid">
        <fgColor rgb="FF356854"/>
        <bgColor rgb="FF356854"/>
      </patternFill>
    </fill>
    <fill>
      <patternFill patternType="solid">
        <fgColor rgb="FFF4CCCC"/>
        <bgColor rgb="FFF4CCCC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FFE599"/>
        <bgColor rgb="FFFFE599"/>
      </patternFill>
    </fill>
    <fill>
      <patternFill patternType="solid">
        <fgColor theme="5"/>
        <bgColor theme="5"/>
      </patternFill>
    </fill>
    <fill>
      <patternFill patternType="solid">
        <fgColor rgb="FFFFF2CC"/>
        <bgColor rgb="FFFFF2CC"/>
      </patternFill>
    </fill>
    <fill>
      <patternFill patternType="solid">
        <fgColor theme="7"/>
        <bgColor theme="7"/>
      </patternFill>
    </fill>
    <fill>
      <patternFill patternType="solid">
        <fgColor theme="6"/>
        <bgColor theme="6"/>
      </patternFill>
    </fill>
    <fill>
      <patternFill patternType="solid">
        <fgColor theme="1"/>
        <bgColor theme="1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readingOrder="0" shrinkToFit="0" vertical="center" wrapText="1"/>
    </xf>
    <xf borderId="1" fillId="4" fontId="1" numFmtId="0" xfId="0" applyAlignment="1" applyBorder="1" applyFill="1" applyFont="1">
      <alignment horizontal="center" readingOrder="0" shrinkToFit="0" vertical="center" wrapText="1"/>
    </xf>
    <xf borderId="1" fillId="4" fontId="1" numFmtId="49" xfId="0" applyAlignment="1" applyBorder="1" applyFont="1" applyNumberFormat="1">
      <alignment horizontal="center" readingOrder="0" shrinkToFit="0" vertical="center" wrapText="1"/>
    </xf>
    <xf borderId="1" fillId="4" fontId="1" numFmtId="164" xfId="0" applyAlignment="1" applyBorder="1" applyFont="1" applyNumberForma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1" fillId="2" fontId="1" numFmtId="3" xfId="0" applyAlignment="1" applyBorder="1" applyFont="1" applyNumberFormat="1">
      <alignment horizontal="center" readingOrder="0" shrinkToFit="0" vertical="center" wrapText="0"/>
    </xf>
    <xf borderId="1" fillId="3" fontId="1" numFmtId="0" xfId="0" applyAlignment="1" applyBorder="1" applyFont="1">
      <alignment horizontal="center" readingOrder="0" shrinkToFit="0" vertical="center" wrapText="0"/>
    </xf>
    <xf borderId="1" fillId="5" fontId="1" numFmtId="14" xfId="0" applyAlignment="1" applyBorder="1" applyFill="1" applyFont="1" applyNumberFormat="1">
      <alignment horizontal="center" readingOrder="0" shrinkToFit="0" vertical="center" wrapText="0"/>
    </xf>
    <xf borderId="1" fillId="6" fontId="1" numFmtId="0" xfId="0" applyAlignment="1" applyBorder="1" applyFill="1" applyFont="1">
      <alignment horizontal="center" readingOrder="0" shrinkToFit="0" vertical="center" wrapText="0"/>
    </xf>
    <xf borderId="1" fillId="7" fontId="1" numFmtId="0" xfId="0" applyAlignment="1" applyBorder="1" applyFill="1" applyFont="1">
      <alignment horizontal="center" readingOrder="0" shrinkToFit="0" vertical="center" wrapText="0"/>
    </xf>
    <xf borderId="1" fillId="8" fontId="1" numFmtId="49" xfId="0" applyAlignment="1" applyBorder="1" applyFill="1" applyFont="1" applyNumberFormat="1">
      <alignment horizontal="center" readingOrder="0" shrinkToFit="0" vertical="center" wrapText="0"/>
    </xf>
    <xf borderId="1" fillId="6" fontId="1" numFmtId="49" xfId="0" applyAlignment="1" applyBorder="1" applyFont="1" applyNumberFormat="1">
      <alignment horizontal="center" readingOrder="0" shrinkToFit="0" vertical="center" wrapText="0"/>
    </xf>
    <xf borderId="1" fillId="6" fontId="1" numFmtId="164" xfId="0" applyAlignment="1" applyBorder="1" applyFont="1" applyNumberFormat="1">
      <alignment horizontal="center" readingOrder="0" shrinkToFit="0" vertical="center" wrapText="0"/>
    </xf>
    <xf borderId="1" fillId="8" fontId="1" numFmtId="164" xfId="0" applyAlignment="1" applyBorder="1" applyFont="1" applyNumberFormat="1">
      <alignment horizontal="center" readingOrder="0" shrinkToFit="0" vertical="center" wrapText="0"/>
    </xf>
    <xf borderId="1" fillId="9" fontId="1" numFmtId="0" xfId="0" applyAlignment="1" applyBorder="1" applyFill="1" applyFont="1">
      <alignment horizontal="center" readingOrder="0" shrinkToFit="0" vertical="center" wrapText="0"/>
    </xf>
    <xf borderId="1" fillId="10" fontId="1" numFmtId="0" xfId="0" applyAlignment="1" applyBorder="1" applyFill="1" applyFont="1">
      <alignment horizontal="center" shrinkToFit="0" vertical="center" wrapText="0"/>
    </xf>
    <xf borderId="0" fillId="0" fontId="3" numFmtId="0" xfId="0" applyAlignment="1" applyFont="1">
      <alignment readingOrder="0"/>
    </xf>
    <xf borderId="0" fillId="0" fontId="3" numFmtId="0" xfId="0" applyFont="1"/>
    <xf borderId="1" fillId="6" fontId="1" numFmtId="164" xfId="0" applyAlignment="1" applyBorder="1" applyFont="1" applyNumberFormat="1">
      <alignment horizontal="right" readingOrder="0" shrinkToFit="0" vertical="center" wrapText="0"/>
    </xf>
    <xf borderId="1" fillId="11" fontId="1" numFmtId="0" xfId="0" applyAlignment="1" applyBorder="1" applyFill="1" applyFont="1">
      <alignment horizontal="center" readingOrder="0" shrinkToFit="0" vertical="center" wrapText="0"/>
    </xf>
    <xf borderId="1" fillId="12" fontId="1" numFmtId="0" xfId="0" applyAlignment="1" applyBorder="1" applyFill="1" applyFont="1">
      <alignment horizontal="center" readingOrder="0" shrinkToFit="0" vertical="center" wrapText="0"/>
    </xf>
    <xf borderId="0" fillId="3" fontId="1" numFmtId="0" xfId="0" applyAlignment="1" applyFont="1">
      <alignment horizontal="center" shrinkToFit="0" vertical="center" wrapText="0"/>
    </xf>
    <xf borderId="0" fillId="6" fontId="1" numFmtId="0" xfId="0" applyAlignment="1" applyFont="1">
      <alignment horizontal="center" readingOrder="0" shrinkToFit="0" vertical="center" wrapText="0"/>
    </xf>
    <xf borderId="0" fillId="7" fontId="1" numFmtId="0" xfId="0" applyAlignment="1" applyFont="1">
      <alignment horizontal="center" readingOrder="0" shrinkToFit="0" vertical="center" wrapText="0"/>
    </xf>
    <xf borderId="0" fillId="8" fontId="1" numFmtId="49" xfId="0" applyAlignment="1" applyFont="1" applyNumberFormat="1">
      <alignment horizontal="center" shrinkToFit="0" vertical="center" wrapText="0"/>
    </xf>
    <xf borderId="0" fillId="6" fontId="1" numFmtId="49" xfId="0" applyAlignment="1" applyFont="1" applyNumberFormat="1">
      <alignment horizontal="center" readingOrder="0" shrinkToFit="0" vertical="center" wrapText="0"/>
    </xf>
    <xf borderId="0" fillId="6" fontId="1" numFmtId="164" xfId="0" applyAlignment="1" applyFont="1" applyNumberFormat="1">
      <alignment horizontal="center" readingOrder="0" shrinkToFit="0" vertical="center" wrapText="0"/>
    </xf>
    <xf borderId="0" fillId="8" fontId="1" numFmtId="164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1" fillId="10" fontId="1" numFmtId="0" xfId="0" applyAlignment="1" applyBorder="1" applyFont="1">
      <alignment horizontal="center" readingOrder="0" shrinkToFit="0" vertical="center" wrapText="0"/>
    </xf>
    <xf borderId="1" fillId="8" fontId="4" numFmtId="164" xfId="0" applyAlignment="1" applyBorder="1" applyFont="1" applyNumberFormat="1">
      <alignment horizontal="center" readingOrder="0" shrinkToFit="0" vertical="center" wrapText="0"/>
    </xf>
    <xf borderId="1" fillId="9" fontId="4" numFmtId="0" xfId="0" applyAlignment="1" applyBorder="1" applyFont="1">
      <alignment horizontal="center" readingOrder="0" shrinkToFit="0" vertical="center" wrapText="0"/>
    </xf>
    <xf borderId="1" fillId="8" fontId="5" numFmtId="49" xfId="0" applyAlignment="1" applyBorder="1" applyFont="1" applyNumberFormat="1">
      <alignment horizontal="center" readingOrder="0" shrinkToFit="0" vertical="center" wrapText="0"/>
    </xf>
    <xf borderId="1" fillId="5" fontId="1" numFmtId="0" xfId="0" applyAlignment="1" applyBorder="1" applyFont="1">
      <alignment horizontal="center" readingOrder="0" shrinkToFit="0" vertical="center" wrapText="0"/>
    </xf>
    <xf borderId="1" fillId="3" fontId="1" numFmtId="0" xfId="0" applyAlignment="1" applyBorder="1" applyFont="1">
      <alignment horizontal="center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8" fontId="1" numFmtId="164" xfId="0" applyAlignment="1" applyBorder="1" applyFont="1" applyNumberFormat="1">
      <alignment horizontal="center" shrinkToFit="0" vertical="center" wrapText="0"/>
    </xf>
    <xf borderId="1" fillId="5" fontId="1" numFmtId="165" xfId="0" applyAlignment="1" applyBorder="1" applyFont="1" applyNumberFormat="1">
      <alignment horizontal="center" readingOrder="0" shrinkToFit="0" vertical="center" wrapText="0"/>
    </xf>
    <xf borderId="1" fillId="11" fontId="1" numFmtId="164" xfId="0" applyAlignment="1" applyBorder="1" applyFont="1" applyNumberFormat="1">
      <alignment horizontal="center" readingOrder="0" shrinkToFit="0" vertical="center" wrapText="0"/>
    </xf>
    <xf borderId="1" fillId="13" fontId="1" numFmtId="0" xfId="0" applyAlignment="1" applyBorder="1" applyFill="1" applyFont="1">
      <alignment horizontal="center" readingOrder="0" shrinkToFit="0" vertical="center" wrapText="0"/>
    </xf>
    <xf borderId="0" fillId="8" fontId="5" numFmtId="49" xfId="0" applyAlignment="1" applyFont="1" applyNumberFormat="1">
      <alignment horizontal="center" readingOrder="0" shrinkToFit="0" vertical="center" wrapText="0"/>
    </xf>
    <xf borderId="1" fillId="8" fontId="1" numFmtId="49" xfId="0" applyAlignment="1" applyBorder="1" applyFont="1" applyNumberFormat="1">
      <alignment horizontal="center" shrinkToFit="0" vertical="center" wrapText="0"/>
    </xf>
    <xf borderId="1" fillId="0" fontId="4" numFmtId="0" xfId="0" applyAlignment="1" applyBorder="1" applyFont="1">
      <alignment horizontal="center" readingOrder="0" shrinkToFit="0" vertical="center" wrapText="0"/>
    </xf>
    <xf borderId="1" fillId="6" fontId="4" numFmtId="0" xfId="0" applyAlignment="1" applyBorder="1" applyFont="1">
      <alignment horizontal="center" readingOrder="0" shrinkToFit="0" vertical="center" wrapText="0"/>
    </xf>
    <xf borderId="1" fillId="7" fontId="4" numFmtId="0" xfId="0" applyAlignment="1" applyBorder="1" applyFont="1">
      <alignment horizontal="center" readingOrder="0" shrinkToFit="0" vertical="center" wrapText="0"/>
    </xf>
    <xf borderId="1" fillId="6" fontId="4" numFmtId="49" xfId="0" applyAlignment="1" applyBorder="1" applyFont="1" applyNumberFormat="1">
      <alignment horizontal="center" readingOrder="0" shrinkToFit="0" vertical="center" wrapText="0"/>
    </xf>
    <xf borderId="1" fillId="6" fontId="4" numFmtId="164" xfId="0" applyAlignment="1" applyBorder="1" applyFont="1" applyNumberFormat="1">
      <alignment horizontal="center" readingOrder="0" shrinkToFit="0" vertical="center" wrapText="0"/>
    </xf>
    <xf borderId="1" fillId="2" fontId="1" numFmtId="3" xfId="0" applyAlignment="1" applyBorder="1" applyFont="1" applyNumberFormat="1">
      <alignment horizontal="center" shrinkToFit="0" vertical="center" wrapText="0"/>
    </xf>
    <xf borderId="1" fillId="8" fontId="4" numFmtId="164" xfId="0" applyAlignment="1" applyBorder="1" applyFont="1" applyNumberFormat="1">
      <alignment horizontal="center" readingOrder="0" shrinkToFit="0" vertical="center" wrapText="0"/>
    </xf>
    <xf borderId="1" fillId="5" fontId="4" numFmtId="0" xfId="0" applyAlignment="1" applyBorder="1" applyFont="1">
      <alignment horizontal="center" readingOrder="0" shrinkToFit="0" vertical="center" wrapText="0"/>
    </xf>
    <xf borderId="1" fillId="8" fontId="4" numFmtId="49" xfId="0" applyAlignment="1" applyBorder="1" applyFont="1" applyNumberFormat="1">
      <alignment horizontal="center" readingOrder="0" shrinkToFit="0" vertical="center" wrapText="0"/>
    </xf>
    <xf borderId="1" fillId="6" fontId="1" numFmtId="49" xfId="0" applyAlignment="1" applyBorder="1" applyFont="1" applyNumberFormat="1">
      <alignment horizontal="center" shrinkToFit="0" vertical="center" wrapText="0"/>
    </xf>
    <xf borderId="1" fillId="6" fontId="1" numFmtId="164" xfId="0" applyAlignment="1" applyBorder="1" applyFont="1" applyNumberFormat="1">
      <alignment horizontal="center" shrinkToFit="0" vertical="center" wrapText="0"/>
    </xf>
    <xf borderId="0" fillId="8" fontId="6" numFmtId="49" xfId="0" applyAlignment="1" applyFont="1" applyNumberFormat="1">
      <alignment horizontal="center" readingOrder="0" shrinkToFit="0" vertical="center" wrapText="0"/>
    </xf>
    <xf borderId="1" fillId="3" fontId="1" numFmtId="14" xfId="0" applyAlignment="1" applyBorder="1" applyFont="1" applyNumberFormat="1">
      <alignment horizontal="center" readingOrder="0" shrinkToFit="0" vertical="center" wrapText="0"/>
    </xf>
    <xf borderId="1" fillId="8" fontId="6" numFmtId="49" xfId="0" applyAlignment="1" applyBorder="1" applyFont="1" applyNumberFormat="1">
      <alignment horizontal="center" readingOrder="0" shrinkToFit="0" vertical="center" wrapText="0"/>
    </xf>
    <xf borderId="0" fillId="6" fontId="7" numFmtId="0" xfId="0" applyAlignment="1" applyFont="1">
      <alignment horizontal="center" readingOrder="0" shrinkToFit="0" vertical="center" wrapText="0"/>
    </xf>
    <xf borderId="0" fillId="8" fontId="8" numFmtId="49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10" fontId="1" numFmtId="19" xfId="0" applyAlignment="1" applyBorder="1" applyFont="1" applyNumberFormat="1">
      <alignment horizontal="center" readingOrder="0" shrinkToFit="0" vertical="center" wrapText="0"/>
    </xf>
    <xf borderId="1" fillId="3" fontId="1" numFmtId="166" xfId="0" applyAlignment="1" applyBorder="1" applyFont="1" applyNumberFormat="1">
      <alignment horizontal="center" readingOrder="0" shrinkToFit="0" vertical="center" wrapText="0"/>
    </xf>
    <xf borderId="1" fillId="10" fontId="1" numFmtId="166" xfId="0" applyAlignment="1" applyBorder="1" applyFont="1" applyNumberFormat="1">
      <alignment horizontal="center" readingOrder="0" shrinkToFit="0" vertical="center" wrapText="0"/>
    </xf>
    <xf borderId="1" fillId="3" fontId="1" numFmtId="19" xfId="0" applyAlignment="1" applyBorder="1" applyFont="1" applyNumberFormat="1">
      <alignment horizontal="center" readingOrder="0" shrinkToFit="0" vertical="center" wrapText="0"/>
    </xf>
    <xf borderId="1" fillId="10" fontId="1" numFmtId="14" xfId="0" applyAlignment="1" applyBorder="1" applyFont="1" applyNumberFormat="1">
      <alignment horizontal="center" readingOrder="0" shrinkToFit="0" vertical="center" wrapText="0"/>
    </xf>
    <xf borderId="0" fillId="10" fontId="6" numFmtId="49" xfId="0" applyAlignment="1" applyFont="1" applyNumberFormat="1">
      <alignment horizontal="center" readingOrder="0" shrinkToFit="0" vertical="center" wrapText="0"/>
    </xf>
    <xf borderId="0" fillId="7" fontId="6" numFmtId="49" xfId="0" applyAlignment="1" applyFont="1" applyNumberFormat="1">
      <alignment horizontal="center" readingOrder="0" shrinkToFit="0" vertical="center" wrapText="0"/>
    </xf>
    <xf borderId="1" fillId="5" fontId="4" numFmtId="14" xfId="0" applyAlignment="1" applyBorder="1" applyFont="1" applyNumberFormat="1">
      <alignment horizontal="center" readingOrder="0" shrinkToFit="0" vertical="center" wrapText="0"/>
    </xf>
    <xf borderId="0" fillId="6" fontId="6" numFmtId="49" xfId="0" applyAlignment="1" applyFont="1" applyNumberFormat="1">
      <alignment horizontal="center" readingOrder="0" shrinkToFit="0" vertical="center" wrapText="0"/>
    </xf>
    <xf borderId="1" fillId="6" fontId="9" numFmtId="49" xfId="0" applyAlignment="1" applyBorder="1" applyFont="1" applyNumberFormat="1">
      <alignment horizontal="center" readingOrder="0" shrinkToFit="0" vertical="center" wrapText="0"/>
    </xf>
    <xf borderId="1" fillId="5" fontId="1" numFmtId="167" xfId="0" applyAlignment="1" applyBorder="1" applyFont="1" applyNumberFormat="1">
      <alignment horizontal="center" readingOrder="0" shrinkToFit="0" vertical="center" wrapText="0"/>
    </xf>
    <xf borderId="1" fillId="3" fontId="1" numFmtId="20" xfId="0" applyAlignment="1" applyBorder="1" applyFont="1" applyNumberFormat="1">
      <alignment horizontal="center"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1" fillId="5" fontId="1" numFmtId="0" xfId="0" applyAlignment="1" applyBorder="1" applyFont="1">
      <alignment horizontal="center" shrinkToFit="0" vertical="center" wrapText="0"/>
    </xf>
    <xf borderId="1" fillId="7" fontId="1" numFmtId="0" xfId="0" applyAlignment="1" applyBorder="1" applyFont="1">
      <alignment horizontal="center" shrinkToFit="0" vertical="center" wrapText="0"/>
    </xf>
    <xf borderId="0" fillId="2" fontId="7" numFmtId="0" xfId="0" applyAlignment="1" applyFont="1">
      <alignment horizontal="center" vertical="center"/>
    </xf>
    <xf borderId="0" fillId="3" fontId="7" numFmtId="20" xfId="0" applyAlignment="1" applyFont="1" applyNumberFormat="1">
      <alignment horizontal="center" readingOrder="0" vertical="center"/>
    </xf>
    <xf borderId="0" fillId="5" fontId="7" numFmtId="167" xfId="0" applyAlignment="1" applyFont="1" applyNumberFormat="1">
      <alignment horizontal="center" readingOrder="0" vertical="center"/>
    </xf>
    <xf borderId="0" fillId="6" fontId="7" numFmtId="0" xfId="0" applyAlignment="1" applyFont="1">
      <alignment horizontal="center" readingOrder="0" vertical="center"/>
    </xf>
    <xf borderId="0" fillId="7" fontId="7" numFmtId="0" xfId="0" applyAlignment="1" applyFont="1">
      <alignment horizontal="center" readingOrder="0" vertical="center"/>
    </xf>
    <xf borderId="0" fillId="8" fontId="1" numFmtId="49" xfId="0" applyAlignment="1" applyFont="1" applyNumberFormat="1">
      <alignment horizontal="center" vertical="center"/>
    </xf>
    <xf borderId="0" fillId="6" fontId="7" numFmtId="164" xfId="0" applyAlignment="1" applyFont="1" applyNumberFormat="1">
      <alignment horizontal="center" readingOrder="0" vertical="center"/>
    </xf>
    <xf borderId="0" fillId="8" fontId="7" numFmtId="164" xfId="0" applyAlignment="1" applyFont="1" applyNumberFormat="1">
      <alignment horizontal="center" readingOrder="0" vertical="center"/>
    </xf>
    <xf borderId="0" fillId="1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center" readingOrder="0" vertical="center"/>
    </xf>
    <xf borderId="0" fillId="8" fontId="7" numFmtId="0" xfId="0" applyAlignment="1" applyFont="1">
      <alignment horizontal="center" vertical="center"/>
    </xf>
    <xf borderId="0" fillId="6" fontId="7" numFmtId="164" xfId="0" applyAlignment="1" applyFont="1" applyNumberFormat="1">
      <alignment horizontal="center" readingOrder="0" vertical="center"/>
    </xf>
    <xf borderId="0" fillId="3" fontId="7" numFmtId="19" xfId="0" applyAlignment="1" applyFont="1" applyNumberFormat="1">
      <alignment horizontal="center" readingOrder="0" vertical="center"/>
    </xf>
    <xf borderId="0" fillId="5" fontId="7" numFmtId="14" xfId="0" applyAlignment="1" applyFont="1" applyNumberFormat="1">
      <alignment horizontal="center" readingOrder="0" vertical="center"/>
    </xf>
    <xf borderId="0" fillId="3" fontId="7" numFmtId="0" xfId="0" applyAlignment="1" applyFont="1">
      <alignment horizontal="center" vertical="center"/>
    </xf>
    <xf borderId="0" fillId="5" fontId="7" numFmtId="0" xfId="0" applyAlignment="1" applyFont="1">
      <alignment horizontal="center" vertical="center"/>
    </xf>
    <xf borderId="0" fillId="8" fontId="7" numFmtId="0" xfId="0" applyAlignment="1" applyFont="1">
      <alignment horizontal="center" readingOrder="0" vertical="center"/>
    </xf>
    <xf borderId="0" fillId="6" fontId="7" numFmtId="0" xfId="0" applyAlignment="1" applyFont="1">
      <alignment horizontal="center" vertical="center"/>
    </xf>
    <xf borderId="0" fillId="7" fontId="7" numFmtId="0" xfId="0" applyAlignment="1" applyFont="1">
      <alignment horizontal="center" vertical="center"/>
    </xf>
    <xf borderId="0" fillId="8" fontId="7" numFmtId="164" xfId="0" applyAlignment="1" applyFont="1" applyNumberFormat="1">
      <alignment horizontal="center" vertical="center"/>
    </xf>
    <xf borderId="0" fillId="6" fontId="7" numFmtId="164" xfId="0" applyAlignment="1" applyFont="1" applyNumberFormat="1">
      <alignment horizontal="center" vertical="center"/>
    </xf>
    <xf borderId="0" fillId="11" fontId="7" numFmtId="0" xfId="0" applyAlignment="1" applyFont="1">
      <alignment horizontal="center" readingOrder="0" vertical="center"/>
    </xf>
    <xf borderId="0" fillId="9" fontId="7" numFmtId="0" xfId="0" applyAlignment="1" applyFont="1">
      <alignment horizontal="center" readingOrder="0" vertical="center"/>
    </xf>
    <xf borderId="0" fillId="0" fontId="2" numFmtId="168" xfId="0" applyAlignment="1" applyFont="1" applyNumberFormat="1">
      <alignment readingOrder="0"/>
    </xf>
    <xf borderId="0" fillId="0" fontId="2" numFmtId="169" xfId="0" applyAlignment="1" applyFont="1" applyNumberFormat="1">
      <alignment readingOrder="0"/>
    </xf>
    <xf borderId="0" fillId="8" fontId="6" numFmtId="49" xfId="0" applyAlignment="1" applyFont="1" applyNumberFormat="1">
      <alignment horizontal="center" readingOrder="0"/>
    </xf>
    <xf quotePrefix="1"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2" numFmtId="168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7" xfId="0" applyAlignment="1" applyFont="1" applyNumberFormat="1">
      <alignment readingOrder="0"/>
    </xf>
  </cellXfs>
  <cellStyles count="1">
    <cellStyle xfId="0" name="Normal" builtinId="0"/>
  </cellStyles>
  <dxfs count="12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FBBC04"/>
          <bgColor rgb="FFFBBC04"/>
        </patternFill>
      </fill>
      <border/>
    </dxf>
    <dxf>
      <font>
        <color rgb="FF000000"/>
      </font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FF6D01"/>
          <bgColor rgb="FFFF6D01"/>
        </patternFill>
      </fill>
      <border/>
    </dxf>
    <dxf>
      <font/>
      <fill>
        <patternFill patternType="solid">
          <fgColor theme="8"/>
          <bgColor theme="8"/>
        </patternFill>
      </fill>
      <border/>
    </dxf>
  </dxfs>
  <tableStyles count="2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SH FLOW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1006" displayName="Table1" name="Table1" id="1">
  <tableColumns count="11">
    <tableColumn name="in" id="1"/>
    <tableColumn name="TIME" id="2"/>
    <tableColumn name="DATE" id="3"/>
    <tableColumn name="NAME" id="4"/>
    <tableColumn name="DESCRIPTION" id="5"/>
    <tableColumn name="IMEI" id="6"/>
    <tableColumn name="PHONE NUMBER" id="7"/>
    <tableColumn name="PRICE" id="8"/>
    <tableColumn name="Amount paid" id="9"/>
    <tableColumn name="STATUS" id="10"/>
    <tableColumn name="IMEI FOR SWAPPED DEAL" id="11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1:AI27" displayName="Table2" name="Table2" id="2">
  <tableColumns count="35">
    <tableColumn name="DATE" id="1"/>
    <tableColumn name="CATEGORY" id="2"/>
    <tableColumn name="AMOUNT" id="3"/>
    <tableColumn name="DESCRIPTION" id="4"/>
    <tableColumn name="CREATED BY" id="5"/>
    <tableColumn name="SOURCE" id="6"/>
    <tableColumn name="PAYMENT_STATUS" id="7"/>
    <tableColumn name="TYPE" id="8"/>
    <tableColumn name="COST_PRICE" id="9"/>
    <tableColumn name="PAYMENT_DATE" id="10"/>
    <tableColumn name="Column 11" id="11"/>
    <tableColumn name="Column 12" id="12"/>
    <tableColumn name="Column 13" id="13"/>
    <tableColumn name="Column 14" id="14"/>
    <tableColumn name="Column 15" id="15"/>
    <tableColumn name="Column 16" id="16"/>
    <tableColumn name="Column 17" id="17"/>
    <tableColumn name="Column 18" id="18"/>
    <tableColumn name="Column 19" id="19"/>
    <tableColumn name="Column 20" id="20"/>
    <tableColumn name="Column 21" id="21"/>
    <tableColumn name="Column 22" id="22"/>
    <tableColumn name="Column 23" id="23"/>
    <tableColumn name="Column 24" id="24"/>
    <tableColumn name="Column 25" id="25"/>
    <tableColumn name="Column 26" id="26"/>
    <tableColumn name="Column 27" id="27"/>
    <tableColumn name="Column 28" id="28"/>
    <tableColumn name="Column 29" id="29"/>
    <tableColumn name="Column 30" id="30"/>
    <tableColumn name="Column 31" id="31"/>
    <tableColumn name="Column 32" id="32"/>
    <tableColumn name="Column 33" id="33"/>
    <tableColumn name="Column 34" id="34"/>
    <tableColumn name="Column 35" id="35"/>
  </tableColumns>
  <tableStyleInfo name="CASH FLOW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13"/>
    <col customWidth="1" min="2" max="2" width="16.25"/>
    <col customWidth="1" min="3" max="3" width="28.75"/>
    <col customWidth="1" min="4" max="4" width="38.63"/>
    <col customWidth="1" min="5" max="5" width="82.25"/>
    <col customWidth="1" min="6" max="6" width="31.38"/>
    <col customWidth="1" min="7" max="7" width="22.63"/>
    <col customWidth="1" min="8" max="8" width="25.75"/>
    <col customWidth="1" min="9" max="9" width="22.63"/>
    <col customWidth="1" min="10" max="10" width="53.25"/>
    <col customWidth="1" min="11" max="11" width="40.75"/>
    <col customWidth="1" min="12" max="12" width="78.5"/>
    <col customWidth="1" min="13" max="13" width="39.5"/>
    <col customWidth="1" min="14" max="18" width="79.0"/>
  </cols>
  <sheetData>
    <row r="1" ht="22.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5" t="s">
        <v>8</v>
      </c>
      <c r="J1" s="3" t="s">
        <v>9</v>
      </c>
      <c r="K1" s="3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</row>
    <row r="2" ht="22.5" customHeight="1">
      <c r="A2" s="7">
        <v>1.0</v>
      </c>
      <c r="B2" s="8">
        <v>1.0</v>
      </c>
      <c r="C2" s="9">
        <v>46070.0</v>
      </c>
      <c r="D2" s="10" t="s">
        <v>18</v>
      </c>
      <c r="E2" s="11" t="s">
        <v>19</v>
      </c>
      <c r="F2" s="12"/>
      <c r="G2" s="13" t="s">
        <v>20</v>
      </c>
      <c r="H2" s="14">
        <v>2500.0</v>
      </c>
      <c r="I2" s="15">
        <v>2500.0</v>
      </c>
      <c r="J2" s="16" t="s">
        <v>21</v>
      </c>
      <c r="K2" s="17"/>
      <c r="L2" s="18" t="s">
        <v>22</v>
      </c>
      <c r="M2" s="18"/>
      <c r="N2" s="18"/>
      <c r="O2" s="18"/>
      <c r="P2" s="18"/>
      <c r="Q2" s="18"/>
      <c r="R2" s="18"/>
      <c r="S2" s="19"/>
    </row>
    <row r="3" ht="22.5" customHeight="1">
      <c r="A3" s="7">
        <v>2.0</v>
      </c>
      <c r="B3" s="8">
        <v>2.0</v>
      </c>
      <c r="C3" s="9">
        <v>46070.0</v>
      </c>
      <c r="D3" s="10" t="s">
        <v>23</v>
      </c>
      <c r="E3" s="11" t="s">
        <v>24</v>
      </c>
      <c r="F3" s="12"/>
      <c r="G3" s="13" t="s">
        <v>25</v>
      </c>
      <c r="H3" s="14">
        <v>2500.0</v>
      </c>
      <c r="I3" s="20">
        <v>2500.0</v>
      </c>
      <c r="J3" s="16" t="s">
        <v>26</v>
      </c>
      <c r="K3" s="17"/>
      <c r="L3" s="6" t="s">
        <v>27</v>
      </c>
      <c r="M3" s="6"/>
      <c r="N3" s="6"/>
      <c r="O3" s="6"/>
      <c r="P3" s="6"/>
      <c r="Q3" s="6"/>
      <c r="R3" s="6"/>
    </row>
    <row r="4" ht="22.5" customHeight="1">
      <c r="A4" s="7">
        <v>3.0</v>
      </c>
      <c r="B4" s="8">
        <v>3.0</v>
      </c>
      <c r="C4" s="9">
        <v>46070.0</v>
      </c>
      <c r="D4" s="10" t="s">
        <v>28</v>
      </c>
      <c r="E4" s="11" t="s">
        <v>29</v>
      </c>
      <c r="F4" s="12"/>
      <c r="G4" s="13" t="str">
        <f>IF(LEN(TRIM(D4))=0,"",IFNA(VLOOKUP(UPPER(TRIM(D4)),'CLIENT DIRECTORY'!A:B,2,FALSE),""))</f>
        <v/>
      </c>
      <c r="H4" s="14">
        <v>185000.0</v>
      </c>
      <c r="I4" s="20">
        <v>185000.0</v>
      </c>
      <c r="J4" s="21" t="s">
        <v>26</v>
      </c>
      <c r="K4" s="17"/>
      <c r="L4" s="6" t="s">
        <v>30</v>
      </c>
      <c r="M4" s="6"/>
      <c r="N4" s="6"/>
      <c r="O4" s="6"/>
      <c r="P4" s="6"/>
      <c r="Q4" s="6"/>
      <c r="R4" s="6"/>
    </row>
    <row r="5" ht="22.5" customHeight="1">
      <c r="A5" s="7">
        <v>4.0</v>
      </c>
      <c r="B5" s="8">
        <v>4.0</v>
      </c>
      <c r="C5" s="9">
        <v>46070.0</v>
      </c>
      <c r="D5" s="10" t="s">
        <v>31</v>
      </c>
      <c r="E5" s="11" t="s">
        <v>32</v>
      </c>
      <c r="F5" s="12"/>
      <c r="G5" s="13" t="str">
        <f>IF(LEN(TRIM(D5))=0,"",IFNA(VLOOKUP(UPPER(TRIM(D5)),'CLIENT DIRECTORY'!A:B,2,FALSE),""))</f>
        <v/>
      </c>
      <c r="H5" s="14">
        <v>280000.0</v>
      </c>
      <c r="I5" s="20">
        <v>280000.0</v>
      </c>
      <c r="J5" s="21" t="s">
        <v>26</v>
      </c>
      <c r="K5" s="17"/>
      <c r="L5" s="6" t="s">
        <v>33</v>
      </c>
      <c r="M5" s="6"/>
      <c r="N5" s="6"/>
      <c r="O5" s="6"/>
      <c r="P5" s="6"/>
      <c r="Q5" s="6"/>
      <c r="R5" s="6"/>
    </row>
    <row r="6" ht="22.5" customHeight="1">
      <c r="A6" s="7">
        <v>5.0</v>
      </c>
      <c r="B6" s="8">
        <v>5.0</v>
      </c>
      <c r="C6" s="9">
        <v>46070.0</v>
      </c>
      <c r="D6" s="10" t="s">
        <v>34</v>
      </c>
      <c r="E6" s="11" t="s">
        <v>35</v>
      </c>
      <c r="F6" s="12"/>
      <c r="G6" s="13" t="str">
        <f>IF(LEN(TRIM(D6))=0,"",IFNA(VLOOKUP(UPPER(TRIM(D6)),'CLIENT DIRECTORY'!A:B,2,FALSE),""))</f>
        <v/>
      </c>
      <c r="H6" s="14">
        <v>2500.0</v>
      </c>
      <c r="I6" s="20">
        <v>2500.0</v>
      </c>
      <c r="J6" s="21" t="s">
        <v>26</v>
      </c>
      <c r="K6" s="17"/>
      <c r="L6" s="6" t="s">
        <v>36</v>
      </c>
      <c r="M6" s="6"/>
      <c r="N6" s="6"/>
      <c r="O6" s="6"/>
      <c r="P6" s="6"/>
      <c r="Q6" s="6"/>
      <c r="R6" s="6"/>
    </row>
    <row r="7" ht="22.5" customHeight="1">
      <c r="A7" s="7">
        <v>6.0</v>
      </c>
      <c r="B7" s="8">
        <v>6.0</v>
      </c>
      <c r="C7" s="9">
        <v>46070.0</v>
      </c>
      <c r="D7" s="10" t="s">
        <v>37</v>
      </c>
      <c r="E7" s="11" t="s">
        <v>38</v>
      </c>
      <c r="F7" s="12"/>
      <c r="G7" s="13" t="str">
        <f>IF(LEN(TRIM(D7))=0,"",IFNA(VLOOKUP(UPPER(TRIM(D7)),'CLIENT DIRECTORY'!A:B,2,FALSE),""))</f>
        <v/>
      </c>
      <c r="H7" s="14">
        <v>1500000.0</v>
      </c>
      <c r="I7" s="20">
        <v>1500000.0</v>
      </c>
      <c r="J7" s="21" t="s">
        <v>26</v>
      </c>
      <c r="K7" s="17"/>
      <c r="L7" s="6" t="s">
        <v>39</v>
      </c>
      <c r="M7" s="6"/>
      <c r="N7" s="6"/>
      <c r="O7" s="6"/>
      <c r="P7" s="6"/>
      <c r="Q7" s="6"/>
      <c r="R7" s="6"/>
    </row>
    <row r="8" ht="22.5" customHeight="1">
      <c r="A8" s="7">
        <v>7.0</v>
      </c>
      <c r="B8" s="8">
        <v>7.0</v>
      </c>
      <c r="C8" s="9">
        <v>46070.0</v>
      </c>
      <c r="D8" s="10" t="s">
        <v>40</v>
      </c>
      <c r="E8" s="11" t="s">
        <v>41</v>
      </c>
      <c r="F8" s="12"/>
      <c r="G8" s="13" t="str">
        <f>IF(LEN(TRIM(D8))=0,"",IFNA(VLOOKUP(UPPER(TRIM(D8)),'CLIENT DIRECTORY'!A:B,2,FALSE),""))</f>
        <v/>
      </c>
      <c r="H8" s="14">
        <v>10000.0</v>
      </c>
      <c r="I8" s="20">
        <v>10000.0</v>
      </c>
      <c r="J8" s="21" t="s">
        <v>26</v>
      </c>
      <c r="K8" s="17"/>
      <c r="L8" s="6" t="s">
        <v>42</v>
      </c>
      <c r="M8" s="6"/>
      <c r="N8" s="6"/>
      <c r="O8" s="6"/>
      <c r="P8" s="6"/>
      <c r="Q8" s="6"/>
      <c r="R8" s="6"/>
    </row>
    <row r="9" ht="22.5" customHeight="1">
      <c r="A9" s="7">
        <v>8.0</v>
      </c>
      <c r="B9" s="8">
        <v>8.0</v>
      </c>
      <c r="C9" s="9">
        <v>46070.0</v>
      </c>
      <c r="D9" s="10" t="s">
        <v>43</v>
      </c>
      <c r="E9" s="11" t="s">
        <v>44</v>
      </c>
      <c r="F9" s="12"/>
      <c r="G9" s="13" t="str">
        <f>IF(LEN(TRIM(D9))=0,"",IFNA(VLOOKUP(UPPER(TRIM(D9)),'CLIENT DIRECTORY'!A:B,2,FALSE),""))</f>
        <v/>
      </c>
      <c r="H9" s="14">
        <v>800000.0</v>
      </c>
      <c r="I9" s="20">
        <v>800000.0</v>
      </c>
      <c r="J9" s="21" t="s">
        <v>26</v>
      </c>
      <c r="K9" s="17"/>
      <c r="L9" s="6" t="s">
        <v>45</v>
      </c>
      <c r="M9" s="6"/>
      <c r="N9" s="6"/>
      <c r="O9" s="6"/>
      <c r="P9" s="6"/>
      <c r="Q9" s="6"/>
      <c r="R9" s="6"/>
    </row>
    <row r="10" ht="22.5" customHeight="1">
      <c r="A10" s="7">
        <v>9.0</v>
      </c>
      <c r="B10" s="8">
        <v>9.0</v>
      </c>
      <c r="C10" s="9">
        <v>46070.0</v>
      </c>
      <c r="D10" s="10" t="s">
        <v>46</v>
      </c>
      <c r="E10" s="11" t="s">
        <v>47</v>
      </c>
      <c r="F10" s="12"/>
      <c r="G10" s="13" t="s">
        <v>48</v>
      </c>
      <c r="H10" s="14">
        <v>25000.0</v>
      </c>
      <c r="I10" s="20">
        <v>25000.0</v>
      </c>
      <c r="J10" s="21" t="s">
        <v>26</v>
      </c>
      <c r="K10" s="17"/>
      <c r="L10" s="6" t="s">
        <v>49</v>
      </c>
      <c r="M10" s="6"/>
      <c r="N10" s="6"/>
      <c r="O10" s="6"/>
      <c r="P10" s="6"/>
      <c r="Q10" s="6"/>
      <c r="R10" s="6"/>
    </row>
    <row r="11" ht="22.5" customHeight="1">
      <c r="A11" s="7">
        <v>10.0</v>
      </c>
      <c r="B11" s="8">
        <v>10.0</v>
      </c>
      <c r="C11" s="9">
        <v>46070.0</v>
      </c>
      <c r="D11" s="10" t="s">
        <v>50</v>
      </c>
      <c r="E11" s="11" t="s">
        <v>51</v>
      </c>
      <c r="F11" s="12"/>
      <c r="G11" s="13" t="s">
        <v>52</v>
      </c>
      <c r="H11" s="14">
        <v>2500.0</v>
      </c>
      <c r="I11" s="20">
        <v>2500.0</v>
      </c>
      <c r="J11" s="16" t="s">
        <v>26</v>
      </c>
      <c r="K11" s="17"/>
      <c r="L11" s="6" t="s">
        <v>53</v>
      </c>
      <c r="M11" s="6"/>
      <c r="N11" s="6"/>
      <c r="O11" s="6"/>
      <c r="P11" s="6"/>
      <c r="Q11" s="6"/>
      <c r="R11" s="6"/>
    </row>
    <row r="12" ht="22.5" customHeight="1">
      <c r="A12" s="7">
        <v>11.0</v>
      </c>
      <c r="B12" s="8">
        <v>11.0</v>
      </c>
      <c r="C12" s="9">
        <v>46068.0</v>
      </c>
      <c r="D12" s="10" t="s">
        <v>54</v>
      </c>
      <c r="E12" s="11" t="s">
        <v>55</v>
      </c>
      <c r="F12" s="12"/>
      <c r="G12" s="13" t="s">
        <v>56</v>
      </c>
      <c r="H12" s="14">
        <v>2500.0</v>
      </c>
      <c r="I12" s="20">
        <v>2500.0</v>
      </c>
      <c r="J12" s="22" t="s">
        <v>26</v>
      </c>
      <c r="K12" s="17"/>
      <c r="L12" s="6" t="s">
        <v>57</v>
      </c>
      <c r="M12" s="6"/>
      <c r="N12" s="6"/>
      <c r="O12" s="6"/>
      <c r="P12" s="6"/>
      <c r="Q12" s="6"/>
      <c r="R12" s="6"/>
    </row>
    <row r="13" ht="22.5" customHeight="1">
      <c r="A13" s="7">
        <v>12.0</v>
      </c>
      <c r="B13" s="8">
        <v>12.0</v>
      </c>
      <c r="C13" s="9">
        <v>46069.0</v>
      </c>
      <c r="D13" s="10" t="s">
        <v>54</v>
      </c>
      <c r="E13" s="11" t="s">
        <v>58</v>
      </c>
      <c r="F13" s="12"/>
      <c r="G13" s="13" t="s">
        <v>56</v>
      </c>
      <c r="H13" s="14">
        <v>2500.0</v>
      </c>
      <c r="I13" s="20">
        <v>2500.0</v>
      </c>
      <c r="J13" s="22" t="s">
        <v>26</v>
      </c>
      <c r="K13" s="17"/>
      <c r="L13" s="6" t="s">
        <v>59</v>
      </c>
      <c r="M13" s="6"/>
      <c r="N13" s="6"/>
      <c r="O13" s="6"/>
      <c r="P13" s="6"/>
      <c r="Q13" s="6"/>
      <c r="R13" s="6"/>
    </row>
    <row r="14" ht="22.5" customHeight="1">
      <c r="A14" s="7">
        <v>13.0</v>
      </c>
      <c r="B14" s="8">
        <v>13.0</v>
      </c>
      <c r="C14" s="9">
        <v>46070.0</v>
      </c>
      <c r="D14" s="10" t="s">
        <v>60</v>
      </c>
      <c r="E14" s="11" t="s">
        <v>61</v>
      </c>
      <c r="F14" s="12"/>
      <c r="G14" s="13" t="s">
        <v>62</v>
      </c>
      <c r="H14" s="14">
        <v>10000.0</v>
      </c>
      <c r="I14" s="20">
        <v>10000.0</v>
      </c>
      <c r="J14" s="21" t="s">
        <v>26</v>
      </c>
      <c r="K14" s="17"/>
      <c r="L14" s="6" t="s">
        <v>63</v>
      </c>
      <c r="M14" s="6"/>
      <c r="N14" s="6"/>
      <c r="O14" s="6"/>
      <c r="P14" s="6"/>
      <c r="Q14" s="6"/>
      <c r="R14" s="6"/>
    </row>
    <row r="15" ht="22.5" customHeight="1">
      <c r="A15" s="7">
        <v>14.0</v>
      </c>
      <c r="B15" s="8">
        <v>14.0</v>
      </c>
      <c r="C15" s="9">
        <v>46070.0</v>
      </c>
      <c r="D15" s="10" t="s">
        <v>64</v>
      </c>
      <c r="E15" s="11" t="s">
        <v>65</v>
      </c>
      <c r="F15" s="12"/>
      <c r="G15" s="13" t="s">
        <v>66</v>
      </c>
      <c r="H15" s="14">
        <v>1000000.0</v>
      </c>
      <c r="I15" s="20">
        <v>1000000.0</v>
      </c>
      <c r="J15" s="21" t="s">
        <v>26</v>
      </c>
      <c r="K15" s="17"/>
      <c r="L15" s="6" t="s">
        <v>67</v>
      </c>
      <c r="M15" s="6"/>
      <c r="N15" s="6"/>
      <c r="O15" s="6"/>
      <c r="P15" s="6"/>
      <c r="Q15" s="6"/>
      <c r="R15" s="6"/>
    </row>
    <row r="16" ht="22.5" customHeight="1">
      <c r="A16" s="7">
        <v>15.0</v>
      </c>
      <c r="B16" s="8">
        <v>15.0</v>
      </c>
      <c r="C16" s="9">
        <v>46070.0</v>
      </c>
      <c r="D16" s="10" t="s">
        <v>68</v>
      </c>
      <c r="E16" s="11" t="s">
        <v>61</v>
      </c>
      <c r="F16" s="12"/>
      <c r="G16" s="13" t="str">
        <f>IF(LEN(TRIM(D16))=0,"",IFNA(VLOOKUP(UPPER(TRIM(D16)),'CLIENT DIRECTORY'!A:B,2,FALSE),""))</f>
        <v/>
      </c>
      <c r="H16" s="14">
        <v>10000.0</v>
      </c>
      <c r="I16" s="20">
        <v>10000.0</v>
      </c>
      <c r="J16" s="21" t="s">
        <v>26</v>
      </c>
      <c r="K16" s="17"/>
      <c r="L16" s="6" t="s">
        <v>69</v>
      </c>
      <c r="M16" s="6"/>
      <c r="N16" s="6"/>
      <c r="O16" s="6"/>
      <c r="P16" s="6"/>
      <c r="Q16" s="6"/>
      <c r="R16" s="6"/>
    </row>
    <row r="17" ht="22.5" customHeight="1">
      <c r="A17" s="7">
        <v>16.0</v>
      </c>
      <c r="B17" s="23"/>
      <c r="C17" s="9">
        <v>46070.0</v>
      </c>
      <c r="D17" s="24" t="s">
        <v>70</v>
      </c>
      <c r="E17" s="25" t="s">
        <v>71</v>
      </c>
      <c r="F17" s="26"/>
      <c r="G17" s="27" t="s">
        <v>72</v>
      </c>
      <c r="H17" s="28">
        <v>5000.0</v>
      </c>
      <c r="I17" s="29"/>
      <c r="J17" s="30" t="s">
        <v>26</v>
      </c>
      <c r="K17" s="17"/>
      <c r="L17" s="6" t="s">
        <v>73</v>
      </c>
      <c r="M17" s="6"/>
      <c r="N17" s="6"/>
      <c r="O17" s="6"/>
      <c r="P17" s="6"/>
      <c r="Q17" s="6"/>
      <c r="R17" s="6"/>
    </row>
    <row r="18" ht="22.5" customHeight="1">
      <c r="A18" s="7">
        <v>17.0</v>
      </c>
      <c r="B18" s="8">
        <v>1.0</v>
      </c>
      <c r="C18" s="9">
        <v>46064.0</v>
      </c>
      <c r="D18" s="10" t="s">
        <v>74</v>
      </c>
      <c r="E18" s="11" t="s">
        <v>75</v>
      </c>
      <c r="F18" s="12"/>
      <c r="G18" s="13" t="s">
        <v>76</v>
      </c>
      <c r="H18" s="14">
        <v>3000.0</v>
      </c>
      <c r="I18" s="20">
        <v>3000.0</v>
      </c>
      <c r="J18" s="16" t="s">
        <v>26</v>
      </c>
      <c r="K18" s="17"/>
      <c r="L18" s="6" t="s">
        <v>77</v>
      </c>
      <c r="M18" s="6"/>
      <c r="N18" s="6"/>
      <c r="O18" s="6"/>
      <c r="P18" s="6"/>
      <c r="Q18" s="6"/>
      <c r="R18" s="6"/>
    </row>
    <row r="19" ht="22.5" customHeight="1">
      <c r="A19" s="7">
        <v>18.0</v>
      </c>
      <c r="B19" s="8">
        <v>2.0</v>
      </c>
      <c r="C19" s="9">
        <v>46065.0</v>
      </c>
      <c r="D19" s="10" t="s">
        <v>78</v>
      </c>
      <c r="E19" s="11" t="s">
        <v>79</v>
      </c>
      <c r="F19" s="12"/>
      <c r="G19" s="13" t="s">
        <v>80</v>
      </c>
      <c r="H19" s="14">
        <v>3000.0</v>
      </c>
      <c r="I19" s="15">
        <v>3000.0</v>
      </c>
      <c r="J19" s="16" t="s">
        <v>21</v>
      </c>
      <c r="K19" s="17"/>
      <c r="L19" s="6" t="s">
        <v>81</v>
      </c>
      <c r="M19" s="6"/>
      <c r="N19" s="6"/>
      <c r="O19" s="6"/>
      <c r="P19" s="6"/>
      <c r="Q19" s="6"/>
      <c r="R19" s="6"/>
    </row>
    <row r="20" ht="22.5" customHeight="1">
      <c r="A20" s="7">
        <v>19.0</v>
      </c>
      <c r="B20" s="8">
        <v>3.0</v>
      </c>
      <c r="C20" s="9">
        <v>46066.0</v>
      </c>
      <c r="D20" s="10" t="s">
        <v>18</v>
      </c>
      <c r="E20" s="11" t="s">
        <v>82</v>
      </c>
      <c r="F20" s="12"/>
      <c r="G20" s="13" t="s">
        <v>20</v>
      </c>
      <c r="H20" s="14">
        <v>2000.0</v>
      </c>
      <c r="I20" s="15">
        <v>2000.0</v>
      </c>
      <c r="J20" s="16" t="s">
        <v>21</v>
      </c>
      <c r="K20" s="17"/>
      <c r="L20" s="6" t="s">
        <v>83</v>
      </c>
      <c r="M20" s="6"/>
      <c r="N20" s="6"/>
      <c r="O20" s="6"/>
      <c r="P20" s="6"/>
      <c r="Q20" s="6"/>
      <c r="R20" s="6"/>
    </row>
    <row r="21" ht="22.5" customHeight="1">
      <c r="A21" s="7">
        <v>20.0</v>
      </c>
      <c r="B21" s="8">
        <v>4.0</v>
      </c>
      <c r="C21" s="9">
        <v>46063.0</v>
      </c>
      <c r="D21" s="10" t="s">
        <v>84</v>
      </c>
      <c r="E21" s="11" t="s">
        <v>85</v>
      </c>
      <c r="F21" s="12"/>
      <c r="G21" s="13" t="s">
        <v>86</v>
      </c>
      <c r="H21" s="14">
        <v>90000.0</v>
      </c>
      <c r="I21" s="15"/>
      <c r="J21" s="21" t="s">
        <v>26</v>
      </c>
      <c r="K21" s="31" t="s">
        <v>87</v>
      </c>
      <c r="L21" s="6" t="s">
        <v>88</v>
      </c>
      <c r="M21" s="6"/>
      <c r="N21" s="6"/>
      <c r="O21" s="6"/>
      <c r="P21" s="6"/>
      <c r="Q21" s="6"/>
      <c r="R21" s="6"/>
    </row>
    <row r="22" ht="22.5" customHeight="1">
      <c r="A22" s="7">
        <v>21.0</v>
      </c>
      <c r="B22" s="8">
        <v>5.0</v>
      </c>
      <c r="C22" s="9">
        <v>46063.0</v>
      </c>
      <c r="D22" s="10" t="s">
        <v>89</v>
      </c>
      <c r="E22" s="11" t="s">
        <v>90</v>
      </c>
      <c r="F22" s="12"/>
      <c r="G22" s="13" t="s">
        <v>91</v>
      </c>
      <c r="H22" s="14">
        <v>2500.0</v>
      </c>
      <c r="I22" s="32"/>
      <c r="J22" s="33" t="s">
        <v>26</v>
      </c>
      <c r="K22" s="17"/>
      <c r="L22" s="6" t="s">
        <v>92</v>
      </c>
      <c r="M22" s="6"/>
      <c r="N22" s="6"/>
      <c r="O22" s="6"/>
      <c r="P22" s="6"/>
      <c r="Q22" s="6"/>
      <c r="R22" s="6"/>
    </row>
    <row r="23" ht="22.5" customHeight="1">
      <c r="A23" s="7">
        <v>22.0</v>
      </c>
      <c r="B23" s="8">
        <v>6.0</v>
      </c>
      <c r="C23" s="9">
        <v>46071.0</v>
      </c>
      <c r="D23" s="10" t="s">
        <v>93</v>
      </c>
      <c r="E23" s="11" t="s">
        <v>94</v>
      </c>
      <c r="F23" s="12"/>
      <c r="G23" s="13" t="s">
        <v>95</v>
      </c>
      <c r="H23" s="14">
        <v>12500.0</v>
      </c>
      <c r="I23" s="15"/>
      <c r="J23" s="21" t="s">
        <v>26</v>
      </c>
      <c r="K23" s="17"/>
      <c r="L23" s="6" t="s">
        <v>96</v>
      </c>
      <c r="M23" s="6"/>
      <c r="N23" s="6"/>
      <c r="O23" s="6"/>
      <c r="P23" s="6"/>
      <c r="Q23" s="6"/>
      <c r="R23" s="6"/>
    </row>
    <row r="24" ht="22.5" customHeight="1">
      <c r="A24" s="7">
        <v>23.0</v>
      </c>
      <c r="B24" s="8">
        <v>7.0</v>
      </c>
      <c r="C24" s="9">
        <v>46060.0</v>
      </c>
      <c r="D24" s="10" t="s">
        <v>97</v>
      </c>
      <c r="E24" s="11" t="s">
        <v>98</v>
      </c>
      <c r="F24" s="12"/>
      <c r="G24" s="13" t="s">
        <v>99</v>
      </c>
      <c r="H24" s="14">
        <v>2500.0</v>
      </c>
      <c r="I24" s="15"/>
      <c r="J24" s="21" t="s">
        <v>26</v>
      </c>
      <c r="K24" s="17"/>
      <c r="L24" s="6" t="s">
        <v>100</v>
      </c>
      <c r="M24" s="6"/>
      <c r="N24" s="6"/>
      <c r="O24" s="6"/>
      <c r="P24" s="6"/>
      <c r="Q24" s="6"/>
      <c r="R24" s="6"/>
    </row>
    <row r="25" ht="22.5" customHeight="1">
      <c r="A25" s="7">
        <v>24.0</v>
      </c>
      <c r="B25" s="8">
        <v>8.0</v>
      </c>
      <c r="C25" s="9">
        <v>46060.0</v>
      </c>
      <c r="D25" s="10" t="s">
        <v>101</v>
      </c>
      <c r="E25" s="11" t="s">
        <v>102</v>
      </c>
      <c r="F25" s="12"/>
      <c r="G25" s="13" t="str">
        <f>IF(LEN(TRIM(D25))=0,"",IFNA(VLOOKUP(UPPER(TRIM(D25)),'CLIENT DIRECTORY'!A:B,2,FALSE),""))</f>
        <v/>
      </c>
      <c r="H25" s="14">
        <v>20000.0</v>
      </c>
      <c r="I25" s="32"/>
      <c r="J25" s="33" t="s">
        <v>103</v>
      </c>
      <c r="K25" s="17"/>
      <c r="L25" s="6" t="s">
        <v>104</v>
      </c>
      <c r="M25" s="6"/>
      <c r="N25" s="6"/>
      <c r="O25" s="6"/>
      <c r="P25" s="6"/>
      <c r="Q25" s="6"/>
      <c r="R25" s="6"/>
    </row>
    <row r="26" ht="22.5" customHeight="1">
      <c r="A26" s="7">
        <v>25.0</v>
      </c>
      <c r="B26" s="8">
        <v>9.0</v>
      </c>
      <c r="C26" s="9">
        <v>46060.0</v>
      </c>
      <c r="D26" s="10" t="s">
        <v>105</v>
      </c>
      <c r="E26" s="11" t="s">
        <v>106</v>
      </c>
      <c r="F26" s="12"/>
      <c r="G26" s="13" t="str">
        <f>IF(LEN(TRIM(D26))=0,"",IFNA(VLOOKUP(UPPER(TRIM(D26)),'CLIENT DIRECTORY'!A:B,2,FALSE),""))</f>
        <v/>
      </c>
      <c r="H26" s="14">
        <v>2500.0</v>
      </c>
      <c r="I26" s="15"/>
      <c r="J26" s="16" t="s">
        <v>26</v>
      </c>
      <c r="K26" s="17"/>
      <c r="L26" s="6" t="s">
        <v>107</v>
      </c>
      <c r="M26" s="6"/>
      <c r="N26" s="6"/>
      <c r="O26" s="6"/>
      <c r="P26" s="6"/>
      <c r="Q26" s="6"/>
      <c r="R26" s="6"/>
    </row>
    <row r="27" ht="22.5" customHeight="1">
      <c r="A27" s="7">
        <v>26.0</v>
      </c>
      <c r="B27" s="8">
        <v>10.0</v>
      </c>
      <c r="C27" s="9">
        <v>46058.0</v>
      </c>
      <c r="D27" s="10" t="s">
        <v>108</v>
      </c>
      <c r="E27" s="11" t="s">
        <v>109</v>
      </c>
      <c r="F27" s="12"/>
      <c r="G27" s="13" t="s">
        <v>110</v>
      </c>
      <c r="H27" s="14">
        <v>225000.0</v>
      </c>
      <c r="I27" s="15"/>
      <c r="J27" s="21" t="s">
        <v>26</v>
      </c>
      <c r="K27" s="17"/>
      <c r="L27" s="6" t="s">
        <v>111</v>
      </c>
      <c r="M27" s="6"/>
      <c r="N27" s="6"/>
      <c r="O27" s="6"/>
      <c r="P27" s="6"/>
      <c r="Q27" s="6"/>
      <c r="R27" s="6"/>
    </row>
    <row r="28" ht="22.5" customHeight="1">
      <c r="A28" s="7">
        <v>27.0</v>
      </c>
      <c r="B28" s="8">
        <v>11.0</v>
      </c>
      <c r="C28" s="9">
        <v>46057.0</v>
      </c>
      <c r="D28" s="10" t="s">
        <v>112</v>
      </c>
      <c r="E28" s="11" t="s">
        <v>113</v>
      </c>
      <c r="F28" s="12"/>
      <c r="G28" s="13" t="str">
        <f>IF(LEN(TRIM(D28))=0,"",IFNA(VLOOKUP(UPPER(TRIM(D28)),'CLIENT DIRECTORY'!A:B,2,FALSE),""))</f>
        <v/>
      </c>
      <c r="H28" s="14">
        <v>2500.0</v>
      </c>
      <c r="I28" s="15"/>
      <c r="J28" s="21" t="s">
        <v>26</v>
      </c>
      <c r="K28" s="17"/>
      <c r="L28" s="6" t="s">
        <v>114</v>
      </c>
      <c r="M28" s="6"/>
      <c r="N28" s="6"/>
      <c r="O28" s="6"/>
      <c r="P28" s="6"/>
      <c r="Q28" s="6"/>
      <c r="R28" s="6"/>
    </row>
    <row r="29" ht="22.5" customHeight="1">
      <c r="A29" s="7">
        <v>28.0</v>
      </c>
      <c r="B29" s="8">
        <v>12.0</v>
      </c>
      <c r="C29" s="9">
        <v>46056.0</v>
      </c>
      <c r="D29" s="10" t="s">
        <v>115</v>
      </c>
      <c r="E29" s="11" t="s">
        <v>116</v>
      </c>
      <c r="F29" s="12"/>
      <c r="G29" s="13" t="s">
        <v>117</v>
      </c>
      <c r="H29" s="14">
        <v>450000.0</v>
      </c>
      <c r="I29" s="15"/>
      <c r="J29" s="22" t="s">
        <v>118</v>
      </c>
      <c r="K29" s="17"/>
      <c r="L29" s="6" t="s">
        <v>119</v>
      </c>
      <c r="M29" s="6"/>
      <c r="N29" s="6"/>
      <c r="O29" s="6"/>
      <c r="P29" s="6"/>
      <c r="Q29" s="6"/>
      <c r="R29" s="6"/>
    </row>
    <row r="30" ht="22.5" customHeight="1">
      <c r="A30" s="7">
        <v>29.0</v>
      </c>
      <c r="B30" s="8">
        <v>13.0</v>
      </c>
      <c r="C30" s="9">
        <v>46056.0</v>
      </c>
      <c r="D30" s="10" t="s">
        <v>115</v>
      </c>
      <c r="E30" s="11" t="s">
        <v>120</v>
      </c>
      <c r="F30" s="12"/>
      <c r="G30" s="13" t="s">
        <v>117</v>
      </c>
      <c r="H30" s="14">
        <v>2500.0</v>
      </c>
      <c r="I30" s="15"/>
      <c r="J30" s="16" t="s">
        <v>121</v>
      </c>
      <c r="K30" s="17"/>
      <c r="L30" s="6" t="s">
        <v>122</v>
      </c>
      <c r="M30" s="6"/>
      <c r="N30" s="6"/>
      <c r="O30" s="6"/>
      <c r="P30" s="6"/>
      <c r="Q30" s="6"/>
      <c r="R30" s="6"/>
    </row>
    <row r="31" ht="22.5" customHeight="1">
      <c r="A31" s="7">
        <v>30.0</v>
      </c>
      <c r="B31" s="8">
        <v>14.0</v>
      </c>
      <c r="C31" s="9">
        <v>46071.0</v>
      </c>
      <c r="D31" s="10" t="s">
        <v>123</v>
      </c>
      <c r="E31" s="11" t="s">
        <v>124</v>
      </c>
      <c r="F31" s="12"/>
      <c r="G31" s="13" t="s">
        <v>125</v>
      </c>
      <c r="H31" s="14">
        <v>395000.0</v>
      </c>
      <c r="I31" s="15"/>
      <c r="J31" s="22" t="s">
        <v>118</v>
      </c>
      <c r="K31" s="17"/>
      <c r="L31" s="6" t="s">
        <v>126</v>
      </c>
      <c r="M31" s="6"/>
      <c r="N31" s="6"/>
      <c r="O31" s="6"/>
      <c r="P31" s="6"/>
      <c r="Q31" s="6"/>
      <c r="R31" s="6"/>
    </row>
    <row r="32" ht="22.5" customHeight="1">
      <c r="A32" s="7">
        <v>31.0</v>
      </c>
      <c r="B32" s="8">
        <v>15.0</v>
      </c>
      <c r="C32" s="9">
        <v>46050.0</v>
      </c>
      <c r="D32" s="10" t="s">
        <v>127</v>
      </c>
      <c r="E32" s="11" t="s">
        <v>128</v>
      </c>
      <c r="F32" s="12"/>
      <c r="G32" s="13" t="s">
        <v>129</v>
      </c>
      <c r="H32" s="14">
        <v>10000.0</v>
      </c>
      <c r="I32" s="15"/>
      <c r="J32" s="16" t="s">
        <v>26</v>
      </c>
      <c r="K32" s="17"/>
      <c r="L32" s="6" t="s">
        <v>130</v>
      </c>
      <c r="M32" s="6"/>
      <c r="N32" s="6"/>
      <c r="O32" s="6"/>
      <c r="P32" s="6"/>
      <c r="Q32" s="6"/>
      <c r="R32" s="6"/>
    </row>
    <row r="33" ht="22.5" customHeight="1">
      <c r="A33" s="7">
        <v>32.0</v>
      </c>
      <c r="B33" s="8">
        <v>16.0</v>
      </c>
      <c r="C33" s="9">
        <v>46049.0</v>
      </c>
      <c r="D33" s="10" t="s">
        <v>108</v>
      </c>
      <c r="E33" s="11" t="s">
        <v>131</v>
      </c>
      <c r="F33" s="12"/>
      <c r="G33" s="13" t="s">
        <v>110</v>
      </c>
      <c r="H33" s="14">
        <v>5000.0</v>
      </c>
      <c r="I33" s="15"/>
      <c r="J33" s="21" t="s">
        <v>26</v>
      </c>
      <c r="K33" s="17"/>
      <c r="L33" s="6" t="s">
        <v>132</v>
      </c>
      <c r="M33" s="6"/>
      <c r="N33" s="6"/>
      <c r="O33" s="6"/>
      <c r="P33" s="6"/>
      <c r="Q33" s="6"/>
      <c r="R33" s="6"/>
    </row>
    <row r="34" ht="22.5" customHeight="1">
      <c r="A34" s="7"/>
      <c r="B34" s="8">
        <v>17.0</v>
      </c>
      <c r="C34" s="9">
        <v>46049.0</v>
      </c>
      <c r="D34" s="10" t="s">
        <v>133</v>
      </c>
      <c r="E34" s="11" t="s">
        <v>134</v>
      </c>
      <c r="F34" s="34" t="s">
        <v>135</v>
      </c>
      <c r="G34" s="13" t="s">
        <v>136</v>
      </c>
      <c r="H34" s="14">
        <v>280000.0</v>
      </c>
      <c r="I34" s="15"/>
      <c r="J34" s="21" t="s">
        <v>26</v>
      </c>
      <c r="K34" s="17"/>
      <c r="L34" s="6" t="s">
        <v>137</v>
      </c>
      <c r="M34" s="6"/>
      <c r="N34" s="6"/>
      <c r="O34" s="6"/>
      <c r="P34" s="6"/>
      <c r="Q34" s="6"/>
      <c r="R34" s="6"/>
    </row>
    <row r="35" ht="22.5" customHeight="1">
      <c r="A35" s="7">
        <v>33.0</v>
      </c>
      <c r="B35" s="8">
        <v>18.0</v>
      </c>
      <c r="C35" s="9">
        <v>46049.0</v>
      </c>
      <c r="D35" s="10" t="s">
        <v>108</v>
      </c>
      <c r="E35" s="11" t="s">
        <v>138</v>
      </c>
      <c r="F35" s="12"/>
      <c r="G35" s="13" t="s">
        <v>110</v>
      </c>
      <c r="H35" s="14">
        <v>16250.0</v>
      </c>
      <c r="I35" s="15"/>
      <c r="J35" s="21" t="s">
        <v>26</v>
      </c>
      <c r="K35" s="17"/>
      <c r="L35" s="6" t="s">
        <v>139</v>
      </c>
      <c r="M35" s="6"/>
      <c r="N35" s="6"/>
      <c r="O35" s="6"/>
      <c r="P35" s="6"/>
      <c r="Q35" s="6"/>
      <c r="R35" s="6"/>
    </row>
    <row r="36" ht="22.5" customHeight="1">
      <c r="A36" s="7">
        <v>34.0</v>
      </c>
      <c r="B36" s="8" t="s">
        <v>140</v>
      </c>
      <c r="C36" s="35" t="s">
        <v>140</v>
      </c>
      <c r="D36" s="10" t="s">
        <v>140</v>
      </c>
      <c r="E36" s="11" t="s">
        <v>140</v>
      </c>
      <c r="F36" s="12" t="s">
        <v>140</v>
      </c>
      <c r="G36" s="13" t="str">
        <f>IF(LEN(TRIM(D36))=0,"",IFNA(VLOOKUP(UPPER(TRIM(D36)),'CLIENT DIRECTORY'!A:B,2,FALSE),""))</f>
        <v/>
      </c>
      <c r="H36" s="14" t="s">
        <v>140</v>
      </c>
      <c r="I36" s="15"/>
      <c r="J36" s="22"/>
      <c r="K36" s="17"/>
      <c r="L36" s="6" t="s">
        <v>141</v>
      </c>
      <c r="M36" s="6"/>
      <c r="N36" s="6"/>
      <c r="O36" s="6"/>
      <c r="P36" s="6"/>
      <c r="Q36" s="6"/>
      <c r="R36" s="6"/>
    </row>
    <row r="37" ht="22.5" customHeight="1">
      <c r="A37" s="7">
        <v>35.0</v>
      </c>
      <c r="B37" s="8">
        <v>1.0</v>
      </c>
      <c r="C37" s="9">
        <v>46071.0</v>
      </c>
      <c r="D37" s="10" t="s">
        <v>46</v>
      </c>
      <c r="E37" s="11" t="s">
        <v>142</v>
      </c>
      <c r="F37" s="12"/>
      <c r="G37" s="13" t="s">
        <v>48</v>
      </c>
      <c r="H37" s="14">
        <v>2500.0</v>
      </c>
      <c r="I37" s="15"/>
      <c r="J37" s="16" t="s">
        <v>26</v>
      </c>
      <c r="K37" s="17"/>
      <c r="L37" s="6" t="s">
        <v>143</v>
      </c>
      <c r="M37" s="6"/>
      <c r="N37" s="6"/>
      <c r="O37" s="6"/>
      <c r="P37" s="6"/>
      <c r="Q37" s="6"/>
      <c r="R37" s="6"/>
    </row>
    <row r="38" ht="22.5" customHeight="1">
      <c r="A38" s="7">
        <v>36.0</v>
      </c>
      <c r="B38" s="8">
        <v>2.0</v>
      </c>
      <c r="C38" s="9">
        <v>46071.0</v>
      </c>
      <c r="D38" s="10" t="s">
        <v>89</v>
      </c>
      <c r="E38" s="11" t="s">
        <v>144</v>
      </c>
      <c r="F38" s="12"/>
      <c r="G38" s="13" t="s">
        <v>91</v>
      </c>
      <c r="H38" s="14">
        <v>2500.0</v>
      </c>
      <c r="I38" s="32"/>
      <c r="J38" s="33" t="s">
        <v>26</v>
      </c>
      <c r="K38" s="17"/>
      <c r="L38" s="6" t="s">
        <v>145</v>
      </c>
      <c r="M38" s="6"/>
      <c r="N38" s="6"/>
      <c r="O38" s="6"/>
      <c r="P38" s="6"/>
      <c r="Q38" s="6"/>
      <c r="R38" s="6"/>
    </row>
    <row r="39" ht="22.5" customHeight="1">
      <c r="A39" s="7">
        <v>37.0</v>
      </c>
      <c r="B39" s="8">
        <v>3.0</v>
      </c>
      <c r="C39" s="9">
        <v>46071.0</v>
      </c>
      <c r="D39" s="10" t="s">
        <v>64</v>
      </c>
      <c r="E39" s="11" t="s">
        <v>146</v>
      </c>
      <c r="F39" s="12"/>
      <c r="G39" s="13" t="s">
        <v>66</v>
      </c>
      <c r="H39" s="14">
        <v>2000.0</v>
      </c>
      <c r="I39" s="15">
        <v>2000.0</v>
      </c>
      <c r="J39" s="16" t="s">
        <v>26</v>
      </c>
      <c r="K39" s="17"/>
      <c r="L39" s="6" t="s">
        <v>147</v>
      </c>
      <c r="M39" s="6"/>
      <c r="N39" s="6"/>
      <c r="O39" s="6"/>
      <c r="P39" s="6"/>
      <c r="Q39" s="6"/>
      <c r="R39" s="6"/>
    </row>
    <row r="40" ht="22.5" customHeight="1">
      <c r="A40" s="7">
        <v>38.0</v>
      </c>
      <c r="B40" s="8">
        <v>4.0</v>
      </c>
      <c r="C40" s="9">
        <v>46071.0</v>
      </c>
      <c r="D40" s="10" t="s">
        <v>148</v>
      </c>
      <c r="E40" s="11" t="s">
        <v>149</v>
      </c>
      <c r="F40" s="12"/>
      <c r="G40" s="13" t="str">
        <f>IF(LEN(TRIM(D40))=0,"",IFNA(VLOOKUP(UPPER(TRIM(D40)),'CLIENT DIRECTORY'!A:B,2,FALSE),""))</f>
        <v/>
      </c>
      <c r="H40" s="14">
        <v>2500.0</v>
      </c>
      <c r="I40" s="15"/>
      <c r="J40" s="16" t="s">
        <v>26</v>
      </c>
      <c r="K40" s="17"/>
      <c r="L40" s="6" t="s">
        <v>150</v>
      </c>
      <c r="M40" s="6"/>
      <c r="N40" s="6"/>
      <c r="O40" s="6"/>
      <c r="P40" s="6"/>
      <c r="Q40" s="6"/>
      <c r="R40" s="6"/>
    </row>
    <row r="41" ht="22.5" customHeight="1">
      <c r="A41" s="7">
        <v>39.0</v>
      </c>
      <c r="B41" s="8">
        <v>5.0</v>
      </c>
      <c r="C41" s="9">
        <v>46071.0</v>
      </c>
      <c r="D41" s="10" t="s">
        <v>151</v>
      </c>
      <c r="E41" s="11" t="s">
        <v>152</v>
      </c>
      <c r="F41" s="12"/>
      <c r="G41" s="13" t="str">
        <f>IF(LEN(TRIM(D41))=0,"",IFNA(VLOOKUP(UPPER(TRIM(D41)),'CLIENT DIRECTORY'!A:B,2,FALSE),""))</f>
        <v/>
      </c>
      <c r="H41" s="14">
        <v>380000.0</v>
      </c>
      <c r="I41" s="15"/>
      <c r="J41" s="21" t="s">
        <v>26</v>
      </c>
      <c r="K41" s="17"/>
      <c r="L41" s="6" t="s">
        <v>153</v>
      </c>
      <c r="M41" s="6"/>
      <c r="N41" s="6"/>
      <c r="O41" s="6"/>
      <c r="P41" s="6"/>
      <c r="Q41" s="6"/>
      <c r="R41" s="6"/>
    </row>
    <row r="42" ht="22.5" customHeight="1">
      <c r="A42" s="7">
        <v>40.0</v>
      </c>
      <c r="B42" s="8">
        <v>6.0</v>
      </c>
      <c r="C42" s="9">
        <v>46071.0</v>
      </c>
      <c r="D42" s="10" t="s">
        <v>154</v>
      </c>
      <c r="E42" s="11" t="s">
        <v>155</v>
      </c>
      <c r="F42" s="12"/>
      <c r="G42" s="13" t="str">
        <f>IF(LEN(TRIM(D42))=0,"",IFNA(VLOOKUP(UPPER(TRIM(D42)),'CLIENT DIRECTORY'!A:B,2,FALSE),""))</f>
        <v/>
      </c>
      <c r="H42" s="14">
        <v>10000.0</v>
      </c>
      <c r="I42" s="15"/>
      <c r="J42" s="21" t="s">
        <v>26</v>
      </c>
      <c r="K42" s="17"/>
      <c r="L42" s="6" t="s">
        <v>156</v>
      </c>
      <c r="M42" s="6"/>
      <c r="N42" s="6"/>
      <c r="O42" s="6"/>
      <c r="P42" s="6"/>
      <c r="Q42" s="6"/>
      <c r="R42" s="6"/>
    </row>
    <row r="43" ht="22.5" customHeight="1">
      <c r="A43" s="7">
        <v>41.0</v>
      </c>
      <c r="B43" s="8">
        <v>7.0</v>
      </c>
      <c r="C43" s="9">
        <v>46071.0</v>
      </c>
      <c r="D43" s="10" t="s">
        <v>157</v>
      </c>
      <c r="E43" s="11" t="s">
        <v>158</v>
      </c>
      <c r="F43" s="12"/>
      <c r="G43" s="13" t="str">
        <f>IF(LEN(TRIM(D43))=0,"",IFNA(VLOOKUP(UPPER(TRIM(D43)),'CLIENT DIRECTORY'!A:B,2,FALSE),""))</f>
        <v/>
      </c>
      <c r="H43" s="14">
        <v>290000.0</v>
      </c>
      <c r="I43" s="15"/>
      <c r="J43" s="21" t="s">
        <v>26</v>
      </c>
      <c r="K43" s="17"/>
      <c r="L43" s="6" t="s">
        <v>159</v>
      </c>
      <c r="M43" s="6"/>
      <c r="N43" s="6"/>
      <c r="O43" s="6"/>
      <c r="P43" s="6"/>
      <c r="Q43" s="6"/>
      <c r="R43" s="6"/>
    </row>
    <row r="44" ht="22.5" customHeight="1">
      <c r="A44" s="7">
        <v>42.0</v>
      </c>
      <c r="B44" s="8">
        <v>8.0</v>
      </c>
      <c r="C44" s="9">
        <v>46071.0</v>
      </c>
      <c r="D44" s="10" t="s">
        <v>160</v>
      </c>
      <c r="E44" s="11" t="s">
        <v>161</v>
      </c>
      <c r="F44" s="12"/>
      <c r="G44" s="13" t="str">
        <f>IF(LEN(TRIM(D44))=0,"",IFNA(VLOOKUP(UPPER(TRIM(D44)),'CLIENT DIRECTORY'!A:B,2,FALSE),""))</f>
        <v/>
      </c>
      <c r="H44" s="14">
        <v>3000.0</v>
      </c>
      <c r="I44" s="15"/>
      <c r="J44" s="16" t="s">
        <v>26</v>
      </c>
      <c r="K44" s="17"/>
      <c r="L44" s="6" t="s">
        <v>162</v>
      </c>
      <c r="M44" s="6"/>
      <c r="N44" s="6"/>
      <c r="O44" s="6"/>
      <c r="P44" s="6"/>
      <c r="Q44" s="6"/>
      <c r="R44" s="6"/>
    </row>
    <row r="45" ht="22.5" customHeight="1">
      <c r="A45" s="7">
        <v>43.0</v>
      </c>
      <c r="B45" s="8">
        <v>9.0</v>
      </c>
      <c r="C45" s="9">
        <v>46071.0</v>
      </c>
      <c r="D45" s="10" t="s">
        <v>163</v>
      </c>
      <c r="E45" s="11" t="s">
        <v>164</v>
      </c>
      <c r="F45" s="12"/>
      <c r="G45" s="13" t="str">
        <f>IF(LEN(TRIM(D45))=0,"",IFNA(VLOOKUP(UPPER(TRIM(D45)),'CLIENT DIRECTORY'!A:B,2,FALSE),""))</f>
        <v/>
      </c>
      <c r="H45" s="14">
        <v>35000.0</v>
      </c>
      <c r="I45" s="15"/>
      <c r="J45" s="21" t="s">
        <v>26</v>
      </c>
      <c r="K45" s="17"/>
      <c r="L45" s="6" t="s">
        <v>165</v>
      </c>
      <c r="M45" s="6"/>
      <c r="N45" s="6"/>
      <c r="O45" s="6"/>
      <c r="P45" s="6"/>
      <c r="Q45" s="6"/>
      <c r="R45" s="6"/>
    </row>
    <row r="46" ht="22.5" customHeight="1">
      <c r="A46" s="7">
        <v>44.0</v>
      </c>
      <c r="B46" s="8">
        <v>10.0</v>
      </c>
      <c r="C46" s="9">
        <v>45975.0</v>
      </c>
      <c r="D46" s="10" t="s">
        <v>108</v>
      </c>
      <c r="E46" s="11" t="s">
        <v>166</v>
      </c>
      <c r="F46" s="12"/>
      <c r="G46" s="13" t="s">
        <v>110</v>
      </c>
      <c r="H46" s="14">
        <v>40000.0</v>
      </c>
      <c r="I46" s="15"/>
      <c r="J46" s="21" t="s">
        <v>26</v>
      </c>
      <c r="K46" s="17"/>
      <c r="L46" s="6" t="s">
        <v>167</v>
      </c>
      <c r="M46" s="6"/>
      <c r="N46" s="6"/>
      <c r="O46" s="6"/>
      <c r="P46" s="6"/>
      <c r="Q46" s="6"/>
      <c r="R46" s="6"/>
    </row>
    <row r="47" ht="22.5" customHeight="1">
      <c r="A47" s="7"/>
      <c r="B47" s="8">
        <v>11.0</v>
      </c>
      <c r="C47" s="9">
        <v>46035.0</v>
      </c>
      <c r="D47" s="10" t="s">
        <v>108</v>
      </c>
      <c r="E47" s="11" t="s">
        <v>138</v>
      </c>
      <c r="F47" s="12"/>
      <c r="G47" s="13" t="s">
        <v>110</v>
      </c>
      <c r="H47" s="14">
        <v>16250.0</v>
      </c>
      <c r="I47" s="15"/>
      <c r="J47" s="21" t="s">
        <v>26</v>
      </c>
      <c r="K47" s="17"/>
      <c r="L47" s="6" t="s">
        <v>168</v>
      </c>
      <c r="M47" s="6"/>
      <c r="N47" s="6"/>
      <c r="O47" s="6"/>
      <c r="P47" s="6"/>
      <c r="Q47" s="6"/>
      <c r="R47" s="6"/>
    </row>
    <row r="48" ht="22.5" customHeight="1">
      <c r="A48" s="7">
        <v>45.0</v>
      </c>
      <c r="B48" s="36"/>
      <c r="C48" s="35" t="s">
        <v>140</v>
      </c>
      <c r="D48" s="10" t="s">
        <v>140</v>
      </c>
      <c r="E48" s="11" t="s">
        <v>140</v>
      </c>
      <c r="F48" s="12" t="s">
        <v>140</v>
      </c>
      <c r="G48" s="13" t="str">
        <f>IF(LEN(TRIM(D48))=0,"",IFNA(VLOOKUP(UPPER(TRIM(D48)),'CLIENT DIRECTORY'!A:B,2,FALSE),""))</f>
        <v/>
      </c>
      <c r="H48" s="14" t="s">
        <v>140</v>
      </c>
      <c r="I48" s="15"/>
      <c r="J48" s="37" t="s">
        <v>140</v>
      </c>
      <c r="K48" s="17"/>
      <c r="L48" s="6" t="s">
        <v>169</v>
      </c>
      <c r="M48" s="6"/>
      <c r="N48" s="6"/>
      <c r="O48" s="6"/>
      <c r="P48" s="6"/>
      <c r="Q48" s="6"/>
      <c r="R48" s="6"/>
    </row>
    <row r="49" ht="22.5" customHeight="1">
      <c r="A49" s="7">
        <v>46.0</v>
      </c>
      <c r="B49" s="8">
        <v>1.0</v>
      </c>
      <c r="C49" s="9">
        <v>46072.0</v>
      </c>
      <c r="D49" s="10" t="s">
        <v>170</v>
      </c>
      <c r="E49" s="11" t="s">
        <v>171</v>
      </c>
      <c r="F49" s="12"/>
      <c r="G49" s="13" t="str">
        <f>IF(LEN(TRIM(D49))=0,"",IFNA(VLOOKUP(UPPER(TRIM(D49)),'CLIENT DIRECTORY'!A:B,2,FALSE),""))</f>
        <v/>
      </c>
      <c r="H49" s="14">
        <v>12000.0</v>
      </c>
      <c r="I49" s="15"/>
      <c r="J49" s="16" t="s">
        <v>103</v>
      </c>
      <c r="K49" s="17"/>
      <c r="L49" s="6" t="s">
        <v>172</v>
      </c>
      <c r="M49" s="6"/>
      <c r="N49" s="6"/>
      <c r="O49" s="6"/>
      <c r="P49" s="6"/>
      <c r="Q49" s="6"/>
      <c r="R49" s="6"/>
    </row>
    <row r="50" ht="22.5" customHeight="1">
      <c r="A50" s="7">
        <v>47.0</v>
      </c>
      <c r="B50" s="8">
        <v>2.0</v>
      </c>
      <c r="C50" s="9">
        <v>46072.0</v>
      </c>
      <c r="D50" s="10" t="s">
        <v>173</v>
      </c>
      <c r="E50" s="11" t="s">
        <v>174</v>
      </c>
      <c r="F50" s="12"/>
      <c r="G50" s="14" t="s">
        <v>175</v>
      </c>
      <c r="H50" s="14">
        <v>2500.0</v>
      </c>
      <c r="I50" s="15"/>
      <c r="J50" s="16" t="s">
        <v>121</v>
      </c>
      <c r="K50" s="17"/>
      <c r="L50" s="6" t="s">
        <v>176</v>
      </c>
      <c r="M50" s="6"/>
      <c r="N50" s="6"/>
      <c r="O50" s="6"/>
      <c r="P50" s="6"/>
      <c r="Q50" s="6"/>
      <c r="R50" s="6"/>
    </row>
    <row r="51" ht="22.5" customHeight="1">
      <c r="A51" s="7">
        <v>48.0</v>
      </c>
      <c r="B51" s="8">
        <v>3.0</v>
      </c>
      <c r="C51" s="9">
        <v>46072.0</v>
      </c>
      <c r="D51" s="10" t="s">
        <v>18</v>
      </c>
      <c r="E51" s="11" t="s">
        <v>177</v>
      </c>
      <c r="F51" s="12"/>
      <c r="G51" s="13" t="s">
        <v>20</v>
      </c>
      <c r="H51" s="14">
        <v>2500.0</v>
      </c>
      <c r="I51" s="15">
        <v>2500.0</v>
      </c>
      <c r="J51" s="16" t="s">
        <v>21</v>
      </c>
      <c r="K51" s="17"/>
      <c r="L51" s="6" t="s">
        <v>178</v>
      </c>
      <c r="M51" s="6"/>
      <c r="N51" s="6"/>
      <c r="O51" s="6"/>
      <c r="P51" s="6"/>
      <c r="Q51" s="6"/>
      <c r="R51" s="6"/>
    </row>
    <row r="52" ht="22.5" customHeight="1">
      <c r="A52" s="7">
        <v>49.0</v>
      </c>
      <c r="B52" s="8">
        <v>4.0</v>
      </c>
      <c r="C52" s="9">
        <v>46072.0</v>
      </c>
      <c r="D52" s="10" t="s">
        <v>89</v>
      </c>
      <c r="E52" s="11" t="s">
        <v>179</v>
      </c>
      <c r="F52" s="12"/>
      <c r="G52" s="13" t="s">
        <v>91</v>
      </c>
      <c r="H52" s="14">
        <v>2500.0</v>
      </c>
      <c r="I52" s="32"/>
      <c r="J52" s="33" t="s">
        <v>26</v>
      </c>
      <c r="K52" s="17"/>
      <c r="L52" s="6" t="s">
        <v>180</v>
      </c>
      <c r="M52" s="6"/>
      <c r="N52" s="6"/>
      <c r="O52" s="6"/>
      <c r="P52" s="6"/>
      <c r="Q52" s="6"/>
      <c r="R52" s="6"/>
    </row>
    <row r="53" ht="22.5" customHeight="1">
      <c r="A53" s="7">
        <v>50.0</v>
      </c>
      <c r="B53" s="8">
        <v>5.0</v>
      </c>
      <c r="C53" s="9">
        <v>46072.0</v>
      </c>
      <c r="D53" s="10" t="s">
        <v>60</v>
      </c>
      <c r="E53" s="11" t="s">
        <v>181</v>
      </c>
      <c r="F53" s="12"/>
      <c r="G53" s="13" t="s">
        <v>62</v>
      </c>
      <c r="H53" s="14">
        <v>5000.0</v>
      </c>
      <c r="I53" s="15"/>
      <c r="J53" s="21" t="s">
        <v>26</v>
      </c>
      <c r="K53" s="17"/>
      <c r="L53" s="6" t="s">
        <v>182</v>
      </c>
      <c r="M53" s="6"/>
      <c r="N53" s="6"/>
      <c r="O53" s="6"/>
      <c r="P53" s="6"/>
      <c r="Q53" s="6"/>
      <c r="R53" s="6"/>
    </row>
    <row r="54" ht="22.5" customHeight="1">
      <c r="A54" s="7">
        <v>51.0</v>
      </c>
      <c r="B54" s="8">
        <v>6.0</v>
      </c>
      <c r="C54" s="9">
        <v>46072.0</v>
      </c>
      <c r="D54" s="10" t="s">
        <v>183</v>
      </c>
      <c r="E54" s="11" t="s">
        <v>184</v>
      </c>
      <c r="F54" s="12"/>
      <c r="G54" s="13" t="str">
        <f>IF(LEN(TRIM(D54))=0,"",IFNA(VLOOKUP(UPPER(TRIM(D54)),'CLIENT DIRECTORY'!A:B,2,FALSE),""))</f>
        <v/>
      </c>
      <c r="H54" s="14">
        <v>360000.0</v>
      </c>
      <c r="I54" s="15"/>
      <c r="J54" s="21" t="s">
        <v>26</v>
      </c>
      <c r="K54" s="17"/>
      <c r="L54" s="6" t="s">
        <v>185</v>
      </c>
      <c r="M54" s="6"/>
      <c r="N54" s="6"/>
      <c r="O54" s="6"/>
      <c r="P54" s="6"/>
      <c r="Q54" s="6"/>
      <c r="R54" s="6"/>
    </row>
    <row r="55" ht="22.5" customHeight="1">
      <c r="A55" s="7">
        <v>52.0</v>
      </c>
      <c r="B55" s="8">
        <v>7.0</v>
      </c>
      <c r="C55" s="9">
        <v>46072.0</v>
      </c>
      <c r="D55" s="10" t="s">
        <v>186</v>
      </c>
      <c r="E55" s="11" t="s">
        <v>187</v>
      </c>
      <c r="F55" s="12"/>
      <c r="G55" s="13" t="str">
        <f>IF(LEN(TRIM(D55))=0,"",IFNA(VLOOKUP(UPPER(TRIM(D55)),'CLIENT DIRECTORY'!A:B,2,FALSE),""))</f>
        <v/>
      </c>
      <c r="H55" s="14">
        <v>5000.0</v>
      </c>
      <c r="I55" s="15"/>
      <c r="J55" s="21" t="s">
        <v>26</v>
      </c>
      <c r="K55" s="17"/>
      <c r="L55" s="6" t="s">
        <v>188</v>
      </c>
      <c r="M55" s="6"/>
      <c r="N55" s="6"/>
      <c r="O55" s="6"/>
      <c r="P55" s="6"/>
      <c r="Q55" s="6"/>
      <c r="R55" s="6"/>
    </row>
    <row r="56" ht="22.5" customHeight="1">
      <c r="A56" s="7">
        <v>53.0</v>
      </c>
      <c r="B56" s="8">
        <v>8.0</v>
      </c>
      <c r="C56" s="9">
        <v>46072.0</v>
      </c>
      <c r="D56" s="10" t="s">
        <v>189</v>
      </c>
      <c r="E56" s="11" t="s">
        <v>190</v>
      </c>
      <c r="F56" s="12"/>
      <c r="G56" s="13" t="str">
        <f>IF(LEN(TRIM(D56))=0,"",IFNA(VLOOKUP(UPPER(TRIM(D56)),'CLIENT DIRECTORY'!A:B,2,FALSE),""))</f>
        <v/>
      </c>
      <c r="H56" s="14">
        <v>830000.0</v>
      </c>
      <c r="I56" s="38"/>
      <c r="J56" s="16" t="s">
        <v>26</v>
      </c>
      <c r="K56" s="17"/>
      <c r="L56" s="6" t="s">
        <v>191</v>
      </c>
      <c r="M56" s="6"/>
      <c r="N56" s="6"/>
      <c r="O56" s="6"/>
      <c r="P56" s="6"/>
      <c r="Q56" s="6"/>
      <c r="R56" s="6"/>
    </row>
    <row r="57" ht="22.5" customHeight="1">
      <c r="A57" s="7">
        <v>54.0</v>
      </c>
      <c r="B57" s="8">
        <v>9.0</v>
      </c>
      <c r="C57" s="9">
        <v>46072.0</v>
      </c>
      <c r="D57" s="10" t="s">
        <v>192</v>
      </c>
      <c r="E57" s="11" t="s">
        <v>193</v>
      </c>
      <c r="F57" s="12"/>
      <c r="G57" s="13" t="str">
        <f>IF(LEN(TRIM(D57))=0,"",IFNA(VLOOKUP(UPPER(TRIM(D57)),'CLIENT DIRECTORY'!A:B,2,FALSE),""))</f>
        <v/>
      </c>
      <c r="H57" s="14">
        <v>400000.0</v>
      </c>
      <c r="I57" s="38"/>
      <c r="J57" s="22" t="s">
        <v>26</v>
      </c>
      <c r="K57" s="17"/>
      <c r="L57" s="6" t="s">
        <v>194</v>
      </c>
      <c r="M57" s="6"/>
      <c r="N57" s="6"/>
      <c r="O57" s="6"/>
      <c r="P57" s="6"/>
      <c r="Q57" s="6"/>
      <c r="R57" s="6"/>
    </row>
    <row r="58" ht="22.5" customHeight="1">
      <c r="A58" s="7">
        <v>55.0</v>
      </c>
      <c r="B58" s="8" t="s">
        <v>140</v>
      </c>
      <c r="C58" s="35" t="s">
        <v>140</v>
      </c>
      <c r="D58" s="10" t="s">
        <v>140</v>
      </c>
      <c r="E58" s="11" t="s">
        <v>140</v>
      </c>
      <c r="F58" s="12" t="s">
        <v>195</v>
      </c>
      <c r="G58" s="13" t="str">
        <f>IF(LEN(TRIM(D58))=0,"",IFNA(VLOOKUP(UPPER(TRIM(D58)),'CLIENT DIRECTORY'!A:B,2,FALSE),""))</f>
        <v/>
      </c>
      <c r="H58" s="14" t="s">
        <v>195</v>
      </c>
      <c r="I58" s="15"/>
      <c r="J58" s="37" t="s">
        <v>140</v>
      </c>
      <c r="K58" s="17"/>
      <c r="L58" s="6" t="s">
        <v>196</v>
      </c>
      <c r="M58" s="6"/>
      <c r="N58" s="6"/>
      <c r="O58" s="6"/>
      <c r="P58" s="6"/>
      <c r="Q58" s="6"/>
      <c r="R58" s="6"/>
    </row>
    <row r="59" ht="22.5" customHeight="1">
      <c r="A59" s="7">
        <v>56.0</v>
      </c>
      <c r="B59" s="8" t="s">
        <v>140</v>
      </c>
      <c r="C59" s="35" t="s">
        <v>140</v>
      </c>
      <c r="D59" s="10" t="s">
        <v>140</v>
      </c>
      <c r="E59" s="11" t="s">
        <v>140</v>
      </c>
      <c r="F59" s="12" t="s">
        <v>195</v>
      </c>
      <c r="G59" s="13" t="str">
        <f>IF(LEN(TRIM(D59))=0,"",IFNA(VLOOKUP(UPPER(TRIM(D59)),'CLIENT DIRECTORY'!A:B,2,FALSE),""))</f>
        <v/>
      </c>
      <c r="H59" s="14" t="s">
        <v>195</v>
      </c>
      <c r="I59" s="15"/>
      <c r="J59" s="37" t="s">
        <v>140</v>
      </c>
      <c r="K59" s="17"/>
      <c r="L59" s="6" t="s">
        <v>197</v>
      </c>
      <c r="M59" s="6"/>
      <c r="N59" s="6"/>
      <c r="O59" s="6"/>
      <c r="P59" s="6"/>
      <c r="Q59" s="6"/>
      <c r="R59" s="6"/>
    </row>
    <row r="60" ht="22.5" customHeight="1">
      <c r="A60" s="7">
        <v>57.0</v>
      </c>
      <c r="B60" s="8">
        <v>1.0</v>
      </c>
      <c r="C60" s="9">
        <v>46073.0</v>
      </c>
      <c r="D60" s="10" t="s">
        <v>198</v>
      </c>
      <c r="E60" s="11" t="s">
        <v>199</v>
      </c>
      <c r="F60" s="12"/>
      <c r="G60" s="13" t="s">
        <v>200</v>
      </c>
      <c r="H60" s="14">
        <v>2500.0</v>
      </c>
      <c r="I60" s="15"/>
      <c r="J60" s="16" t="s">
        <v>26</v>
      </c>
      <c r="K60" s="17"/>
      <c r="L60" s="6" t="s">
        <v>201</v>
      </c>
      <c r="M60" s="6"/>
      <c r="N60" s="6"/>
      <c r="O60" s="6"/>
      <c r="P60" s="6"/>
      <c r="Q60" s="6"/>
      <c r="R60" s="6"/>
    </row>
    <row r="61" ht="22.5" customHeight="1">
      <c r="A61" s="7">
        <v>58.0</v>
      </c>
      <c r="B61" s="8">
        <v>2.0</v>
      </c>
      <c r="C61" s="9">
        <v>46073.0</v>
      </c>
      <c r="D61" s="10" t="s">
        <v>202</v>
      </c>
      <c r="E61" s="11" t="s">
        <v>203</v>
      </c>
      <c r="F61" s="12"/>
      <c r="G61" s="13" t="str">
        <f>IF(LEN(TRIM(D61))=0,"",IFNA(VLOOKUP(UPPER(TRIM(D61)),'CLIENT DIRECTORY'!A:B,2,FALSE),""))</f>
        <v/>
      </c>
      <c r="H61" s="14">
        <v>265000.0</v>
      </c>
      <c r="I61" s="15"/>
      <c r="J61" s="16" t="s">
        <v>26</v>
      </c>
      <c r="K61" s="17"/>
      <c r="L61" s="6" t="s">
        <v>204</v>
      </c>
      <c r="M61" s="6"/>
      <c r="N61" s="6"/>
      <c r="O61" s="6"/>
      <c r="P61" s="6"/>
      <c r="Q61" s="6"/>
      <c r="R61" s="6"/>
    </row>
    <row r="62" ht="22.5" customHeight="1">
      <c r="A62" s="7">
        <v>59.0</v>
      </c>
      <c r="B62" s="8">
        <v>3.0</v>
      </c>
      <c r="C62" s="9">
        <v>46073.0</v>
      </c>
      <c r="D62" s="10" t="s">
        <v>205</v>
      </c>
      <c r="E62" s="11" t="s">
        <v>206</v>
      </c>
      <c r="F62" s="12"/>
      <c r="G62" s="13" t="str">
        <f>IF(LEN(TRIM(D62))=0,"",IFNA(VLOOKUP(UPPER(TRIM(D62)),'CLIENT DIRECTORY'!A:B,2,FALSE),""))</f>
        <v/>
      </c>
      <c r="H62" s="14">
        <v>5000.0</v>
      </c>
      <c r="I62" s="15"/>
      <c r="J62" s="16" t="s">
        <v>26</v>
      </c>
      <c r="K62" s="17"/>
      <c r="L62" s="6" t="s">
        <v>207</v>
      </c>
      <c r="M62" s="6"/>
      <c r="N62" s="6"/>
      <c r="O62" s="6"/>
      <c r="P62" s="6"/>
      <c r="Q62" s="6"/>
      <c r="R62" s="6"/>
    </row>
    <row r="63" ht="22.5" customHeight="1">
      <c r="A63" s="7">
        <v>60.0</v>
      </c>
      <c r="B63" s="8">
        <v>4.0</v>
      </c>
      <c r="C63" s="39">
        <v>46073.0</v>
      </c>
      <c r="D63" s="10" t="s">
        <v>208</v>
      </c>
      <c r="E63" s="11" t="s">
        <v>209</v>
      </c>
      <c r="F63" s="12"/>
      <c r="G63" s="13" t="s">
        <v>210</v>
      </c>
      <c r="H63" s="14">
        <v>2500.0</v>
      </c>
      <c r="I63" s="15"/>
      <c r="J63" s="16" t="s">
        <v>26</v>
      </c>
      <c r="K63" s="17"/>
      <c r="L63" s="6" t="s">
        <v>211</v>
      </c>
      <c r="M63" s="6"/>
      <c r="N63" s="6"/>
      <c r="O63" s="6"/>
      <c r="P63" s="6"/>
      <c r="Q63" s="6"/>
      <c r="R63" s="6"/>
    </row>
    <row r="64" ht="22.5" customHeight="1">
      <c r="A64" s="7">
        <v>61.0</v>
      </c>
      <c r="B64" s="8">
        <v>5.0</v>
      </c>
      <c r="C64" s="9">
        <v>46073.0</v>
      </c>
      <c r="D64" s="10" t="s">
        <v>212</v>
      </c>
      <c r="E64" s="11" t="s">
        <v>213</v>
      </c>
      <c r="F64" s="12"/>
      <c r="G64" s="13" t="s">
        <v>214</v>
      </c>
      <c r="H64" s="14">
        <v>2500.0</v>
      </c>
      <c r="I64" s="15"/>
      <c r="J64" s="21" t="s">
        <v>26</v>
      </c>
      <c r="K64" s="17"/>
      <c r="L64" s="6" t="s">
        <v>215</v>
      </c>
      <c r="M64" s="6"/>
      <c r="N64" s="6"/>
      <c r="O64" s="6"/>
      <c r="P64" s="6"/>
      <c r="Q64" s="6"/>
      <c r="R64" s="6"/>
    </row>
    <row r="65" ht="22.5" customHeight="1">
      <c r="A65" s="7">
        <v>62.0</v>
      </c>
      <c r="B65" s="8">
        <v>6.0</v>
      </c>
      <c r="C65" s="9">
        <v>46073.0</v>
      </c>
      <c r="D65" s="10" t="s">
        <v>216</v>
      </c>
      <c r="E65" s="11" t="s">
        <v>217</v>
      </c>
      <c r="F65" s="12"/>
      <c r="G65" s="13" t="str">
        <f>IF(LEN(TRIM(D65))=0,"",IFNA(VLOOKUP(UPPER(TRIM(D65)),'CLIENT DIRECTORY'!A:B,2,FALSE),""))</f>
        <v/>
      </c>
      <c r="H65" s="14">
        <v>368000.0</v>
      </c>
      <c r="I65" s="15"/>
      <c r="J65" s="21" t="s">
        <v>26</v>
      </c>
      <c r="K65" s="17"/>
      <c r="L65" s="6" t="s">
        <v>218</v>
      </c>
      <c r="M65" s="6"/>
      <c r="N65" s="6"/>
      <c r="O65" s="6"/>
      <c r="P65" s="6"/>
      <c r="Q65" s="6"/>
      <c r="R65" s="6"/>
    </row>
    <row r="66" ht="22.5" customHeight="1">
      <c r="A66" s="7">
        <v>63.0</v>
      </c>
      <c r="B66" s="8">
        <v>7.0</v>
      </c>
      <c r="C66" s="9">
        <v>46073.0</v>
      </c>
      <c r="D66" s="10" t="s">
        <v>208</v>
      </c>
      <c r="E66" s="11" t="s">
        <v>219</v>
      </c>
      <c r="F66" s="12"/>
      <c r="G66" s="13" t="s">
        <v>210</v>
      </c>
      <c r="H66" s="14">
        <v>2500.0</v>
      </c>
      <c r="I66" s="15"/>
      <c r="J66" s="16" t="s">
        <v>26</v>
      </c>
      <c r="K66" s="17"/>
      <c r="L66" s="6" t="s">
        <v>220</v>
      </c>
      <c r="M66" s="6"/>
      <c r="N66" s="6"/>
      <c r="O66" s="6"/>
      <c r="P66" s="6"/>
      <c r="Q66" s="6"/>
      <c r="R66" s="6"/>
    </row>
    <row r="67" ht="22.5" customHeight="1">
      <c r="A67" s="7">
        <v>64.0</v>
      </c>
      <c r="B67" s="8">
        <v>8.0</v>
      </c>
      <c r="C67" s="9">
        <v>46073.0</v>
      </c>
      <c r="D67" s="10" t="s">
        <v>221</v>
      </c>
      <c r="E67" s="11" t="s">
        <v>222</v>
      </c>
      <c r="F67" s="12"/>
      <c r="G67" s="14" t="s">
        <v>223</v>
      </c>
      <c r="H67" s="14">
        <v>2500.0</v>
      </c>
      <c r="I67" s="15"/>
      <c r="J67" s="21" t="s">
        <v>26</v>
      </c>
      <c r="K67" s="17"/>
      <c r="L67" s="6" t="s">
        <v>224</v>
      </c>
      <c r="M67" s="6"/>
      <c r="N67" s="6"/>
      <c r="O67" s="6"/>
      <c r="P67" s="6"/>
      <c r="Q67" s="6"/>
      <c r="R67" s="6"/>
    </row>
    <row r="68" ht="22.5" customHeight="1">
      <c r="A68" s="7">
        <v>65.0</v>
      </c>
      <c r="B68" s="8">
        <v>9.0</v>
      </c>
      <c r="C68" s="9">
        <v>46058.0</v>
      </c>
      <c r="D68" s="10" t="s">
        <v>221</v>
      </c>
      <c r="E68" s="11" t="s">
        <v>225</v>
      </c>
      <c r="F68" s="12"/>
      <c r="G68" s="14" t="s">
        <v>223</v>
      </c>
      <c r="H68" s="14">
        <v>2500.0</v>
      </c>
      <c r="I68" s="15"/>
      <c r="J68" s="16" t="s">
        <v>26</v>
      </c>
      <c r="K68" s="17"/>
      <c r="L68" s="6" t="s">
        <v>226</v>
      </c>
      <c r="M68" s="6"/>
      <c r="N68" s="6"/>
      <c r="O68" s="6"/>
      <c r="P68" s="6"/>
      <c r="Q68" s="6"/>
      <c r="R68" s="6"/>
    </row>
    <row r="69" ht="22.5" customHeight="1">
      <c r="A69" s="7">
        <v>66.0</v>
      </c>
      <c r="B69" s="8">
        <v>10.0</v>
      </c>
      <c r="C69" s="9">
        <v>46073.0</v>
      </c>
      <c r="D69" s="10" t="s">
        <v>227</v>
      </c>
      <c r="E69" s="11" t="s">
        <v>228</v>
      </c>
      <c r="F69" s="12"/>
      <c r="G69" s="13" t="str">
        <f>IF(LEN(TRIM(D69))=0,"",IFNA(VLOOKUP(UPPER(TRIM(D69)),'CLIENT DIRECTORY'!A:B,2,FALSE),""))</f>
        <v/>
      </c>
      <c r="H69" s="14">
        <v>10000.0</v>
      </c>
      <c r="I69" s="15"/>
      <c r="J69" s="21" t="s">
        <v>26</v>
      </c>
      <c r="K69" s="17"/>
      <c r="L69" s="6" t="s">
        <v>229</v>
      </c>
      <c r="M69" s="6"/>
      <c r="N69" s="6"/>
      <c r="O69" s="6"/>
      <c r="P69" s="6"/>
      <c r="Q69" s="6"/>
      <c r="R69" s="6"/>
    </row>
    <row r="70" ht="22.5" customHeight="1">
      <c r="A70" s="7">
        <v>67.0</v>
      </c>
      <c r="B70" s="8">
        <v>11.0</v>
      </c>
      <c r="C70" s="9">
        <v>46073.0</v>
      </c>
      <c r="D70" s="10" t="s">
        <v>230</v>
      </c>
      <c r="E70" s="11" t="s">
        <v>231</v>
      </c>
      <c r="F70" s="12"/>
      <c r="G70" s="13" t="str">
        <f>IF(LEN(TRIM(D70))=0,"",IFNA(VLOOKUP(UPPER(TRIM(D70)),'CLIENT DIRECTORY'!A:B,2,FALSE),""))</f>
        <v/>
      </c>
      <c r="H70" s="14">
        <v>5000.0</v>
      </c>
      <c r="I70" s="15"/>
      <c r="J70" s="21" t="s">
        <v>26</v>
      </c>
      <c r="K70" s="17"/>
      <c r="L70" s="6" t="s">
        <v>232</v>
      </c>
      <c r="M70" s="6"/>
      <c r="N70" s="6"/>
      <c r="O70" s="6"/>
      <c r="P70" s="6"/>
      <c r="Q70" s="6"/>
      <c r="R70" s="6"/>
    </row>
    <row r="71" ht="22.5" customHeight="1">
      <c r="A71" s="7">
        <v>68.0</v>
      </c>
      <c r="B71" s="8">
        <v>12.0</v>
      </c>
      <c r="C71" s="9">
        <v>46073.0</v>
      </c>
      <c r="D71" s="10" t="s">
        <v>233</v>
      </c>
      <c r="E71" s="11" t="s">
        <v>234</v>
      </c>
      <c r="F71" s="12"/>
      <c r="G71" s="13" t="str">
        <f>IF(LEN(TRIM(D71))=0,"",IFNA(VLOOKUP(UPPER(TRIM(D71)),'CLIENT DIRECTORY'!A:B,2,FALSE),""))</f>
        <v/>
      </c>
      <c r="H71" s="14">
        <v>15000.0</v>
      </c>
      <c r="I71" s="15"/>
      <c r="J71" s="21" t="s">
        <v>26</v>
      </c>
      <c r="K71" s="17"/>
      <c r="L71" s="6" t="s">
        <v>235</v>
      </c>
      <c r="M71" s="6"/>
      <c r="N71" s="6"/>
      <c r="O71" s="6"/>
      <c r="P71" s="6"/>
      <c r="Q71" s="6"/>
      <c r="R71" s="6"/>
    </row>
    <row r="72" ht="22.5" customHeight="1">
      <c r="A72" s="7">
        <v>69.0</v>
      </c>
      <c r="B72" s="8">
        <v>13.0</v>
      </c>
      <c r="C72" s="9">
        <v>46073.0</v>
      </c>
      <c r="D72" s="10" t="s">
        <v>236</v>
      </c>
      <c r="E72" s="11" t="s">
        <v>90</v>
      </c>
      <c r="F72" s="12"/>
      <c r="G72" s="13" t="s">
        <v>237</v>
      </c>
      <c r="H72" s="14">
        <v>2500.0</v>
      </c>
      <c r="I72" s="15"/>
      <c r="J72" s="21" t="s">
        <v>26</v>
      </c>
      <c r="K72" s="17"/>
      <c r="L72" s="6" t="s">
        <v>238</v>
      </c>
      <c r="M72" s="6"/>
      <c r="N72" s="6"/>
      <c r="O72" s="6"/>
      <c r="P72" s="6"/>
      <c r="Q72" s="6"/>
      <c r="R72" s="6"/>
    </row>
    <row r="73" ht="22.5" customHeight="1">
      <c r="A73" s="7">
        <v>70.0</v>
      </c>
      <c r="B73" s="8">
        <v>14.0</v>
      </c>
      <c r="C73" s="9">
        <v>46073.0</v>
      </c>
      <c r="D73" s="10" t="s">
        <v>239</v>
      </c>
      <c r="E73" s="11" t="s">
        <v>240</v>
      </c>
      <c r="F73" s="12"/>
      <c r="G73" s="13" t="str">
        <f>IF(LEN(TRIM(D73))=0,"",IFNA(VLOOKUP(UPPER(TRIM(D73)),'CLIENT DIRECTORY'!A:B,2,FALSE),""))</f>
        <v/>
      </c>
      <c r="H73" s="14">
        <v>25000.0</v>
      </c>
      <c r="I73" s="15"/>
      <c r="J73" s="40" t="s">
        <v>26</v>
      </c>
      <c r="K73" s="17"/>
      <c r="L73" s="6" t="s">
        <v>241</v>
      </c>
      <c r="M73" s="6"/>
      <c r="N73" s="6"/>
      <c r="O73" s="6"/>
      <c r="P73" s="6"/>
      <c r="Q73" s="6"/>
      <c r="R73" s="6"/>
    </row>
    <row r="74" ht="22.5" customHeight="1">
      <c r="A74" s="7">
        <v>71.0</v>
      </c>
      <c r="B74" s="8">
        <v>15.0</v>
      </c>
      <c r="C74" s="9">
        <v>46073.0</v>
      </c>
      <c r="D74" s="10" t="s">
        <v>242</v>
      </c>
      <c r="E74" s="11" t="s">
        <v>243</v>
      </c>
      <c r="F74" s="12"/>
      <c r="G74" s="13" t="str">
        <f>IF(LEN(TRIM(D74))=0,"",IFNA(VLOOKUP(UPPER(TRIM(D74)),'CLIENT DIRECTORY'!A:B,2,FALSE),""))</f>
        <v/>
      </c>
      <c r="H74" s="14">
        <v>2500.0</v>
      </c>
      <c r="I74" s="15"/>
      <c r="J74" s="21" t="s">
        <v>26</v>
      </c>
      <c r="K74" s="17"/>
      <c r="L74" s="6" t="s">
        <v>244</v>
      </c>
      <c r="M74" s="6"/>
      <c r="N74" s="6"/>
      <c r="O74" s="6"/>
      <c r="P74" s="6"/>
      <c r="Q74" s="6"/>
      <c r="R74" s="6"/>
    </row>
    <row r="75" ht="22.5" customHeight="1">
      <c r="A75" s="7">
        <v>72.0</v>
      </c>
      <c r="B75" s="8">
        <v>16.0</v>
      </c>
      <c r="C75" s="9">
        <v>46073.0</v>
      </c>
      <c r="D75" s="10" t="s">
        <v>245</v>
      </c>
      <c r="E75" s="11" t="s">
        <v>246</v>
      </c>
      <c r="F75" s="12"/>
      <c r="G75" s="13" t="str">
        <f>IF(LEN(TRIM(D75))=0,"",IFNA(VLOOKUP(UPPER(TRIM(D75)),'CLIENT DIRECTORY'!A:B,2,FALSE),""))</f>
        <v/>
      </c>
      <c r="H75" s="14">
        <v>5000.0</v>
      </c>
      <c r="I75" s="15"/>
      <c r="J75" s="16" t="s">
        <v>26</v>
      </c>
      <c r="K75" s="17"/>
      <c r="L75" s="6" t="s">
        <v>247</v>
      </c>
      <c r="M75" s="6"/>
      <c r="N75" s="6"/>
      <c r="O75" s="6"/>
      <c r="P75" s="6"/>
      <c r="Q75" s="6"/>
      <c r="R75" s="6"/>
    </row>
    <row r="76" ht="22.5" customHeight="1">
      <c r="A76" s="7">
        <v>73.0</v>
      </c>
      <c r="B76" s="8">
        <v>17.0</v>
      </c>
      <c r="C76" s="9">
        <v>46073.0</v>
      </c>
      <c r="D76" s="10" t="s">
        <v>248</v>
      </c>
      <c r="E76" s="11" t="s">
        <v>249</v>
      </c>
      <c r="F76" s="12"/>
      <c r="G76" s="13" t="s">
        <v>250</v>
      </c>
      <c r="H76" s="14">
        <v>25000.0</v>
      </c>
      <c r="I76" s="15"/>
      <c r="J76" s="21" t="s">
        <v>26</v>
      </c>
      <c r="K76" s="17"/>
      <c r="L76" s="6" t="s">
        <v>251</v>
      </c>
      <c r="M76" s="6"/>
      <c r="N76" s="6"/>
      <c r="O76" s="6"/>
      <c r="P76" s="6"/>
      <c r="Q76" s="6"/>
      <c r="R76" s="6"/>
    </row>
    <row r="77" ht="22.5" customHeight="1">
      <c r="A77" s="7">
        <v>74.0</v>
      </c>
      <c r="B77" s="8">
        <v>18.0</v>
      </c>
      <c r="C77" s="9">
        <v>46073.0</v>
      </c>
      <c r="D77" s="10" t="s">
        <v>18</v>
      </c>
      <c r="E77" s="11" t="s">
        <v>252</v>
      </c>
      <c r="F77" s="12"/>
      <c r="G77" s="13" t="s">
        <v>20</v>
      </c>
      <c r="H77" s="14">
        <v>2500.0</v>
      </c>
      <c r="I77" s="15">
        <v>2500.0</v>
      </c>
      <c r="J77" s="16" t="s">
        <v>21</v>
      </c>
      <c r="K77" s="17"/>
      <c r="L77" s="6" t="s">
        <v>253</v>
      </c>
      <c r="M77" s="6"/>
      <c r="N77" s="6"/>
      <c r="O77" s="6"/>
      <c r="P77" s="6"/>
      <c r="Q77" s="6"/>
      <c r="R77" s="6"/>
    </row>
    <row r="78" ht="22.5" customHeight="1">
      <c r="A78" s="7">
        <v>76.0</v>
      </c>
      <c r="B78" s="8">
        <v>19.0</v>
      </c>
      <c r="C78" s="9">
        <v>46073.0</v>
      </c>
      <c r="D78" s="10" t="s">
        <v>254</v>
      </c>
      <c r="E78" s="11" t="s">
        <v>255</v>
      </c>
      <c r="F78" s="12"/>
      <c r="G78" s="13" t="s">
        <v>256</v>
      </c>
      <c r="H78" s="14">
        <v>5000.0</v>
      </c>
      <c r="I78" s="15"/>
      <c r="J78" s="16" t="s">
        <v>26</v>
      </c>
      <c r="K78" s="17"/>
      <c r="L78" s="6" t="s">
        <v>257</v>
      </c>
      <c r="M78" s="6"/>
      <c r="N78" s="6"/>
      <c r="O78" s="6"/>
      <c r="P78" s="6"/>
      <c r="Q78" s="6"/>
      <c r="R78" s="6"/>
    </row>
    <row r="79" ht="22.5" customHeight="1">
      <c r="A79" s="7">
        <v>77.0</v>
      </c>
      <c r="B79" s="8">
        <v>20.0</v>
      </c>
      <c r="C79" s="9">
        <v>46073.0</v>
      </c>
      <c r="D79" s="10" t="s">
        <v>258</v>
      </c>
      <c r="E79" s="11" t="s">
        <v>259</v>
      </c>
      <c r="F79" s="12"/>
      <c r="G79" s="13" t="str">
        <f>IF(LEN(TRIM(D79))=0,"",IFNA(VLOOKUP(UPPER(TRIM(D79)),'CLIENT DIRECTORY'!A:B,2,FALSE),""))</f>
        <v/>
      </c>
      <c r="H79" s="14">
        <v>15000.0</v>
      </c>
      <c r="I79" s="15"/>
      <c r="J79" s="21" t="s">
        <v>26</v>
      </c>
      <c r="K79" s="17"/>
      <c r="L79" s="6" t="s">
        <v>260</v>
      </c>
      <c r="M79" s="6"/>
      <c r="N79" s="6"/>
      <c r="O79" s="6"/>
      <c r="P79" s="6"/>
      <c r="Q79" s="6"/>
      <c r="R79" s="6"/>
    </row>
    <row r="80" ht="22.5" customHeight="1">
      <c r="A80" s="7">
        <v>78.0</v>
      </c>
      <c r="B80" s="8" t="s">
        <v>140</v>
      </c>
      <c r="C80" s="35" t="s">
        <v>140</v>
      </c>
      <c r="D80" s="10" t="s">
        <v>140</v>
      </c>
      <c r="E80" s="11" t="s">
        <v>140</v>
      </c>
      <c r="F80" s="12" t="s">
        <v>140</v>
      </c>
      <c r="G80" s="13" t="str">
        <f>IF(LEN(TRIM(D80))=0,"",IFNA(VLOOKUP(UPPER(TRIM(D80)),'CLIENT DIRECTORY'!A:B,2,FALSE),""))</f>
        <v/>
      </c>
      <c r="H80" s="14" t="s">
        <v>140</v>
      </c>
      <c r="I80" s="15"/>
      <c r="J80" s="37" t="s">
        <v>140</v>
      </c>
      <c r="K80" s="17"/>
      <c r="L80" s="6" t="s">
        <v>261</v>
      </c>
      <c r="M80" s="6"/>
      <c r="N80" s="6"/>
      <c r="O80" s="6"/>
      <c r="P80" s="6"/>
      <c r="Q80" s="6"/>
      <c r="R80" s="6"/>
    </row>
    <row r="81" ht="22.5" customHeight="1">
      <c r="A81" s="7">
        <v>79.0</v>
      </c>
      <c r="B81" s="36"/>
      <c r="C81" s="35" t="s">
        <v>140</v>
      </c>
      <c r="D81" s="10" t="s">
        <v>140</v>
      </c>
      <c r="E81" s="11" t="s">
        <v>140</v>
      </c>
      <c r="F81" s="12" t="s">
        <v>140</v>
      </c>
      <c r="G81" s="13" t="str">
        <f>IF(LEN(TRIM(D81))=0,"",IFNA(VLOOKUP(UPPER(TRIM(D81)),'CLIENT DIRECTORY'!A:B,2,FALSE),""))</f>
        <v/>
      </c>
      <c r="H81" s="14" t="s">
        <v>140</v>
      </c>
      <c r="I81" s="15"/>
      <c r="J81" s="37" t="s">
        <v>140</v>
      </c>
      <c r="K81" s="17"/>
      <c r="L81" s="6" t="s">
        <v>262</v>
      </c>
      <c r="M81" s="6"/>
      <c r="N81" s="6"/>
      <c r="O81" s="6"/>
      <c r="P81" s="6"/>
      <c r="Q81" s="6"/>
      <c r="R81" s="6"/>
    </row>
    <row r="82" ht="22.5" customHeight="1">
      <c r="A82" s="7">
        <v>80.0</v>
      </c>
      <c r="B82" s="8">
        <v>1.0</v>
      </c>
      <c r="C82" s="9">
        <v>46074.0</v>
      </c>
      <c r="D82" s="10" t="s">
        <v>89</v>
      </c>
      <c r="E82" s="11" t="s">
        <v>263</v>
      </c>
      <c r="F82" s="12"/>
      <c r="G82" s="13" t="s">
        <v>91</v>
      </c>
      <c r="H82" s="14">
        <v>2500.0</v>
      </c>
      <c r="I82" s="32"/>
      <c r="J82" s="33" t="s">
        <v>26</v>
      </c>
      <c r="K82" s="17"/>
      <c r="L82" s="6" t="s">
        <v>264</v>
      </c>
      <c r="M82" s="6"/>
      <c r="N82" s="6"/>
      <c r="O82" s="6"/>
      <c r="P82" s="6"/>
      <c r="Q82" s="6"/>
      <c r="R82" s="6"/>
    </row>
    <row r="83" ht="22.5" customHeight="1">
      <c r="A83" s="7">
        <v>81.0</v>
      </c>
      <c r="B83" s="8">
        <v>2.0</v>
      </c>
      <c r="C83" s="9">
        <v>46074.0</v>
      </c>
      <c r="D83" s="10" t="s">
        <v>23</v>
      </c>
      <c r="E83" s="11" t="s">
        <v>265</v>
      </c>
      <c r="F83" s="12"/>
      <c r="G83" s="13" t="s">
        <v>25</v>
      </c>
      <c r="H83" s="14">
        <v>2500.0</v>
      </c>
      <c r="I83" s="15"/>
      <c r="J83" s="16" t="s">
        <v>26</v>
      </c>
      <c r="K83" s="17"/>
      <c r="L83" s="6" t="s">
        <v>266</v>
      </c>
      <c r="M83" s="6"/>
      <c r="N83" s="6"/>
      <c r="O83" s="6"/>
      <c r="P83" s="6"/>
      <c r="Q83" s="6"/>
      <c r="R83" s="6"/>
    </row>
    <row r="84" ht="22.5" customHeight="1">
      <c r="A84" s="7">
        <v>82.0</v>
      </c>
      <c r="B84" s="8">
        <v>3.0</v>
      </c>
      <c r="C84" s="9">
        <v>46074.0</v>
      </c>
      <c r="D84" s="10" t="s">
        <v>267</v>
      </c>
      <c r="E84" s="11" t="s">
        <v>268</v>
      </c>
      <c r="F84" s="12"/>
      <c r="G84" s="13" t="str">
        <f>IF(LEN(TRIM(D84))=0,"",IFNA(VLOOKUP(UPPER(TRIM(D84)),'CLIENT DIRECTORY'!A:B,2,FALSE),""))</f>
        <v/>
      </c>
      <c r="H84" s="14">
        <v>15000.0</v>
      </c>
      <c r="I84" s="15"/>
      <c r="J84" s="21" t="s">
        <v>26</v>
      </c>
      <c r="K84" s="17"/>
      <c r="L84" s="6" t="s">
        <v>269</v>
      </c>
      <c r="M84" s="6"/>
      <c r="N84" s="6"/>
      <c r="O84" s="6"/>
      <c r="P84" s="6"/>
      <c r="Q84" s="6"/>
      <c r="R84" s="6"/>
    </row>
    <row r="85" ht="22.5" customHeight="1">
      <c r="A85" s="7">
        <v>83.0</v>
      </c>
      <c r="B85" s="8">
        <v>4.0</v>
      </c>
      <c r="C85" s="9">
        <v>46074.0</v>
      </c>
      <c r="D85" s="10" t="s">
        <v>189</v>
      </c>
      <c r="E85" s="11" t="s">
        <v>270</v>
      </c>
      <c r="F85" s="12"/>
      <c r="G85" s="13" t="str">
        <f>IF(LEN(TRIM(D85))=0,"",IFNA(VLOOKUP(UPPER(TRIM(D85)),'CLIENT DIRECTORY'!A:B,2,FALSE),""))</f>
        <v/>
      </c>
      <c r="H85" s="14">
        <v>9300000.0</v>
      </c>
      <c r="I85" s="15"/>
      <c r="J85" s="41" t="s">
        <v>26</v>
      </c>
      <c r="K85" s="17"/>
      <c r="L85" s="6" t="s">
        <v>271</v>
      </c>
      <c r="M85" s="6"/>
      <c r="N85" s="6"/>
      <c r="O85" s="6"/>
      <c r="P85" s="6"/>
      <c r="Q85" s="6"/>
      <c r="R85" s="6"/>
    </row>
    <row r="86" ht="22.5" customHeight="1">
      <c r="A86" s="7">
        <v>84.0</v>
      </c>
      <c r="B86" s="8">
        <v>5.0</v>
      </c>
      <c r="C86" s="9">
        <v>46074.0</v>
      </c>
      <c r="D86" s="10" t="s">
        <v>272</v>
      </c>
      <c r="E86" s="11" t="s">
        <v>273</v>
      </c>
      <c r="F86" s="12"/>
      <c r="G86" s="13" t="str">
        <f>IF(LEN(TRIM(D86))=0,"",IFNA(VLOOKUP(UPPER(TRIM(D86)),'CLIENT DIRECTORY'!A:B,2,FALSE),""))</f>
        <v/>
      </c>
      <c r="H86" s="14">
        <v>2500.0</v>
      </c>
      <c r="I86" s="15"/>
      <c r="J86" s="21" t="s">
        <v>26</v>
      </c>
      <c r="K86" s="17"/>
      <c r="L86" s="6" t="s">
        <v>274</v>
      </c>
      <c r="M86" s="6"/>
      <c r="N86" s="6"/>
      <c r="O86" s="6"/>
      <c r="P86" s="6"/>
      <c r="Q86" s="6"/>
      <c r="R86" s="6"/>
    </row>
    <row r="87" ht="22.5" customHeight="1">
      <c r="A87" s="7">
        <v>85.0</v>
      </c>
      <c r="B87" s="8">
        <v>6.0</v>
      </c>
      <c r="C87" s="9">
        <v>46075.0</v>
      </c>
      <c r="D87" s="10" t="s">
        <v>272</v>
      </c>
      <c r="E87" s="11" t="s">
        <v>275</v>
      </c>
      <c r="F87" s="12"/>
      <c r="G87" s="13" t="str">
        <f>IF(LEN(TRIM(D87))=0,"",IFNA(VLOOKUP(UPPER(TRIM(D87)),'CLIENT DIRECTORY'!A:B,2,FALSE),""))</f>
        <v/>
      </c>
      <c r="H87" s="14">
        <v>15000.0</v>
      </c>
      <c r="I87" s="15"/>
      <c r="J87" s="21" t="s">
        <v>26</v>
      </c>
      <c r="K87" s="17"/>
      <c r="L87" s="6" t="s">
        <v>276</v>
      </c>
      <c r="M87" s="6"/>
      <c r="N87" s="6"/>
      <c r="O87" s="6"/>
      <c r="P87" s="6"/>
      <c r="Q87" s="6"/>
      <c r="R87" s="6"/>
    </row>
    <row r="88" ht="22.5" customHeight="1">
      <c r="A88" s="7">
        <v>86.0</v>
      </c>
      <c r="B88" s="8">
        <v>7.0</v>
      </c>
      <c r="C88" s="9">
        <v>46074.0</v>
      </c>
      <c r="D88" s="10" t="s">
        <v>148</v>
      </c>
      <c r="E88" s="11" t="s">
        <v>277</v>
      </c>
      <c r="F88" s="12"/>
      <c r="G88" s="13" t="str">
        <f>IF(LEN(TRIM(D88))=0,"",IFNA(VLOOKUP(UPPER(TRIM(D88)),'CLIENT DIRECTORY'!A:B,2,FALSE),""))</f>
        <v/>
      </c>
      <c r="H88" s="14">
        <v>2500.0</v>
      </c>
      <c r="I88" s="15"/>
      <c r="J88" s="16" t="s">
        <v>26</v>
      </c>
      <c r="K88" s="17"/>
      <c r="L88" s="6" t="s">
        <v>278</v>
      </c>
      <c r="M88" s="6"/>
      <c r="N88" s="6"/>
      <c r="O88" s="6"/>
      <c r="P88" s="6"/>
      <c r="Q88" s="6"/>
      <c r="R88" s="6"/>
    </row>
    <row r="89" ht="22.5" customHeight="1">
      <c r="A89" s="7">
        <v>87.0</v>
      </c>
      <c r="B89" s="8">
        <v>8.0</v>
      </c>
      <c r="C89" s="9">
        <v>46074.0</v>
      </c>
      <c r="D89" s="10" t="s">
        <v>279</v>
      </c>
      <c r="E89" s="11" t="s">
        <v>280</v>
      </c>
      <c r="F89" s="12"/>
      <c r="G89" s="13" t="str">
        <f>IF(LEN(TRIM(D89))=0,"",IFNA(VLOOKUP(UPPER(TRIM(D89)),'CLIENT DIRECTORY'!A:B,2,FALSE),""))</f>
        <v/>
      </c>
      <c r="H89" s="14">
        <v>15000.0</v>
      </c>
      <c r="I89" s="15"/>
      <c r="J89" s="21" t="s">
        <v>26</v>
      </c>
      <c r="K89" s="17"/>
      <c r="L89" s="6" t="s">
        <v>281</v>
      </c>
      <c r="M89" s="6"/>
      <c r="N89" s="6"/>
      <c r="O89" s="6"/>
      <c r="P89" s="6"/>
      <c r="Q89" s="6"/>
      <c r="R89" s="6"/>
    </row>
    <row r="90" ht="22.5" customHeight="1">
      <c r="A90" s="7">
        <v>88.0</v>
      </c>
      <c r="B90" s="8">
        <v>9.0</v>
      </c>
      <c r="C90" s="9">
        <v>46074.0</v>
      </c>
      <c r="D90" s="10" t="s">
        <v>282</v>
      </c>
      <c r="E90" s="11" t="s">
        <v>283</v>
      </c>
      <c r="F90" s="12"/>
      <c r="G90" s="13" t="str">
        <f>IF(LEN(TRIM(D90))=0,"",IFNA(VLOOKUP(UPPER(TRIM(D90)),'CLIENT DIRECTORY'!A:B,2,FALSE),""))</f>
        <v/>
      </c>
      <c r="H90" s="14">
        <v>2500.0</v>
      </c>
      <c r="I90" s="15"/>
      <c r="J90" s="21" t="s">
        <v>26</v>
      </c>
      <c r="K90" s="17"/>
      <c r="L90" s="6" t="s">
        <v>284</v>
      </c>
      <c r="M90" s="6"/>
      <c r="N90" s="6"/>
      <c r="O90" s="6"/>
      <c r="P90" s="6"/>
      <c r="Q90" s="6"/>
      <c r="R90" s="6"/>
    </row>
    <row r="91" ht="22.5" customHeight="1">
      <c r="A91" s="7">
        <v>89.0</v>
      </c>
      <c r="B91" s="8" t="s">
        <v>285</v>
      </c>
      <c r="C91" s="35" t="s">
        <v>140</v>
      </c>
      <c r="D91" s="10" t="s">
        <v>140</v>
      </c>
      <c r="E91" s="11" t="s">
        <v>140</v>
      </c>
      <c r="F91" s="12" t="s">
        <v>195</v>
      </c>
      <c r="G91" s="13" t="str">
        <f>IF(LEN(TRIM(D91))=0,"",IFNA(VLOOKUP(UPPER(TRIM(D91)),'CLIENT DIRECTORY'!A:B,2,FALSE),""))</f>
        <v/>
      </c>
      <c r="H91" s="14" t="s">
        <v>140</v>
      </c>
      <c r="I91" s="15"/>
      <c r="J91" s="37" t="s">
        <v>140</v>
      </c>
      <c r="K91" s="17"/>
      <c r="L91" s="6" t="s">
        <v>286</v>
      </c>
      <c r="M91" s="6"/>
      <c r="N91" s="6"/>
      <c r="O91" s="6"/>
      <c r="P91" s="6"/>
      <c r="Q91" s="6"/>
      <c r="R91" s="6"/>
    </row>
    <row r="92" ht="22.5" customHeight="1">
      <c r="A92" s="7">
        <v>90.0</v>
      </c>
      <c r="B92" s="36"/>
      <c r="C92" s="35" t="s">
        <v>140</v>
      </c>
      <c r="D92" s="10" t="s">
        <v>140</v>
      </c>
      <c r="E92" s="11" t="s">
        <v>140</v>
      </c>
      <c r="F92" s="12" t="s">
        <v>140</v>
      </c>
      <c r="G92" s="13" t="str">
        <f>IF(LEN(TRIM(D92))=0,"",IFNA(VLOOKUP(UPPER(TRIM(D92)),'CLIENT DIRECTORY'!A:B,2,FALSE),""))</f>
        <v/>
      </c>
      <c r="H92" s="14" t="s">
        <v>140</v>
      </c>
      <c r="I92" s="15"/>
      <c r="J92" s="37" t="s">
        <v>140</v>
      </c>
      <c r="K92" s="17"/>
      <c r="L92" s="6" t="s">
        <v>287</v>
      </c>
      <c r="M92" s="6"/>
      <c r="N92" s="6"/>
      <c r="O92" s="6"/>
      <c r="P92" s="6"/>
      <c r="Q92" s="6"/>
      <c r="R92" s="6"/>
    </row>
    <row r="93" ht="22.5" customHeight="1">
      <c r="A93" s="7">
        <v>91.0</v>
      </c>
      <c r="B93" s="8">
        <v>1.0</v>
      </c>
      <c r="C93" s="9">
        <v>46076.0</v>
      </c>
      <c r="D93" s="10" t="s">
        <v>288</v>
      </c>
      <c r="E93" s="11" t="s">
        <v>181</v>
      </c>
      <c r="F93" s="12"/>
      <c r="G93" s="13" t="str">
        <f>IF(LEN(TRIM(D93))=0,"",IFNA(VLOOKUP(UPPER(TRIM(D93)),'CLIENT DIRECTORY'!A:B,2,FALSE),""))</f>
        <v/>
      </c>
      <c r="H93" s="14">
        <v>4000.0</v>
      </c>
      <c r="I93" s="15"/>
      <c r="J93" s="21" t="s">
        <v>26</v>
      </c>
      <c r="K93" s="17"/>
      <c r="L93" s="6" t="s">
        <v>289</v>
      </c>
      <c r="M93" s="6"/>
      <c r="N93" s="6"/>
      <c r="O93" s="6"/>
      <c r="P93" s="6"/>
      <c r="Q93" s="6"/>
      <c r="R93" s="6"/>
    </row>
    <row r="94" ht="22.5" customHeight="1">
      <c r="A94" s="7">
        <v>92.0</v>
      </c>
      <c r="B94" s="8">
        <v>2.0</v>
      </c>
      <c r="C94" s="9">
        <v>46076.0</v>
      </c>
      <c r="D94" s="10" t="s">
        <v>290</v>
      </c>
      <c r="E94" s="11" t="s">
        <v>291</v>
      </c>
      <c r="F94" s="12"/>
      <c r="G94" s="13" t="str">
        <f>IF(LEN(TRIM(D94))=0,"",IFNA(VLOOKUP(UPPER(TRIM(D94)),'CLIENT DIRECTORY'!A:B,2,FALSE),""))</f>
        <v/>
      </c>
      <c r="H94" s="14">
        <v>250000.0</v>
      </c>
      <c r="I94" s="15"/>
      <c r="J94" s="21" t="s">
        <v>26</v>
      </c>
      <c r="K94" s="17"/>
      <c r="L94" s="6" t="s">
        <v>292</v>
      </c>
      <c r="M94" s="6"/>
      <c r="N94" s="6"/>
      <c r="O94" s="6"/>
      <c r="P94" s="6"/>
      <c r="Q94" s="6"/>
      <c r="R94" s="6"/>
    </row>
    <row r="95" ht="22.5" customHeight="1">
      <c r="A95" s="7">
        <v>93.0</v>
      </c>
      <c r="B95" s="8">
        <v>3.0</v>
      </c>
      <c r="C95" s="9">
        <v>46076.0</v>
      </c>
      <c r="D95" s="10" t="s">
        <v>89</v>
      </c>
      <c r="E95" s="11" t="s">
        <v>293</v>
      </c>
      <c r="F95" s="12"/>
      <c r="G95" s="13" t="s">
        <v>91</v>
      </c>
      <c r="H95" s="14">
        <v>2500.0</v>
      </c>
      <c r="I95" s="32"/>
      <c r="J95" s="33" t="s">
        <v>26</v>
      </c>
      <c r="K95" s="17"/>
      <c r="L95" s="6" t="s">
        <v>294</v>
      </c>
      <c r="M95" s="6"/>
      <c r="N95" s="6"/>
      <c r="O95" s="6"/>
      <c r="P95" s="6"/>
      <c r="Q95" s="6"/>
      <c r="R95" s="6"/>
    </row>
    <row r="96" ht="22.5" customHeight="1">
      <c r="A96" s="7">
        <v>94.0</v>
      </c>
      <c r="B96" s="8">
        <v>4.0</v>
      </c>
      <c r="C96" s="9">
        <v>46076.0</v>
      </c>
      <c r="D96" s="10" t="s">
        <v>54</v>
      </c>
      <c r="E96" s="11" t="s">
        <v>295</v>
      </c>
      <c r="F96" s="12"/>
      <c r="G96" s="13" t="s">
        <v>56</v>
      </c>
      <c r="H96" s="14">
        <v>2500.0</v>
      </c>
      <c r="I96" s="15"/>
      <c r="J96" s="16" t="s">
        <v>26</v>
      </c>
      <c r="K96" s="17"/>
      <c r="L96" s="6" t="s">
        <v>296</v>
      </c>
      <c r="M96" s="6"/>
      <c r="N96" s="6"/>
      <c r="O96" s="6"/>
      <c r="P96" s="6"/>
      <c r="Q96" s="6"/>
      <c r="R96" s="6"/>
    </row>
    <row r="97" ht="22.5" customHeight="1">
      <c r="A97" s="7">
        <v>95.0</v>
      </c>
      <c r="B97" s="8">
        <v>5.0</v>
      </c>
      <c r="C97" s="9">
        <v>46076.0</v>
      </c>
      <c r="D97" s="10" t="s">
        <v>297</v>
      </c>
      <c r="E97" s="11" t="s">
        <v>298</v>
      </c>
      <c r="F97" s="12"/>
      <c r="G97" s="13" t="str">
        <f>IF(LEN(TRIM(D97))=0,"",IFNA(VLOOKUP(UPPER(TRIM(D97)),'CLIENT DIRECTORY'!A:B,2,FALSE),""))</f>
        <v/>
      </c>
      <c r="H97" s="14">
        <v>5000.0</v>
      </c>
      <c r="I97" s="32"/>
      <c r="J97" s="33" t="s">
        <v>26</v>
      </c>
      <c r="K97" s="17"/>
      <c r="L97" s="6" t="s">
        <v>299</v>
      </c>
      <c r="M97" s="6"/>
      <c r="N97" s="6"/>
      <c r="O97" s="6"/>
      <c r="P97" s="6"/>
      <c r="Q97" s="6"/>
      <c r="R97" s="6"/>
    </row>
    <row r="98" ht="22.5" customHeight="1">
      <c r="A98" s="7">
        <v>96.0</v>
      </c>
      <c r="B98" s="8">
        <v>6.0</v>
      </c>
      <c r="C98" s="9">
        <v>46076.0</v>
      </c>
      <c r="D98" s="10" t="s">
        <v>300</v>
      </c>
      <c r="E98" s="11" t="s">
        <v>301</v>
      </c>
      <c r="F98" s="12"/>
      <c r="G98" s="13" t="s">
        <v>302</v>
      </c>
      <c r="H98" s="14">
        <v>3000.0</v>
      </c>
      <c r="I98" s="32"/>
      <c r="J98" s="33" t="s">
        <v>26</v>
      </c>
      <c r="K98" s="17"/>
      <c r="L98" s="6" t="s">
        <v>303</v>
      </c>
      <c r="M98" s="6"/>
      <c r="N98" s="6"/>
      <c r="O98" s="6"/>
      <c r="P98" s="6"/>
      <c r="Q98" s="6"/>
      <c r="R98" s="6"/>
    </row>
    <row r="99" ht="22.5" customHeight="1">
      <c r="A99" s="7">
        <v>97.0</v>
      </c>
      <c r="B99" s="8">
        <v>7.0</v>
      </c>
      <c r="C99" s="9">
        <v>46076.0</v>
      </c>
      <c r="D99" s="10" t="s">
        <v>108</v>
      </c>
      <c r="E99" s="11" t="s">
        <v>304</v>
      </c>
      <c r="F99" s="12"/>
      <c r="G99" s="13" t="s">
        <v>110</v>
      </c>
      <c r="H99" s="14">
        <v>3000.0</v>
      </c>
      <c r="I99" s="15"/>
      <c r="J99" s="16" t="s">
        <v>26</v>
      </c>
      <c r="K99" s="17"/>
      <c r="L99" s="6" t="s">
        <v>305</v>
      </c>
      <c r="M99" s="6"/>
      <c r="N99" s="6"/>
      <c r="O99" s="6"/>
      <c r="P99" s="6"/>
      <c r="Q99" s="6"/>
      <c r="R99" s="6"/>
    </row>
    <row r="100" ht="22.5" customHeight="1">
      <c r="A100" s="7">
        <v>98.0</v>
      </c>
      <c r="B100" s="8">
        <v>8.0</v>
      </c>
      <c r="C100" s="9">
        <v>46076.0</v>
      </c>
      <c r="D100" s="10" t="s">
        <v>306</v>
      </c>
      <c r="E100" s="11" t="s">
        <v>293</v>
      </c>
      <c r="F100" s="12"/>
      <c r="G100" s="13" t="s">
        <v>307</v>
      </c>
      <c r="H100" s="14">
        <v>2500.0</v>
      </c>
      <c r="I100" s="15"/>
      <c r="J100" s="16" t="s">
        <v>26</v>
      </c>
      <c r="K100" s="17"/>
      <c r="L100" s="6" t="s">
        <v>308</v>
      </c>
      <c r="M100" s="6"/>
      <c r="N100" s="6"/>
      <c r="O100" s="6"/>
      <c r="P100" s="6"/>
      <c r="Q100" s="6"/>
      <c r="R100" s="6"/>
    </row>
    <row r="101" ht="22.5" customHeight="1">
      <c r="A101" s="7">
        <v>99.0</v>
      </c>
      <c r="B101" s="8">
        <v>9.0</v>
      </c>
      <c r="C101" s="9">
        <v>46076.0</v>
      </c>
      <c r="D101" s="10" t="s">
        <v>309</v>
      </c>
      <c r="E101" s="11" t="s">
        <v>310</v>
      </c>
      <c r="F101" s="12"/>
      <c r="G101" s="13" t="s">
        <v>311</v>
      </c>
      <c r="H101" s="14">
        <v>2500.0</v>
      </c>
      <c r="I101" s="15">
        <v>2500.0</v>
      </c>
      <c r="J101" s="16" t="s">
        <v>26</v>
      </c>
      <c r="K101" s="17"/>
      <c r="L101" s="6" t="s">
        <v>312</v>
      </c>
      <c r="M101" s="6"/>
      <c r="N101" s="6"/>
      <c r="O101" s="6"/>
      <c r="P101" s="6"/>
      <c r="Q101" s="6"/>
      <c r="R101" s="6"/>
    </row>
    <row r="102" ht="22.5" customHeight="1">
      <c r="A102" s="7">
        <v>100.0</v>
      </c>
      <c r="B102" s="8">
        <v>10.0</v>
      </c>
      <c r="C102" s="9">
        <v>46076.0</v>
      </c>
      <c r="D102" s="10" t="s">
        <v>54</v>
      </c>
      <c r="E102" s="11" t="s">
        <v>313</v>
      </c>
      <c r="F102" s="12"/>
      <c r="G102" s="13" t="s">
        <v>56</v>
      </c>
      <c r="H102" s="14">
        <v>2500.0</v>
      </c>
      <c r="I102" s="15"/>
      <c r="J102" s="16" t="s">
        <v>26</v>
      </c>
      <c r="K102" s="17"/>
      <c r="L102" s="6" t="s">
        <v>314</v>
      </c>
      <c r="M102" s="6"/>
      <c r="N102" s="6"/>
      <c r="O102" s="6"/>
      <c r="P102" s="6"/>
      <c r="Q102" s="6"/>
      <c r="R102" s="6"/>
    </row>
    <row r="103" ht="22.5" customHeight="1">
      <c r="A103" s="7">
        <v>101.0</v>
      </c>
      <c r="B103" s="8">
        <v>11.0</v>
      </c>
      <c r="C103" s="9">
        <v>46076.0</v>
      </c>
      <c r="D103" s="10" t="s">
        <v>315</v>
      </c>
      <c r="E103" s="11" t="s">
        <v>316</v>
      </c>
      <c r="F103" s="12"/>
      <c r="G103" s="13" t="str">
        <f>IF(LEN(TRIM(D103))=0,"",IFNA(VLOOKUP(UPPER(TRIM(D103)),'CLIENT DIRECTORY'!A:B,2,FALSE),""))</f>
        <v/>
      </c>
      <c r="H103" s="14">
        <v>2500.0</v>
      </c>
      <c r="I103" s="32"/>
      <c r="J103" s="33" t="s">
        <v>26</v>
      </c>
      <c r="K103" s="17"/>
      <c r="L103" s="6" t="s">
        <v>317</v>
      </c>
      <c r="M103" s="6"/>
      <c r="N103" s="6"/>
      <c r="O103" s="6"/>
      <c r="P103" s="6"/>
      <c r="Q103" s="6"/>
      <c r="R103" s="6"/>
    </row>
    <row r="104" ht="22.5" customHeight="1">
      <c r="A104" s="7">
        <v>102.0</v>
      </c>
      <c r="B104" s="8">
        <v>12.0</v>
      </c>
      <c r="C104" s="9">
        <v>46076.0</v>
      </c>
      <c r="D104" s="10" t="s">
        <v>93</v>
      </c>
      <c r="E104" s="11" t="s">
        <v>213</v>
      </c>
      <c r="F104" s="12"/>
      <c r="G104" s="13" t="s">
        <v>95</v>
      </c>
      <c r="H104" s="14">
        <v>2500.0</v>
      </c>
      <c r="I104" s="15">
        <v>2500.0</v>
      </c>
      <c r="J104" s="16" t="s">
        <v>26</v>
      </c>
      <c r="K104" s="17"/>
      <c r="L104" s="6" t="s">
        <v>318</v>
      </c>
      <c r="M104" s="6"/>
      <c r="N104" s="6"/>
      <c r="O104" s="6"/>
      <c r="P104" s="6"/>
      <c r="Q104" s="6"/>
      <c r="R104" s="6"/>
    </row>
    <row r="105" ht="22.5" customHeight="1">
      <c r="A105" s="7">
        <v>103.0</v>
      </c>
      <c r="B105" s="8">
        <v>13.0</v>
      </c>
      <c r="C105" s="9">
        <v>46076.0</v>
      </c>
      <c r="D105" s="10" t="s">
        <v>319</v>
      </c>
      <c r="E105" s="11" t="s">
        <v>320</v>
      </c>
      <c r="F105" s="12"/>
      <c r="G105" s="13" t="s">
        <v>321</v>
      </c>
      <c r="H105" s="14">
        <v>2500.0</v>
      </c>
      <c r="I105" s="15"/>
      <c r="J105" s="16" t="s">
        <v>26</v>
      </c>
      <c r="K105" s="17"/>
      <c r="L105" s="6" t="s">
        <v>322</v>
      </c>
      <c r="M105" s="6"/>
      <c r="N105" s="6"/>
      <c r="O105" s="6"/>
      <c r="P105" s="6"/>
      <c r="Q105" s="6"/>
      <c r="R105" s="6"/>
    </row>
    <row r="106" ht="22.5" customHeight="1">
      <c r="A106" s="7">
        <v>104.0</v>
      </c>
      <c r="B106" s="8">
        <v>14.0</v>
      </c>
      <c r="C106" s="9">
        <v>46076.0</v>
      </c>
      <c r="D106" s="10" t="s">
        <v>323</v>
      </c>
      <c r="E106" s="11" t="s">
        <v>324</v>
      </c>
      <c r="F106" s="12"/>
      <c r="G106" s="13" t="str">
        <f>IF(LEN(TRIM(D106))=0,"",IFNA(VLOOKUP(UPPER(TRIM(D106)),'CLIENT DIRECTORY'!A:B,2,FALSE),""))</f>
        <v/>
      </c>
      <c r="H106" s="14">
        <v>3000.0</v>
      </c>
      <c r="I106" s="15"/>
      <c r="J106" s="16" t="s">
        <v>26</v>
      </c>
      <c r="K106" s="17"/>
      <c r="L106" s="6" t="s">
        <v>325</v>
      </c>
      <c r="M106" s="6"/>
      <c r="N106" s="6"/>
      <c r="O106" s="6"/>
      <c r="P106" s="6"/>
      <c r="Q106" s="6"/>
      <c r="R106" s="6"/>
    </row>
    <row r="107" ht="22.5" customHeight="1">
      <c r="A107" s="7">
        <v>105.0</v>
      </c>
      <c r="B107" s="36"/>
      <c r="C107" s="9">
        <v>46076.0</v>
      </c>
      <c r="D107" s="10" t="s">
        <v>323</v>
      </c>
      <c r="E107" s="11" t="s">
        <v>326</v>
      </c>
      <c r="F107" s="12"/>
      <c r="G107" s="13" t="str">
        <f>IF(LEN(TRIM(D107))=0,"",IFNA(VLOOKUP(UPPER(TRIM(D107)),'CLIENT DIRECTORY'!A:B,2,FALSE),""))</f>
        <v/>
      </c>
      <c r="H107" s="14">
        <v>3000.0</v>
      </c>
      <c r="I107" s="15"/>
      <c r="J107" s="16" t="s">
        <v>26</v>
      </c>
      <c r="K107" s="17"/>
      <c r="L107" s="6" t="s">
        <v>327</v>
      </c>
      <c r="M107" s="6"/>
      <c r="N107" s="6"/>
      <c r="O107" s="6"/>
      <c r="P107" s="6"/>
      <c r="Q107" s="6"/>
      <c r="R107" s="6"/>
    </row>
    <row r="108" ht="22.5" customHeight="1">
      <c r="A108" s="7">
        <v>106.0</v>
      </c>
      <c r="B108" s="36"/>
      <c r="C108" s="9">
        <v>46076.0</v>
      </c>
      <c r="D108" s="10" t="s">
        <v>328</v>
      </c>
      <c r="E108" s="11" t="s">
        <v>329</v>
      </c>
      <c r="F108" s="12"/>
      <c r="G108" s="13" t="str">
        <f>IF(LEN(TRIM(D108))=0,"",IFNA(VLOOKUP(UPPER(TRIM(D108)),'CLIENT DIRECTORY'!A:B,2,FALSE),""))</f>
        <v/>
      </c>
      <c r="H108" s="14">
        <v>15000.0</v>
      </c>
      <c r="I108" s="15"/>
      <c r="J108" s="21" t="s">
        <v>26</v>
      </c>
      <c r="K108" s="17"/>
      <c r="L108" s="6" t="s">
        <v>330</v>
      </c>
      <c r="M108" s="6"/>
      <c r="N108" s="6"/>
      <c r="O108" s="6"/>
      <c r="P108" s="6"/>
      <c r="Q108" s="6"/>
      <c r="R108" s="6"/>
    </row>
    <row r="109" ht="22.5" customHeight="1">
      <c r="A109" s="7">
        <v>107.0</v>
      </c>
      <c r="B109" s="36"/>
      <c r="C109" s="35" t="s">
        <v>140</v>
      </c>
      <c r="D109" s="10" t="s">
        <v>140</v>
      </c>
      <c r="E109" s="11" t="s">
        <v>140</v>
      </c>
      <c r="F109" s="12" t="s">
        <v>140</v>
      </c>
      <c r="G109" s="13" t="str">
        <f>IF(LEN(TRIM(D109))=0,"",IFNA(VLOOKUP(UPPER(TRIM(D109)),'CLIENT DIRECTORY'!A:B,2,FALSE),""))</f>
        <v/>
      </c>
      <c r="H109" s="14" t="s">
        <v>140</v>
      </c>
      <c r="I109" s="15"/>
      <c r="J109" s="37" t="s">
        <v>331</v>
      </c>
      <c r="K109" s="17"/>
      <c r="L109" s="6" t="s">
        <v>332</v>
      </c>
      <c r="M109" s="6"/>
      <c r="N109" s="6"/>
      <c r="O109" s="6"/>
      <c r="P109" s="6"/>
      <c r="Q109" s="6"/>
      <c r="R109" s="6"/>
    </row>
    <row r="110" ht="22.5" customHeight="1">
      <c r="A110" s="7">
        <v>108.0</v>
      </c>
      <c r="B110" s="8" t="s">
        <v>285</v>
      </c>
      <c r="C110" s="35" t="s">
        <v>140</v>
      </c>
      <c r="D110" s="10" t="s">
        <v>140</v>
      </c>
      <c r="E110" s="11" t="s">
        <v>140</v>
      </c>
      <c r="F110" s="12" t="s">
        <v>140</v>
      </c>
      <c r="G110" s="13" t="str">
        <f>IF(LEN(TRIM(D110))=0,"",IFNA(VLOOKUP(UPPER(TRIM(D110)),'CLIENT DIRECTORY'!A:B,2,FALSE),""))</f>
        <v/>
      </c>
      <c r="H110" s="14" t="s">
        <v>140</v>
      </c>
      <c r="I110" s="15"/>
      <c r="J110" s="37" t="s">
        <v>140</v>
      </c>
      <c r="K110" s="17"/>
      <c r="L110" s="6" t="s">
        <v>333</v>
      </c>
      <c r="M110" s="6"/>
      <c r="N110" s="6"/>
      <c r="O110" s="6"/>
      <c r="P110" s="6"/>
      <c r="Q110" s="6"/>
      <c r="R110" s="6"/>
    </row>
    <row r="111" ht="22.5" customHeight="1">
      <c r="A111" s="7">
        <v>109.0</v>
      </c>
      <c r="B111" s="8">
        <v>1.0</v>
      </c>
      <c r="C111" s="9">
        <v>46077.0</v>
      </c>
      <c r="D111" s="10" t="s">
        <v>334</v>
      </c>
      <c r="E111" s="11" t="s">
        <v>335</v>
      </c>
      <c r="F111" s="12"/>
      <c r="G111" s="13" t="s">
        <v>321</v>
      </c>
      <c r="H111" s="14">
        <v>2500.0</v>
      </c>
      <c r="I111" s="15"/>
      <c r="J111" s="16" t="s">
        <v>26</v>
      </c>
      <c r="K111" s="17"/>
      <c r="L111" s="6" t="s">
        <v>336</v>
      </c>
      <c r="M111" s="6"/>
      <c r="N111" s="6"/>
      <c r="O111" s="6"/>
      <c r="P111" s="6"/>
      <c r="Q111" s="6"/>
      <c r="R111" s="6"/>
    </row>
    <row r="112" ht="22.5" customHeight="1">
      <c r="A112" s="7">
        <v>110.0</v>
      </c>
      <c r="B112" s="36"/>
      <c r="C112" s="9">
        <v>46077.0</v>
      </c>
      <c r="D112" s="10" t="s">
        <v>319</v>
      </c>
      <c r="E112" s="11" t="s">
        <v>337</v>
      </c>
      <c r="F112" s="12"/>
      <c r="G112" s="13" t="s">
        <v>321</v>
      </c>
      <c r="H112" s="14">
        <v>2500.0</v>
      </c>
      <c r="I112" s="15"/>
      <c r="J112" s="16" t="s">
        <v>26</v>
      </c>
      <c r="K112" s="17"/>
      <c r="L112" s="6" t="s">
        <v>338</v>
      </c>
      <c r="M112" s="6"/>
      <c r="N112" s="6"/>
      <c r="O112" s="6"/>
      <c r="P112" s="6"/>
      <c r="Q112" s="6"/>
      <c r="R112" s="6"/>
    </row>
    <row r="113" ht="22.5" customHeight="1">
      <c r="A113" s="7">
        <v>111.0</v>
      </c>
      <c r="B113" s="36"/>
      <c r="C113" s="9">
        <v>46077.0</v>
      </c>
      <c r="D113" s="10" t="s">
        <v>339</v>
      </c>
      <c r="E113" s="11" t="s">
        <v>340</v>
      </c>
      <c r="F113" s="12"/>
      <c r="G113" s="13" t="s">
        <v>341</v>
      </c>
      <c r="H113" s="14">
        <v>3000.0</v>
      </c>
      <c r="I113" s="15"/>
      <c r="J113" s="16" t="s">
        <v>26</v>
      </c>
      <c r="K113" s="17"/>
      <c r="L113" s="6" t="s">
        <v>342</v>
      </c>
      <c r="M113" s="6"/>
      <c r="N113" s="6"/>
      <c r="O113" s="6"/>
      <c r="P113" s="6"/>
      <c r="Q113" s="6"/>
      <c r="R113" s="6"/>
    </row>
    <row r="114" ht="22.5" customHeight="1">
      <c r="A114" s="7">
        <v>112.0</v>
      </c>
      <c r="B114" s="36"/>
      <c r="C114" s="9">
        <v>46077.0</v>
      </c>
      <c r="D114" s="10" t="s">
        <v>323</v>
      </c>
      <c r="E114" s="11" t="s">
        <v>326</v>
      </c>
      <c r="F114" s="12"/>
      <c r="G114" s="13" t="str">
        <f>IF(LEN(TRIM(D114))=0,"",IFNA(VLOOKUP(UPPER(TRIM(D114)),'CLIENT DIRECTORY'!A:B,2,FALSE),""))</f>
        <v/>
      </c>
      <c r="H114" s="14">
        <v>3000.0</v>
      </c>
      <c r="I114" s="15"/>
      <c r="J114" s="16" t="s">
        <v>26</v>
      </c>
      <c r="K114" s="17"/>
      <c r="L114" s="6" t="s">
        <v>343</v>
      </c>
      <c r="M114" s="6"/>
      <c r="N114" s="6"/>
      <c r="O114" s="6"/>
      <c r="P114" s="6"/>
      <c r="Q114" s="6"/>
      <c r="R114" s="6"/>
    </row>
    <row r="115" ht="22.5" customHeight="1">
      <c r="A115" s="7">
        <v>113.0</v>
      </c>
      <c r="B115" s="36"/>
      <c r="C115" s="9">
        <v>46077.0</v>
      </c>
      <c r="D115" s="10" t="s">
        <v>344</v>
      </c>
      <c r="E115" s="11" t="s">
        <v>345</v>
      </c>
      <c r="F115" s="12"/>
      <c r="G115" s="13" t="str">
        <f>IF(LEN(TRIM(D115))=0,"",IFNA(VLOOKUP(UPPER(TRIM(D115)),'CLIENT DIRECTORY'!A:B,2,FALSE),""))</f>
        <v/>
      </c>
      <c r="H115" s="14">
        <v>2500.0</v>
      </c>
      <c r="I115" s="15"/>
      <c r="J115" s="21" t="s">
        <v>26</v>
      </c>
      <c r="K115" s="17"/>
      <c r="L115" s="6" t="s">
        <v>346</v>
      </c>
      <c r="M115" s="6"/>
      <c r="N115" s="6"/>
      <c r="O115" s="6"/>
      <c r="P115" s="6"/>
      <c r="Q115" s="6"/>
      <c r="R115" s="6"/>
    </row>
    <row r="116" ht="22.5" customHeight="1">
      <c r="A116" s="7">
        <v>114.0</v>
      </c>
      <c r="B116" s="36"/>
      <c r="C116" s="9">
        <v>46077.0</v>
      </c>
      <c r="D116" s="10" t="s">
        <v>236</v>
      </c>
      <c r="E116" s="11" t="s">
        <v>181</v>
      </c>
      <c r="F116" s="12"/>
      <c r="G116" s="13" t="s">
        <v>237</v>
      </c>
      <c r="H116" s="14">
        <v>5000.0</v>
      </c>
      <c r="I116" s="32"/>
      <c r="J116" s="33" t="s">
        <v>26</v>
      </c>
      <c r="K116" s="17"/>
      <c r="L116" s="6" t="s">
        <v>347</v>
      </c>
      <c r="M116" s="6"/>
      <c r="N116" s="6"/>
      <c r="O116" s="6"/>
      <c r="P116" s="6"/>
      <c r="Q116" s="6"/>
      <c r="R116" s="6"/>
    </row>
    <row r="117" ht="22.5" customHeight="1">
      <c r="A117" s="7">
        <v>115.0</v>
      </c>
      <c r="B117" s="36"/>
      <c r="C117" s="9">
        <v>46077.0</v>
      </c>
      <c r="D117" s="10" t="s">
        <v>46</v>
      </c>
      <c r="E117" s="11" t="s">
        <v>348</v>
      </c>
      <c r="F117" s="12"/>
      <c r="G117" s="13" t="s">
        <v>48</v>
      </c>
      <c r="H117" s="14">
        <v>2500.0</v>
      </c>
      <c r="I117" s="15"/>
      <c r="J117" s="21" t="s">
        <v>26</v>
      </c>
      <c r="K117" s="17"/>
      <c r="L117" s="6" t="s">
        <v>349</v>
      </c>
      <c r="M117" s="6"/>
      <c r="N117" s="6"/>
      <c r="O117" s="6"/>
      <c r="P117" s="6"/>
      <c r="Q117" s="6"/>
      <c r="R117" s="6"/>
    </row>
    <row r="118" ht="22.5" customHeight="1">
      <c r="A118" s="7">
        <v>116.0</v>
      </c>
      <c r="B118" s="36"/>
      <c r="C118" s="9">
        <v>46078.0</v>
      </c>
      <c r="D118" s="10" t="s">
        <v>46</v>
      </c>
      <c r="E118" s="11" t="s">
        <v>350</v>
      </c>
      <c r="F118" s="12"/>
      <c r="G118" s="13" t="s">
        <v>48</v>
      </c>
      <c r="H118" s="14">
        <v>2500.0</v>
      </c>
      <c r="I118" s="15"/>
      <c r="J118" s="37" t="s">
        <v>26</v>
      </c>
      <c r="K118" s="17"/>
      <c r="L118" s="6" t="s">
        <v>351</v>
      </c>
      <c r="M118" s="6"/>
      <c r="N118" s="6"/>
      <c r="O118" s="6"/>
      <c r="P118" s="6"/>
      <c r="Q118" s="6"/>
      <c r="R118" s="6"/>
    </row>
    <row r="119" ht="22.5" customHeight="1">
      <c r="A119" s="7">
        <v>117.0</v>
      </c>
      <c r="B119" s="36"/>
      <c r="C119" s="35" t="s">
        <v>140</v>
      </c>
      <c r="D119" s="10" t="s">
        <v>140</v>
      </c>
      <c r="E119" s="11" t="s">
        <v>140</v>
      </c>
      <c r="F119" s="12" t="s">
        <v>140</v>
      </c>
      <c r="G119" s="13" t="str">
        <f>IF(LEN(TRIM(D119))=0,"",IFNA(VLOOKUP(UPPER(TRIM(D119)),'CLIENT DIRECTORY'!A:B,2,FALSE),""))</f>
        <v/>
      </c>
      <c r="H119" s="14" t="s">
        <v>140</v>
      </c>
      <c r="I119" s="15"/>
      <c r="J119" s="37" t="s">
        <v>140</v>
      </c>
      <c r="K119" s="17"/>
      <c r="L119" s="6" t="s">
        <v>352</v>
      </c>
      <c r="M119" s="6"/>
      <c r="N119" s="6"/>
      <c r="O119" s="6"/>
      <c r="P119" s="6"/>
      <c r="Q119" s="6"/>
      <c r="R119" s="6"/>
    </row>
    <row r="120" ht="22.5" customHeight="1">
      <c r="A120" s="7">
        <v>118.0</v>
      </c>
      <c r="B120" s="8" t="s">
        <v>285</v>
      </c>
      <c r="C120" s="35" t="s">
        <v>140</v>
      </c>
      <c r="D120" s="10" t="s">
        <v>140</v>
      </c>
      <c r="E120" s="11" t="s">
        <v>140</v>
      </c>
      <c r="F120" s="12" t="s">
        <v>140</v>
      </c>
      <c r="G120" s="13" t="str">
        <f>IF(LEN(TRIM(D120))=0,"",IFNA(VLOOKUP(UPPER(TRIM(D120)),'CLIENT DIRECTORY'!A:B,2,FALSE),""))</f>
        <v/>
      </c>
      <c r="H120" s="14" t="s">
        <v>140</v>
      </c>
      <c r="I120" s="15"/>
      <c r="J120" s="37" t="s">
        <v>140</v>
      </c>
      <c r="K120" s="17"/>
      <c r="L120" s="6" t="s">
        <v>353</v>
      </c>
      <c r="M120" s="6"/>
      <c r="N120" s="6"/>
      <c r="O120" s="6"/>
      <c r="P120" s="6"/>
      <c r="Q120" s="6"/>
      <c r="R120" s="6"/>
    </row>
    <row r="121" ht="22.5" customHeight="1">
      <c r="A121" s="7">
        <v>119.0</v>
      </c>
      <c r="B121" s="8">
        <v>1.0</v>
      </c>
      <c r="C121" s="9">
        <v>46078.0</v>
      </c>
      <c r="D121" s="10" t="s">
        <v>54</v>
      </c>
      <c r="E121" s="11" t="s">
        <v>354</v>
      </c>
      <c r="F121" s="12"/>
      <c r="G121" s="13" t="s">
        <v>56</v>
      </c>
      <c r="H121" s="14">
        <v>5000.0</v>
      </c>
      <c r="I121" s="15">
        <v>5000.0</v>
      </c>
      <c r="J121" s="37" t="s">
        <v>26</v>
      </c>
      <c r="K121" s="17"/>
      <c r="L121" s="6" t="s">
        <v>355</v>
      </c>
      <c r="M121" s="6"/>
      <c r="N121" s="6"/>
      <c r="O121" s="6"/>
      <c r="P121" s="6"/>
      <c r="Q121" s="6"/>
      <c r="R121" s="6"/>
    </row>
    <row r="122" ht="22.5" customHeight="1">
      <c r="A122" s="7">
        <v>120.0</v>
      </c>
      <c r="B122" s="8">
        <v>2.0</v>
      </c>
      <c r="C122" s="9">
        <v>46078.0</v>
      </c>
      <c r="D122" s="10" t="s">
        <v>248</v>
      </c>
      <c r="E122" s="11" t="s">
        <v>356</v>
      </c>
      <c r="F122" s="12"/>
      <c r="G122" s="13" t="s">
        <v>250</v>
      </c>
      <c r="H122" s="14">
        <v>3000.0</v>
      </c>
      <c r="I122" s="15"/>
      <c r="J122" s="37" t="s">
        <v>26</v>
      </c>
      <c r="K122" s="17"/>
      <c r="L122" s="6" t="s">
        <v>357</v>
      </c>
      <c r="M122" s="6"/>
      <c r="N122" s="6"/>
      <c r="O122" s="6"/>
      <c r="P122" s="6"/>
      <c r="Q122" s="6"/>
      <c r="R122" s="6"/>
    </row>
    <row r="123" ht="22.5" customHeight="1">
      <c r="A123" s="7">
        <v>121.0</v>
      </c>
      <c r="B123" s="8">
        <v>3.0</v>
      </c>
      <c r="C123" s="9">
        <v>46078.0</v>
      </c>
      <c r="D123" s="10" t="s">
        <v>358</v>
      </c>
      <c r="E123" s="11" t="s">
        <v>359</v>
      </c>
      <c r="F123" s="12"/>
      <c r="G123" s="13" t="s">
        <v>360</v>
      </c>
      <c r="H123" s="14">
        <v>2500.0</v>
      </c>
      <c r="I123" s="15"/>
      <c r="J123" s="37" t="s">
        <v>26</v>
      </c>
      <c r="K123" s="17"/>
      <c r="L123" s="6" t="s">
        <v>361</v>
      </c>
      <c r="M123" s="6"/>
      <c r="N123" s="6"/>
      <c r="O123" s="6"/>
      <c r="P123" s="6"/>
      <c r="Q123" s="6"/>
      <c r="R123" s="6"/>
    </row>
    <row r="124" ht="22.5" customHeight="1">
      <c r="A124" s="7">
        <v>122.0</v>
      </c>
      <c r="B124" s="8">
        <v>4.0</v>
      </c>
      <c r="C124" s="9">
        <v>46078.0</v>
      </c>
      <c r="D124" s="10" t="s">
        <v>248</v>
      </c>
      <c r="E124" s="11" t="s">
        <v>362</v>
      </c>
      <c r="F124" s="12"/>
      <c r="G124" s="13" t="s">
        <v>250</v>
      </c>
      <c r="H124" s="14">
        <v>3000.0</v>
      </c>
      <c r="I124" s="15"/>
      <c r="J124" s="37" t="s">
        <v>26</v>
      </c>
      <c r="K124" s="17"/>
      <c r="L124" s="6" t="s">
        <v>363</v>
      </c>
      <c r="M124" s="6"/>
      <c r="N124" s="6"/>
      <c r="O124" s="6"/>
      <c r="P124" s="6"/>
      <c r="Q124" s="6"/>
      <c r="R124" s="6"/>
    </row>
    <row r="125" ht="22.5" customHeight="1">
      <c r="A125" s="7">
        <v>123.0</v>
      </c>
      <c r="B125" s="8">
        <v>5.0</v>
      </c>
      <c r="C125" s="9">
        <v>46078.0</v>
      </c>
      <c r="D125" s="10" t="s">
        <v>364</v>
      </c>
      <c r="E125" s="11" t="s">
        <v>365</v>
      </c>
      <c r="F125" s="12"/>
      <c r="G125" s="13" t="s">
        <v>366</v>
      </c>
      <c r="H125" s="14">
        <v>2500.0</v>
      </c>
      <c r="I125" s="15"/>
      <c r="J125" s="37" t="s">
        <v>26</v>
      </c>
      <c r="K125" s="17"/>
      <c r="L125" s="6" t="s">
        <v>367</v>
      </c>
      <c r="M125" s="6"/>
      <c r="N125" s="6"/>
      <c r="O125" s="6"/>
      <c r="P125" s="6"/>
      <c r="Q125" s="6"/>
      <c r="R125" s="6"/>
    </row>
    <row r="126" ht="22.5" customHeight="1">
      <c r="A126" s="7">
        <v>124.0</v>
      </c>
      <c r="B126" s="8">
        <v>6.0</v>
      </c>
      <c r="C126" s="9">
        <v>46078.0</v>
      </c>
      <c r="D126" s="10" t="s">
        <v>368</v>
      </c>
      <c r="E126" s="11" t="s">
        <v>369</v>
      </c>
      <c r="F126" s="12"/>
      <c r="G126" s="13" t="s">
        <v>370</v>
      </c>
      <c r="H126" s="14">
        <v>2500.0</v>
      </c>
      <c r="I126" s="15"/>
      <c r="J126" s="37" t="s">
        <v>26</v>
      </c>
      <c r="K126" s="17"/>
      <c r="L126" s="6" t="s">
        <v>371</v>
      </c>
      <c r="M126" s="6"/>
      <c r="N126" s="6"/>
      <c r="O126" s="6"/>
      <c r="P126" s="6"/>
      <c r="Q126" s="6"/>
      <c r="R126" s="6"/>
    </row>
    <row r="127" ht="22.5" customHeight="1">
      <c r="A127" s="7">
        <v>125.0</v>
      </c>
      <c r="B127" s="8">
        <v>7.0</v>
      </c>
      <c r="C127" s="9">
        <v>46078.0</v>
      </c>
      <c r="D127" s="10" t="s">
        <v>372</v>
      </c>
      <c r="E127" s="11" t="s">
        <v>373</v>
      </c>
      <c r="F127" s="42" t="s">
        <v>374</v>
      </c>
      <c r="G127" s="27" t="str">
        <f>IF(LEN(TRIM(D127))=0,"",IFNA(VLOOKUP(UPPER(TRIM(D127)),'CLIENT DIRECTORY'!A:B,2,FALSE),""))</f>
        <v/>
      </c>
      <c r="H127" s="14">
        <v>599000.0</v>
      </c>
      <c r="I127" s="15"/>
      <c r="J127" s="37" t="s">
        <v>103</v>
      </c>
      <c r="K127" s="17"/>
      <c r="L127" s="6" t="s">
        <v>375</v>
      </c>
      <c r="M127" s="6"/>
      <c r="N127" s="6"/>
      <c r="O127" s="6"/>
      <c r="P127" s="6"/>
      <c r="Q127" s="6"/>
      <c r="R127" s="6"/>
    </row>
    <row r="128" ht="22.5" customHeight="1">
      <c r="A128" s="7">
        <v>126.0</v>
      </c>
      <c r="B128" s="8">
        <v>8.0</v>
      </c>
      <c r="C128" s="9">
        <v>46078.0</v>
      </c>
      <c r="D128" s="10" t="s">
        <v>376</v>
      </c>
      <c r="E128" s="11" t="s">
        <v>377</v>
      </c>
      <c r="F128" s="42" t="s">
        <v>378</v>
      </c>
      <c r="G128" s="27" t="str">
        <f>IF(LEN(TRIM(D128))=0,"",IFNA(VLOOKUP(UPPER(TRIM(D128)),'CLIENT DIRECTORY'!A:B,2,FALSE),""))</f>
        <v/>
      </c>
      <c r="H128" s="14">
        <v>780000.0</v>
      </c>
      <c r="I128" s="15"/>
      <c r="J128" s="37" t="s">
        <v>26</v>
      </c>
      <c r="K128" s="17"/>
      <c r="L128" s="6" t="s">
        <v>379</v>
      </c>
      <c r="M128" s="6"/>
      <c r="N128" s="6"/>
      <c r="O128" s="6"/>
      <c r="P128" s="6"/>
      <c r="Q128" s="6"/>
      <c r="R128" s="6"/>
    </row>
    <row r="129" ht="22.5" customHeight="1">
      <c r="A129" s="7">
        <v>127.0</v>
      </c>
      <c r="B129" s="8">
        <v>9.0</v>
      </c>
      <c r="C129" s="9">
        <v>46078.0</v>
      </c>
      <c r="D129" s="10" t="s">
        <v>18</v>
      </c>
      <c r="E129" s="11" t="s">
        <v>380</v>
      </c>
      <c r="F129" s="43"/>
      <c r="G129" s="13" t="s">
        <v>20</v>
      </c>
      <c r="H129" s="14">
        <v>3000.0</v>
      </c>
      <c r="I129" s="15">
        <v>3000.0</v>
      </c>
      <c r="J129" s="37" t="s">
        <v>21</v>
      </c>
      <c r="K129" s="17"/>
      <c r="L129" s="6" t="s">
        <v>381</v>
      </c>
      <c r="M129" s="6"/>
      <c r="N129" s="6"/>
      <c r="O129" s="6"/>
      <c r="P129" s="6"/>
      <c r="Q129" s="6"/>
      <c r="R129" s="6"/>
    </row>
    <row r="130" ht="22.5" customHeight="1">
      <c r="A130" s="7">
        <v>128.0</v>
      </c>
      <c r="B130" s="8" t="s">
        <v>382</v>
      </c>
      <c r="C130" s="35" t="s">
        <v>195</v>
      </c>
      <c r="D130" s="10" t="s">
        <v>140</v>
      </c>
      <c r="E130" s="11" t="s">
        <v>140</v>
      </c>
      <c r="F130" s="12" t="s">
        <v>140</v>
      </c>
      <c r="G130" s="13" t="str">
        <f>IF(LEN(TRIM(D130))=0,"",IFNA(VLOOKUP(UPPER(TRIM(D130)),'CLIENT DIRECTORY'!A:B,2,FALSE),""))</f>
        <v/>
      </c>
      <c r="H130" s="14" t="s">
        <v>285</v>
      </c>
      <c r="I130" s="15"/>
      <c r="J130" s="37" t="s">
        <v>285</v>
      </c>
      <c r="K130" s="17"/>
      <c r="L130" s="6" t="s">
        <v>383</v>
      </c>
      <c r="M130" s="6"/>
      <c r="N130" s="6"/>
      <c r="O130" s="6"/>
      <c r="P130" s="6"/>
      <c r="Q130" s="6"/>
      <c r="R130" s="6"/>
    </row>
    <row r="131" ht="22.5" customHeight="1">
      <c r="A131" s="7">
        <v>129.0</v>
      </c>
      <c r="B131" s="8" t="s">
        <v>140</v>
      </c>
      <c r="C131" s="35" t="s">
        <v>195</v>
      </c>
      <c r="D131" s="10" t="s">
        <v>140</v>
      </c>
      <c r="E131" s="11" t="s">
        <v>140</v>
      </c>
      <c r="F131" s="12" t="s">
        <v>140</v>
      </c>
      <c r="G131" s="13" t="str">
        <f>IF(LEN(TRIM(D131))=0,"",IFNA(VLOOKUP(UPPER(TRIM(D131)),'CLIENT DIRECTORY'!A:B,2,FALSE),""))</f>
        <v/>
      </c>
      <c r="H131" s="14" t="s">
        <v>285</v>
      </c>
      <c r="I131" s="15"/>
      <c r="J131" s="37" t="s">
        <v>285</v>
      </c>
      <c r="K131" s="17"/>
      <c r="L131" s="6" t="s">
        <v>384</v>
      </c>
      <c r="M131" s="6"/>
      <c r="N131" s="6"/>
      <c r="O131" s="6"/>
      <c r="P131" s="6"/>
      <c r="Q131" s="6"/>
      <c r="R131" s="6"/>
    </row>
    <row r="132" ht="22.5" customHeight="1">
      <c r="A132" s="7">
        <v>130.0</v>
      </c>
      <c r="B132" s="8">
        <v>1.0</v>
      </c>
      <c r="C132" s="9">
        <v>46079.0</v>
      </c>
      <c r="D132" s="10" t="s">
        <v>236</v>
      </c>
      <c r="E132" s="11" t="s">
        <v>181</v>
      </c>
      <c r="F132" s="43"/>
      <c r="G132" s="13" t="s">
        <v>237</v>
      </c>
      <c r="H132" s="14">
        <v>5000.0</v>
      </c>
      <c r="I132" s="15"/>
      <c r="J132" s="37" t="s">
        <v>26</v>
      </c>
      <c r="K132" s="17"/>
      <c r="L132" s="6" t="s">
        <v>385</v>
      </c>
      <c r="M132" s="6"/>
      <c r="N132" s="6"/>
      <c r="O132" s="6"/>
      <c r="P132" s="6"/>
      <c r="Q132" s="6"/>
      <c r="R132" s="6"/>
    </row>
    <row r="133" ht="22.5" customHeight="1">
      <c r="A133" s="7">
        <v>131.0</v>
      </c>
      <c r="B133" s="36"/>
      <c r="C133" s="9">
        <v>46079.0</v>
      </c>
      <c r="D133" s="10" t="s">
        <v>386</v>
      </c>
      <c r="E133" s="11" t="s">
        <v>387</v>
      </c>
      <c r="F133" s="43"/>
      <c r="G133" s="13" t="s">
        <v>388</v>
      </c>
      <c r="H133" s="14">
        <v>2500.0</v>
      </c>
      <c r="I133" s="15">
        <v>2500.0</v>
      </c>
      <c r="J133" s="37" t="s">
        <v>26</v>
      </c>
      <c r="K133" s="17"/>
      <c r="L133" s="6" t="s">
        <v>389</v>
      </c>
      <c r="M133" s="6"/>
      <c r="N133" s="6"/>
      <c r="O133" s="6"/>
      <c r="P133" s="6"/>
      <c r="Q133" s="6"/>
      <c r="R133" s="6"/>
    </row>
    <row r="134" ht="22.5" customHeight="1">
      <c r="A134" s="7">
        <v>132.0</v>
      </c>
      <c r="B134" s="36"/>
      <c r="C134" s="9">
        <v>46079.0</v>
      </c>
      <c r="D134" s="10" t="s">
        <v>390</v>
      </c>
      <c r="E134" s="11" t="s">
        <v>391</v>
      </c>
      <c r="F134" s="43"/>
      <c r="G134" s="13" t="s">
        <v>72</v>
      </c>
      <c r="H134" s="14">
        <v>2500.0</v>
      </c>
      <c r="I134" s="15"/>
      <c r="J134" s="37" t="s">
        <v>26</v>
      </c>
      <c r="K134" s="17"/>
      <c r="L134" s="6" t="s">
        <v>392</v>
      </c>
      <c r="M134" s="6"/>
      <c r="N134" s="6"/>
      <c r="O134" s="6"/>
      <c r="P134" s="6"/>
      <c r="Q134" s="6"/>
      <c r="R134" s="6"/>
    </row>
    <row r="135" ht="22.5" customHeight="1">
      <c r="A135" s="7">
        <v>133.0</v>
      </c>
      <c r="B135" s="36"/>
      <c r="C135" s="9">
        <v>46079.0</v>
      </c>
      <c r="D135" s="10" t="s">
        <v>309</v>
      </c>
      <c r="E135" s="11" t="s">
        <v>393</v>
      </c>
      <c r="F135" s="42" t="s">
        <v>394</v>
      </c>
      <c r="G135" s="27" t="s">
        <v>311</v>
      </c>
      <c r="H135" s="14">
        <v>770000.0</v>
      </c>
      <c r="I135" s="15"/>
      <c r="J135" s="37" t="s">
        <v>103</v>
      </c>
      <c r="K135" s="17"/>
      <c r="L135" s="6" t="s">
        <v>395</v>
      </c>
      <c r="M135" s="6"/>
      <c r="N135" s="6"/>
      <c r="O135" s="6"/>
      <c r="P135" s="6"/>
      <c r="Q135" s="6"/>
      <c r="R135" s="6"/>
    </row>
    <row r="136" ht="22.5" customHeight="1">
      <c r="A136" s="7">
        <v>134.0</v>
      </c>
      <c r="B136" s="36"/>
      <c r="C136" s="9">
        <v>46079.0</v>
      </c>
      <c r="D136" s="10" t="s">
        <v>386</v>
      </c>
      <c r="E136" s="11" t="s">
        <v>213</v>
      </c>
      <c r="F136" s="43"/>
      <c r="G136" s="13" t="s">
        <v>388</v>
      </c>
      <c r="H136" s="14">
        <v>2500.0</v>
      </c>
      <c r="I136" s="15">
        <v>2500.0</v>
      </c>
      <c r="J136" s="37" t="s">
        <v>26</v>
      </c>
      <c r="K136" s="17"/>
      <c r="L136" s="6" t="s">
        <v>396</v>
      </c>
      <c r="M136" s="6"/>
      <c r="N136" s="6"/>
      <c r="O136" s="6"/>
      <c r="P136" s="6"/>
      <c r="Q136" s="6"/>
      <c r="R136" s="6"/>
    </row>
    <row r="137" ht="22.5" customHeight="1">
      <c r="A137" s="7">
        <v>135.0</v>
      </c>
      <c r="B137" s="36"/>
      <c r="C137" s="9">
        <v>46079.0</v>
      </c>
      <c r="D137" s="10" t="s">
        <v>397</v>
      </c>
      <c r="E137" s="11" t="s">
        <v>398</v>
      </c>
      <c r="F137" s="43"/>
      <c r="G137" s="13" t="str">
        <f>IF(LEN(TRIM(D137))=0,"",IFNA(VLOOKUP(UPPER(TRIM(D137)),'CLIENT DIRECTORY'!A:B,2,FALSE),""))</f>
        <v/>
      </c>
      <c r="H137" s="14">
        <v>2500.0</v>
      </c>
      <c r="I137" s="15"/>
      <c r="J137" s="37" t="s">
        <v>26</v>
      </c>
      <c r="K137" s="17"/>
      <c r="L137" s="6" t="s">
        <v>399</v>
      </c>
      <c r="M137" s="6"/>
      <c r="N137" s="6"/>
      <c r="O137" s="6"/>
      <c r="P137" s="6"/>
      <c r="Q137" s="6"/>
      <c r="R137" s="6"/>
    </row>
    <row r="138" ht="22.5" customHeight="1">
      <c r="A138" s="7">
        <v>136.0</v>
      </c>
      <c r="B138" s="36"/>
      <c r="C138" s="9">
        <v>46079.0</v>
      </c>
      <c r="D138" s="10" t="s">
        <v>400</v>
      </c>
      <c r="E138" s="11" t="s">
        <v>401</v>
      </c>
      <c r="F138" s="43"/>
      <c r="G138" s="13" t="s">
        <v>402</v>
      </c>
      <c r="H138" s="14">
        <v>2500.0</v>
      </c>
      <c r="I138" s="15"/>
      <c r="J138" s="37" t="s">
        <v>26</v>
      </c>
      <c r="K138" s="17"/>
      <c r="L138" s="6" t="s">
        <v>403</v>
      </c>
      <c r="M138" s="6"/>
      <c r="N138" s="6"/>
      <c r="O138" s="6"/>
      <c r="P138" s="6"/>
      <c r="Q138" s="6"/>
      <c r="R138" s="6"/>
    </row>
    <row r="139" ht="22.5" customHeight="1">
      <c r="A139" s="7">
        <v>137.0</v>
      </c>
      <c r="B139" s="36"/>
      <c r="C139" s="9">
        <v>46079.0</v>
      </c>
      <c r="D139" s="10" t="s">
        <v>404</v>
      </c>
      <c r="E139" s="11" t="s">
        <v>405</v>
      </c>
      <c r="F139" s="43"/>
      <c r="G139" s="13" t="s">
        <v>406</v>
      </c>
      <c r="H139" s="14">
        <v>2500.0</v>
      </c>
      <c r="I139" s="15"/>
      <c r="J139" s="37" t="s">
        <v>26</v>
      </c>
      <c r="K139" s="17"/>
      <c r="L139" s="6" t="s">
        <v>407</v>
      </c>
      <c r="M139" s="6"/>
      <c r="N139" s="6"/>
      <c r="O139" s="6"/>
      <c r="P139" s="6"/>
      <c r="Q139" s="6"/>
      <c r="R139" s="6"/>
    </row>
    <row r="140" ht="22.5" customHeight="1">
      <c r="A140" s="7">
        <v>138.0</v>
      </c>
      <c r="B140" s="36"/>
      <c r="C140" s="9">
        <v>46079.0</v>
      </c>
      <c r="D140" s="10" t="s">
        <v>408</v>
      </c>
      <c r="E140" s="11" t="s">
        <v>409</v>
      </c>
      <c r="F140" s="12" t="s">
        <v>410</v>
      </c>
      <c r="G140" s="13" t="s">
        <v>411</v>
      </c>
      <c r="H140" s="14">
        <v>359000.0</v>
      </c>
      <c r="I140" s="15"/>
      <c r="J140" s="37" t="s">
        <v>26</v>
      </c>
      <c r="K140" s="17"/>
      <c r="L140" s="6" t="s">
        <v>412</v>
      </c>
      <c r="M140" s="6"/>
      <c r="N140" s="6"/>
      <c r="O140" s="6"/>
      <c r="P140" s="6"/>
      <c r="Q140" s="6"/>
      <c r="R140" s="6"/>
    </row>
    <row r="141" ht="22.5" customHeight="1">
      <c r="A141" s="7">
        <v>139.0</v>
      </c>
      <c r="B141" s="36"/>
      <c r="C141" s="9">
        <v>46079.0</v>
      </c>
      <c r="D141" s="10" t="s">
        <v>413</v>
      </c>
      <c r="E141" s="11" t="s">
        <v>414</v>
      </c>
      <c r="F141" s="42" t="s">
        <v>415</v>
      </c>
      <c r="G141" s="27" t="s">
        <v>416</v>
      </c>
      <c r="H141" s="14">
        <v>280000.0</v>
      </c>
      <c r="I141" s="15"/>
      <c r="J141" s="37" t="s">
        <v>103</v>
      </c>
      <c r="K141" s="17"/>
      <c r="L141" s="6" t="s">
        <v>417</v>
      </c>
      <c r="M141" s="6"/>
      <c r="N141" s="6"/>
      <c r="O141" s="6"/>
      <c r="P141" s="6"/>
      <c r="Q141" s="6"/>
      <c r="R141" s="6"/>
    </row>
    <row r="142" ht="22.5" customHeight="1">
      <c r="A142" s="7">
        <v>140.0</v>
      </c>
      <c r="B142" s="36"/>
      <c r="C142" s="9">
        <v>46080.0</v>
      </c>
      <c r="D142" s="10" t="s">
        <v>418</v>
      </c>
      <c r="E142" s="11" t="s">
        <v>419</v>
      </c>
      <c r="F142" s="42" t="s">
        <v>420</v>
      </c>
      <c r="G142" s="27" t="s">
        <v>421</v>
      </c>
      <c r="H142" s="14">
        <v>540000.0</v>
      </c>
      <c r="I142" s="15"/>
      <c r="J142" s="37" t="s">
        <v>26</v>
      </c>
      <c r="K142" s="17"/>
      <c r="L142" s="6" t="s">
        <v>422</v>
      </c>
      <c r="M142" s="6"/>
      <c r="N142" s="6"/>
      <c r="O142" s="6"/>
      <c r="P142" s="6"/>
      <c r="Q142" s="6"/>
      <c r="R142" s="6"/>
    </row>
    <row r="143" ht="22.5" customHeight="1">
      <c r="A143" s="7">
        <v>141.0</v>
      </c>
      <c r="B143" s="36"/>
      <c r="C143" s="35" t="s">
        <v>195</v>
      </c>
      <c r="D143" s="10" t="s">
        <v>140</v>
      </c>
      <c r="E143" s="11" t="s">
        <v>140</v>
      </c>
      <c r="F143" s="12" t="s">
        <v>140</v>
      </c>
      <c r="G143" s="13" t="str">
        <f>IF(LEN(TRIM(D143))=0,"",IFNA(VLOOKUP(UPPER(TRIM(D143)),'CLIENT DIRECTORY'!A:B,2,FALSE),""))</f>
        <v/>
      </c>
      <c r="H143" s="14" t="s">
        <v>140</v>
      </c>
      <c r="I143" s="15"/>
      <c r="J143" s="37" t="s">
        <v>140</v>
      </c>
      <c r="K143" s="17"/>
      <c r="L143" s="6" t="s">
        <v>423</v>
      </c>
      <c r="M143" s="6"/>
      <c r="N143" s="6"/>
      <c r="O143" s="6"/>
      <c r="P143" s="6"/>
      <c r="Q143" s="6"/>
      <c r="R143" s="6"/>
    </row>
    <row r="144" ht="22.5" customHeight="1">
      <c r="A144" s="7">
        <v>142.0</v>
      </c>
      <c r="B144" s="36"/>
      <c r="C144" s="9">
        <v>46080.0</v>
      </c>
      <c r="D144" s="10" t="s">
        <v>424</v>
      </c>
      <c r="E144" s="11" t="s">
        <v>425</v>
      </c>
      <c r="F144" s="43"/>
      <c r="G144" s="13" t="s">
        <v>426</v>
      </c>
      <c r="H144" s="14">
        <v>2500.0</v>
      </c>
      <c r="I144" s="15"/>
      <c r="J144" s="37" t="s">
        <v>26</v>
      </c>
      <c r="K144" s="17"/>
      <c r="L144" s="6" t="s">
        <v>427</v>
      </c>
      <c r="M144" s="6"/>
      <c r="N144" s="6"/>
      <c r="O144" s="6"/>
      <c r="P144" s="6"/>
      <c r="Q144" s="6"/>
      <c r="R144" s="6"/>
    </row>
    <row r="145" ht="22.5" customHeight="1">
      <c r="A145" s="7">
        <v>143.0</v>
      </c>
      <c r="B145" s="36"/>
      <c r="C145" s="9">
        <v>46080.0</v>
      </c>
      <c r="D145" s="10" t="s">
        <v>254</v>
      </c>
      <c r="E145" s="11" t="s">
        <v>428</v>
      </c>
      <c r="F145" s="42" t="s">
        <v>429</v>
      </c>
      <c r="G145" s="27" t="s">
        <v>256</v>
      </c>
      <c r="H145" s="14">
        <v>920000.0</v>
      </c>
      <c r="I145" s="32"/>
      <c r="J145" s="44" t="s">
        <v>103</v>
      </c>
      <c r="K145" s="17"/>
      <c r="L145" s="6" t="s">
        <v>430</v>
      </c>
      <c r="M145" s="6"/>
      <c r="N145" s="6"/>
      <c r="O145" s="6"/>
      <c r="P145" s="6"/>
      <c r="Q145" s="6"/>
      <c r="R145" s="6"/>
    </row>
    <row r="146" ht="22.5" customHeight="1">
      <c r="A146" s="7">
        <v>144.0</v>
      </c>
      <c r="B146" s="36"/>
      <c r="C146" s="9">
        <v>46080.0</v>
      </c>
      <c r="D146" s="10" t="s">
        <v>306</v>
      </c>
      <c r="E146" s="11" t="s">
        <v>431</v>
      </c>
      <c r="F146" s="43"/>
      <c r="G146" s="13" t="s">
        <v>307</v>
      </c>
      <c r="H146" s="14">
        <v>3000.0</v>
      </c>
      <c r="I146" s="15"/>
      <c r="J146" s="37" t="s">
        <v>26</v>
      </c>
      <c r="K146" s="17"/>
      <c r="L146" s="6" t="s">
        <v>432</v>
      </c>
      <c r="M146" s="6"/>
      <c r="N146" s="6"/>
      <c r="O146" s="6"/>
      <c r="P146" s="6"/>
      <c r="Q146" s="6"/>
      <c r="R146" s="6"/>
    </row>
    <row r="147" ht="22.5" customHeight="1">
      <c r="A147" s="7">
        <v>145.0</v>
      </c>
      <c r="B147" s="36"/>
      <c r="C147" s="9">
        <v>46080.0</v>
      </c>
      <c r="D147" s="10" t="s">
        <v>433</v>
      </c>
      <c r="E147" s="11" t="s">
        <v>434</v>
      </c>
      <c r="F147" s="43"/>
      <c r="G147" s="13" t="str">
        <f>IF(LEN(TRIM(D147))=0,"",IFNA(VLOOKUP(UPPER(TRIM(D147)),'CLIENT DIRECTORY'!A:B,2,FALSE),""))</f>
        <v/>
      </c>
      <c r="H147" s="14">
        <v>225000.0</v>
      </c>
      <c r="I147" s="15"/>
      <c r="J147" s="37" t="s">
        <v>26</v>
      </c>
      <c r="K147" s="17"/>
      <c r="L147" s="6" t="s">
        <v>435</v>
      </c>
      <c r="M147" s="6"/>
      <c r="N147" s="6"/>
      <c r="O147" s="6"/>
      <c r="P147" s="6"/>
      <c r="Q147" s="6"/>
      <c r="R147" s="6"/>
    </row>
    <row r="148" ht="22.5" customHeight="1">
      <c r="A148" s="7">
        <v>146.0</v>
      </c>
      <c r="B148" s="36"/>
      <c r="C148" s="9">
        <v>46080.0</v>
      </c>
      <c r="D148" s="10" t="s">
        <v>436</v>
      </c>
      <c r="E148" s="11" t="s">
        <v>437</v>
      </c>
      <c r="F148" s="43"/>
      <c r="G148" s="13" t="str">
        <f>IF(LEN(TRIM(D148))=0,"",IFNA(VLOOKUP(UPPER(TRIM(D148)),'CLIENT DIRECTORY'!A:B,2,FALSE),""))</f>
        <v/>
      </c>
      <c r="H148" s="14">
        <v>4000.0</v>
      </c>
      <c r="I148" s="15"/>
      <c r="J148" s="37" t="s">
        <v>26</v>
      </c>
      <c r="K148" s="17"/>
      <c r="L148" s="6" t="s">
        <v>438</v>
      </c>
      <c r="M148" s="6"/>
      <c r="N148" s="6"/>
      <c r="O148" s="6"/>
      <c r="P148" s="6"/>
      <c r="Q148" s="6"/>
      <c r="R148" s="6"/>
    </row>
    <row r="149" ht="22.5" customHeight="1">
      <c r="A149" s="7">
        <v>147.0</v>
      </c>
      <c r="B149" s="36"/>
      <c r="C149" s="9">
        <v>46080.0</v>
      </c>
      <c r="D149" s="10" t="s">
        <v>93</v>
      </c>
      <c r="E149" s="11" t="s">
        <v>439</v>
      </c>
      <c r="F149" s="42" t="s">
        <v>440</v>
      </c>
      <c r="G149" s="27" t="s">
        <v>95</v>
      </c>
      <c r="H149" s="14">
        <v>590000.0</v>
      </c>
      <c r="I149" s="15"/>
      <c r="J149" s="37" t="s">
        <v>26</v>
      </c>
      <c r="K149" s="17"/>
      <c r="L149" s="6" t="s">
        <v>441</v>
      </c>
      <c r="M149" s="6"/>
      <c r="N149" s="6"/>
      <c r="O149" s="6"/>
      <c r="P149" s="6"/>
      <c r="Q149" s="6"/>
      <c r="R149" s="6"/>
    </row>
    <row r="150" ht="22.5" customHeight="1">
      <c r="A150" s="7">
        <v>148.0</v>
      </c>
      <c r="B150" s="36"/>
      <c r="C150" s="9">
        <v>46080.0</v>
      </c>
      <c r="D150" s="45" t="s">
        <v>442</v>
      </c>
      <c r="E150" s="46" t="s">
        <v>443</v>
      </c>
      <c r="F150" s="43"/>
      <c r="G150" s="47" t="s">
        <v>210</v>
      </c>
      <c r="H150" s="48">
        <v>2500.0</v>
      </c>
      <c r="I150" s="32">
        <v>2500.0</v>
      </c>
      <c r="J150" s="44" t="s">
        <v>26</v>
      </c>
      <c r="K150" s="17"/>
      <c r="L150" s="6" t="s">
        <v>444</v>
      </c>
      <c r="M150" s="6"/>
      <c r="N150" s="6"/>
      <c r="O150" s="6"/>
      <c r="P150" s="6"/>
      <c r="Q150" s="6"/>
      <c r="R150" s="6"/>
    </row>
    <row r="151" ht="22.5" customHeight="1">
      <c r="A151" s="7">
        <v>149.0</v>
      </c>
      <c r="B151" s="36"/>
      <c r="C151" s="9">
        <v>46080.0</v>
      </c>
      <c r="D151" s="45" t="s">
        <v>445</v>
      </c>
      <c r="E151" s="46" t="s">
        <v>446</v>
      </c>
      <c r="F151" s="43"/>
      <c r="G151" s="47" t="s">
        <v>447</v>
      </c>
      <c r="H151" s="48">
        <v>2500.0</v>
      </c>
      <c r="I151" s="32"/>
      <c r="J151" s="44" t="s">
        <v>26</v>
      </c>
      <c r="K151" s="17"/>
      <c r="L151" s="6" t="s">
        <v>448</v>
      </c>
      <c r="M151" s="6"/>
      <c r="N151" s="6"/>
      <c r="O151" s="6"/>
      <c r="P151" s="6"/>
      <c r="Q151" s="6"/>
      <c r="R151" s="6"/>
    </row>
    <row r="152" ht="22.5" customHeight="1">
      <c r="A152" s="7">
        <v>150.0</v>
      </c>
      <c r="B152" s="36"/>
      <c r="C152" s="9">
        <v>46080.0</v>
      </c>
      <c r="D152" s="45" t="s">
        <v>23</v>
      </c>
      <c r="E152" s="11" t="s">
        <v>428</v>
      </c>
      <c r="F152" s="42" t="s">
        <v>429</v>
      </c>
      <c r="G152" s="27" t="s">
        <v>25</v>
      </c>
      <c r="H152" s="14">
        <v>920000.0</v>
      </c>
      <c r="I152" s="32"/>
      <c r="J152" s="44" t="s">
        <v>103</v>
      </c>
      <c r="K152" s="17"/>
      <c r="L152" s="6" t="s">
        <v>449</v>
      </c>
      <c r="M152" s="6"/>
      <c r="N152" s="6"/>
      <c r="O152" s="6"/>
      <c r="P152" s="6"/>
      <c r="Q152" s="6"/>
      <c r="R152" s="6"/>
    </row>
    <row r="153" ht="22.5" customHeight="1">
      <c r="A153" s="7">
        <v>151.0</v>
      </c>
      <c r="B153" s="36"/>
      <c r="C153" s="9">
        <v>46080.0</v>
      </c>
      <c r="D153" s="10" t="s">
        <v>23</v>
      </c>
      <c r="E153" s="11" t="s">
        <v>146</v>
      </c>
      <c r="F153" s="43"/>
      <c r="G153" s="13" t="s">
        <v>25</v>
      </c>
      <c r="H153" s="14">
        <v>2500.0</v>
      </c>
      <c r="I153" s="15"/>
      <c r="J153" s="37" t="s">
        <v>26</v>
      </c>
      <c r="K153" s="17"/>
      <c r="L153" s="6" t="s">
        <v>450</v>
      </c>
      <c r="M153" s="6"/>
      <c r="N153" s="6"/>
      <c r="O153" s="6"/>
      <c r="P153" s="6"/>
      <c r="Q153" s="6"/>
      <c r="R153" s="6"/>
    </row>
    <row r="154" ht="22.5" customHeight="1">
      <c r="A154" s="7">
        <v>152.0</v>
      </c>
      <c r="B154" s="36"/>
      <c r="C154" s="9">
        <v>46080.0</v>
      </c>
      <c r="D154" s="10" t="s">
        <v>70</v>
      </c>
      <c r="E154" s="11" t="s">
        <v>451</v>
      </c>
      <c r="F154" s="43"/>
      <c r="G154" s="13" t="s">
        <v>72</v>
      </c>
      <c r="H154" s="14">
        <v>2500.0</v>
      </c>
      <c r="I154" s="15"/>
      <c r="J154" s="37" t="s">
        <v>26</v>
      </c>
      <c r="K154" s="17"/>
      <c r="L154" s="6" t="s">
        <v>452</v>
      </c>
      <c r="M154" s="6"/>
      <c r="N154" s="6"/>
      <c r="O154" s="6"/>
      <c r="P154" s="6"/>
      <c r="Q154" s="6"/>
      <c r="R154" s="6"/>
    </row>
    <row r="155" ht="22.5" customHeight="1">
      <c r="A155" s="7">
        <v>153.0</v>
      </c>
      <c r="B155" s="36"/>
      <c r="C155" s="9">
        <v>46080.0</v>
      </c>
      <c r="D155" s="10" t="s">
        <v>424</v>
      </c>
      <c r="E155" s="11" t="s">
        <v>414</v>
      </c>
      <c r="F155" s="42" t="s">
        <v>415</v>
      </c>
      <c r="G155" s="27" t="s">
        <v>426</v>
      </c>
      <c r="H155" s="14">
        <v>280000.0</v>
      </c>
      <c r="I155" s="15"/>
      <c r="J155" s="37" t="s">
        <v>103</v>
      </c>
      <c r="K155" s="17"/>
      <c r="L155" s="6" t="s">
        <v>453</v>
      </c>
      <c r="M155" s="6"/>
      <c r="N155" s="6"/>
      <c r="O155" s="6"/>
      <c r="P155" s="6"/>
      <c r="Q155" s="6"/>
      <c r="R155" s="6"/>
    </row>
    <row r="156" ht="22.5" customHeight="1">
      <c r="A156" s="7">
        <v>154.0</v>
      </c>
      <c r="B156" s="36"/>
      <c r="C156" s="9">
        <v>46080.0</v>
      </c>
      <c r="D156" s="10" t="s">
        <v>454</v>
      </c>
      <c r="E156" s="11" t="s">
        <v>455</v>
      </c>
      <c r="F156" s="43"/>
      <c r="G156" s="13" t="str">
        <f>IF(LEN(TRIM(D156))=0,"",IFNA(VLOOKUP(UPPER(TRIM(D156)),'CLIENT DIRECTORY'!A:B,2,FALSE),""))</f>
        <v/>
      </c>
      <c r="H156" s="14">
        <v>40000.0</v>
      </c>
      <c r="I156" s="15"/>
      <c r="J156" s="37" t="s">
        <v>26</v>
      </c>
      <c r="K156" s="17"/>
      <c r="L156" s="6" t="s">
        <v>456</v>
      </c>
      <c r="M156" s="6"/>
      <c r="N156" s="6"/>
      <c r="O156" s="6"/>
      <c r="P156" s="6"/>
      <c r="Q156" s="6"/>
      <c r="R156" s="6"/>
    </row>
    <row r="157" ht="22.5" customHeight="1">
      <c r="A157" s="7">
        <v>155.0</v>
      </c>
      <c r="B157" s="36"/>
      <c r="C157" s="9">
        <v>46080.0</v>
      </c>
      <c r="D157" s="10" t="s">
        <v>445</v>
      </c>
      <c r="E157" s="11" t="s">
        <v>457</v>
      </c>
      <c r="F157" s="43"/>
      <c r="G157" s="13" t="s">
        <v>447</v>
      </c>
      <c r="H157" s="14">
        <v>2500.0</v>
      </c>
      <c r="I157" s="15"/>
      <c r="J157" s="37" t="s">
        <v>26</v>
      </c>
      <c r="K157" s="17"/>
      <c r="L157" s="6" t="s">
        <v>458</v>
      </c>
      <c r="M157" s="6"/>
      <c r="N157" s="6"/>
      <c r="O157" s="6"/>
      <c r="P157" s="6"/>
      <c r="Q157" s="6"/>
      <c r="R157" s="6"/>
    </row>
    <row r="158" ht="22.5" customHeight="1">
      <c r="A158" s="7">
        <v>156.0</v>
      </c>
      <c r="B158" s="36"/>
      <c r="C158" s="9">
        <v>46080.0</v>
      </c>
      <c r="D158" s="10" t="s">
        <v>459</v>
      </c>
      <c r="E158" s="11" t="s">
        <v>437</v>
      </c>
      <c r="F158" s="43"/>
      <c r="G158" s="13" t="str">
        <f>IF(LEN(TRIM(D158))=0,"",IFNA(VLOOKUP(UPPER(TRIM(D158)),'CLIENT DIRECTORY'!A:B,2,FALSE),""))</f>
        <v/>
      </c>
      <c r="H158" s="14">
        <v>5000.0</v>
      </c>
      <c r="I158" s="15"/>
      <c r="J158" s="37" t="s">
        <v>26</v>
      </c>
      <c r="K158" s="17"/>
      <c r="L158" s="6" t="s">
        <v>460</v>
      </c>
      <c r="M158" s="6"/>
      <c r="N158" s="6"/>
      <c r="O158" s="6"/>
      <c r="P158" s="6"/>
      <c r="Q158" s="6"/>
      <c r="R158" s="6"/>
    </row>
    <row r="159" ht="22.5" customHeight="1">
      <c r="A159" s="7">
        <v>157.0</v>
      </c>
      <c r="B159" s="36"/>
      <c r="C159" s="9">
        <v>46080.0</v>
      </c>
      <c r="D159" s="10" t="s">
        <v>461</v>
      </c>
      <c r="E159" s="11" t="s">
        <v>462</v>
      </c>
      <c r="F159" s="43"/>
      <c r="G159" s="13" t="str">
        <f>IF(LEN(TRIM(D159))=0,"",IFNA(VLOOKUP(UPPER(TRIM(D159)),'CLIENT DIRECTORY'!A:B,2,FALSE),""))</f>
        <v/>
      </c>
      <c r="H159" s="14">
        <v>90000.0</v>
      </c>
      <c r="I159" s="15"/>
      <c r="J159" s="37" t="s">
        <v>26</v>
      </c>
      <c r="K159" s="17"/>
      <c r="L159" s="6" t="s">
        <v>463</v>
      </c>
      <c r="M159" s="6"/>
      <c r="N159" s="6"/>
      <c r="O159" s="6"/>
      <c r="P159" s="6"/>
      <c r="Q159" s="6"/>
      <c r="R159" s="6"/>
    </row>
    <row r="160" ht="22.5" customHeight="1">
      <c r="A160" s="7">
        <v>158.0</v>
      </c>
      <c r="B160" s="36"/>
      <c r="C160" s="9">
        <v>46080.0</v>
      </c>
      <c r="D160" s="10" t="s">
        <v>464</v>
      </c>
      <c r="E160" s="11" t="s">
        <v>465</v>
      </c>
      <c r="F160" s="43"/>
      <c r="G160" s="13" t="s">
        <v>466</v>
      </c>
      <c r="H160" s="14">
        <v>2500.0</v>
      </c>
      <c r="I160" s="15"/>
      <c r="J160" s="37" t="s">
        <v>26</v>
      </c>
      <c r="K160" s="17"/>
      <c r="L160" s="6" t="s">
        <v>467</v>
      </c>
      <c r="M160" s="6"/>
      <c r="N160" s="6"/>
      <c r="O160" s="6"/>
      <c r="P160" s="6"/>
      <c r="Q160" s="6"/>
      <c r="R160" s="6"/>
    </row>
    <row r="161" ht="22.5" customHeight="1">
      <c r="A161" s="7">
        <v>159.0</v>
      </c>
      <c r="B161" s="36"/>
      <c r="C161" s="35" t="s">
        <v>140</v>
      </c>
      <c r="D161" s="10" t="s">
        <v>285</v>
      </c>
      <c r="E161" s="11" t="s">
        <v>285</v>
      </c>
      <c r="F161" s="12" t="s">
        <v>285</v>
      </c>
      <c r="G161" s="13" t="str">
        <f>IF(LEN(TRIM(D161))=0,"",IFNA(VLOOKUP(UPPER(TRIM(D161)),'CLIENT DIRECTORY'!A:B,2,FALSE),""))</f>
        <v/>
      </c>
      <c r="H161" s="14" t="s">
        <v>285</v>
      </c>
      <c r="I161" s="15"/>
      <c r="J161" s="37" t="s">
        <v>285</v>
      </c>
      <c r="K161" s="17"/>
      <c r="L161" s="6" t="s">
        <v>468</v>
      </c>
      <c r="M161" s="6"/>
      <c r="N161" s="6"/>
      <c r="O161" s="6"/>
      <c r="P161" s="6"/>
      <c r="Q161" s="6"/>
      <c r="R161" s="6"/>
    </row>
    <row r="162" ht="22.5" customHeight="1">
      <c r="A162" s="7">
        <v>160.0</v>
      </c>
      <c r="B162" s="36"/>
      <c r="C162" s="35" t="s">
        <v>285</v>
      </c>
      <c r="D162" s="10" t="s">
        <v>285</v>
      </c>
      <c r="E162" s="11" t="s">
        <v>285</v>
      </c>
      <c r="F162" s="12" t="s">
        <v>285</v>
      </c>
      <c r="G162" s="13" t="str">
        <f>IF(LEN(TRIM(D162))=0,"",IFNA(VLOOKUP(UPPER(TRIM(D162)),'CLIENT DIRECTORY'!A:B,2,FALSE),""))</f>
        <v/>
      </c>
      <c r="H162" s="14" t="s">
        <v>285</v>
      </c>
      <c r="I162" s="15"/>
      <c r="J162" s="37" t="s">
        <v>285</v>
      </c>
      <c r="K162" s="17"/>
      <c r="L162" s="6" t="s">
        <v>469</v>
      </c>
      <c r="M162" s="6"/>
      <c r="N162" s="6"/>
      <c r="O162" s="6"/>
      <c r="P162" s="6"/>
      <c r="Q162" s="6"/>
      <c r="R162" s="6"/>
    </row>
    <row r="163" ht="22.5" customHeight="1">
      <c r="A163" s="7">
        <v>161.0</v>
      </c>
      <c r="B163" s="36"/>
      <c r="C163" s="9">
        <v>46081.0</v>
      </c>
      <c r="D163" s="10" t="s">
        <v>470</v>
      </c>
      <c r="E163" s="11" t="s">
        <v>471</v>
      </c>
      <c r="F163" s="42" t="s">
        <v>415</v>
      </c>
      <c r="G163" s="27" t="s">
        <v>406</v>
      </c>
      <c r="H163" s="14">
        <v>280000.0</v>
      </c>
      <c r="I163" s="15"/>
      <c r="J163" s="37" t="s">
        <v>103</v>
      </c>
      <c r="K163" s="17"/>
      <c r="L163" s="6" t="s">
        <v>472</v>
      </c>
      <c r="M163" s="6"/>
      <c r="N163" s="6"/>
      <c r="O163" s="6"/>
      <c r="P163" s="6"/>
      <c r="Q163" s="6"/>
      <c r="R163" s="6"/>
    </row>
    <row r="164" ht="22.5" customHeight="1">
      <c r="A164" s="7">
        <v>162.0</v>
      </c>
      <c r="B164" s="36"/>
      <c r="C164" s="9">
        <v>46081.0</v>
      </c>
      <c r="D164" s="10" t="s">
        <v>473</v>
      </c>
      <c r="E164" s="11" t="s">
        <v>474</v>
      </c>
      <c r="F164" s="43"/>
      <c r="G164" s="13" t="s">
        <v>475</v>
      </c>
      <c r="H164" s="14">
        <v>2500.0</v>
      </c>
      <c r="I164" s="15"/>
      <c r="J164" s="37" t="s">
        <v>26</v>
      </c>
      <c r="K164" s="17"/>
      <c r="L164" s="6" t="s">
        <v>476</v>
      </c>
      <c r="M164" s="6"/>
      <c r="N164" s="6"/>
      <c r="O164" s="6"/>
      <c r="P164" s="6"/>
      <c r="Q164" s="6"/>
      <c r="R164" s="6"/>
    </row>
    <row r="165" ht="22.5" customHeight="1">
      <c r="A165" s="7">
        <v>163.0</v>
      </c>
      <c r="B165" s="36"/>
      <c r="C165" s="9">
        <v>46081.0</v>
      </c>
      <c r="D165" s="10" t="s">
        <v>23</v>
      </c>
      <c r="E165" s="11" t="s">
        <v>477</v>
      </c>
      <c r="F165" s="42" t="s">
        <v>429</v>
      </c>
      <c r="G165" s="27" t="s">
        <v>25</v>
      </c>
      <c r="H165" s="14">
        <v>920000.0</v>
      </c>
      <c r="I165" s="15"/>
      <c r="J165" s="37" t="s">
        <v>26</v>
      </c>
      <c r="K165" s="17"/>
      <c r="L165" s="6" t="s">
        <v>478</v>
      </c>
      <c r="M165" s="6"/>
      <c r="N165" s="6"/>
      <c r="O165" s="6"/>
      <c r="P165" s="6"/>
      <c r="Q165" s="6"/>
      <c r="R165" s="6"/>
    </row>
    <row r="166" ht="22.5" customHeight="1">
      <c r="A166" s="7">
        <v>164.0</v>
      </c>
      <c r="B166" s="36"/>
      <c r="C166" s="9">
        <v>46081.0</v>
      </c>
      <c r="D166" s="10" t="s">
        <v>404</v>
      </c>
      <c r="E166" s="11" t="s">
        <v>479</v>
      </c>
      <c r="F166" s="12" t="s">
        <v>480</v>
      </c>
      <c r="G166" s="13" t="s">
        <v>406</v>
      </c>
      <c r="H166" s="14">
        <v>650000.0</v>
      </c>
      <c r="I166" s="15">
        <v>445000.0</v>
      </c>
      <c r="J166" s="37" t="s">
        <v>481</v>
      </c>
      <c r="K166" s="17"/>
      <c r="L166" s="6" t="s">
        <v>482</v>
      </c>
      <c r="M166" s="6"/>
      <c r="N166" s="6"/>
      <c r="O166" s="6"/>
      <c r="P166" s="6"/>
      <c r="Q166" s="6"/>
      <c r="R166" s="6"/>
    </row>
    <row r="167" ht="22.5" customHeight="1">
      <c r="A167" s="7">
        <v>165.0</v>
      </c>
      <c r="B167" s="36"/>
      <c r="C167" s="9">
        <v>46081.0</v>
      </c>
      <c r="D167" s="10" t="s">
        <v>230</v>
      </c>
      <c r="E167" s="11" t="s">
        <v>483</v>
      </c>
      <c r="F167" s="43"/>
      <c r="G167" s="13" t="str">
        <f>IF(LEN(TRIM(D167))=0,"",IFNA(VLOOKUP(UPPER(TRIM(D167)),'CLIENT DIRECTORY'!A:B,2,FALSE),""))</f>
        <v/>
      </c>
      <c r="H167" s="14">
        <v>3000.0</v>
      </c>
      <c r="I167" s="15"/>
      <c r="J167" s="37" t="s">
        <v>26</v>
      </c>
      <c r="K167" s="17"/>
      <c r="L167" s="6" t="s">
        <v>484</v>
      </c>
      <c r="M167" s="6"/>
      <c r="N167" s="6"/>
      <c r="O167" s="6"/>
      <c r="P167" s="6"/>
      <c r="Q167" s="6"/>
      <c r="R167" s="6"/>
    </row>
    <row r="168" ht="22.5" customHeight="1">
      <c r="A168" s="7">
        <v>166.0</v>
      </c>
      <c r="B168" s="36"/>
      <c r="C168" s="9">
        <v>46081.0</v>
      </c>
      <c r="D168" s="10" t="s">
        <v>485</v>
      </c>
      <c r="E168" s="11" t="s">
        <v>277</v>
      </c>
      <c r="F168" s="43"/>
      <c r="G168" s="13" t="s">
        <v>486</v>
      </c>
      <c r="H168" s="14">
        <v>2500.0</v>
      </c>
      <c r="I168" s="15"/>
      <c r="J168" s="37" t="s">
        <v>26</v>
      </c>
      <c r="K168" s="17"/>
      <c r="L168" s="6" t="s">
        <v>487</v>
      </c>
      <c r="M168" s="6"/>
      <c r="N168" s="6"/>
      <c r="O168" s="6"/>
      <c r="P168" s="6"/>
      <c r="Q168" s="6"/>
      <c r="R168" s="6"/>
    </row>
    <row r="169" ht="22.5" customHeight="1">
      <c r="A169" s="7">
        <v>167.0</v>
      </c>
      <c r="B169" s="36"/>
      <c r="C169" s="9">
        <v>46081.0</v>
      </c>
      <c r="D169" s="10" t="s">
        <v>488</v>
      </c>
      <c r="E169" s="11" t="s">
        <v>489</v>
      </c>
      <c r="F169" s="43"/>
      <c r="G169" s="13" t="str">
        <f>IF(LEN(TRIM(D169))=0,"",IFNA(VLOOKUP(UPPER(TRIM(D169)),'CLIENT DIRECTORY'!A:B,2,FALSE),""))</f>
        <v/>
      </c>
      <c r="H169" s="14">
        <v>2500.0</v>
      </c>
      <c r="I169" s="15"/>
      <c r="J169" s="37" t="s">
        <v>26</v>
      </c>
      <c r="K169" s="17"/>
      <c r="L169" s="6" t="s">
        <v>490</v>
      </c>
      <c r="M169" s="6"/>
      <c r="N169" s="6"/>
      <c r="O169" s="6"/>
      <c r="P169" s="6"/>
      <c r="Q169" s="6"/>
      <c r="R169" s="6"/>
    </row>
    <row r="170" ht="22.5" customHeight="1">
      <c r="A170" s="7">
        <v>168.0</v>
      </c>
      <c r="B170" s="36"/>
      <c r="C170" s="9">
        <v>46081.0</v>
      </c>
      <c r="D170" s="10" t="s">
        <v>470</v>
      </c>
      <c r="E170" s="11" t="s">
        <v>491</v>
      </c>
      <c r="F170" s="42" t="s">
        <v>415</v>
      </c>
      <c r="G170" s="27" t="s">
        <v>406</v>
      </c>
      <c r="H170" s="14">
        <v>280000.0</v>
      </c>
      <c r="I170" s="15"/>
      <c r="J170" s="37" t="s">
        <v>26</v>
      </c>
      <c r="K170" s="17"/>
      <c r="L170" s="6" t="s">
        <v>492</v>
      </c>
      <c r="M170" s="6"/>
      <c r="N170" s="6"/>
      <c r="O170" s="6"/>
      <c r="P170" s="6"/>
      <c r="Q170" s="6"/>
      <c r="R170" s="6"/>
    </row>
    <row r="171" ht="22.5" customHeight="1">
      <c r="A171" s="7">
        <v>169.0</v>
      </c>
      <c r="B171" s="36"/>
      <c r="C171" s="9">
        <v>46081.0</v>
      </c>
      <c r="D171" s="10" t="s">
        <v>50</v>
      </c>
      <c r="E171" s="11" t="s">
        <v>493</v>
      </c>
      <c r="F171" s="43"/>
      <c r="G171" s="13" t="s">
        <v>52</v>
      </c>
      <c r="H171" s="14">
        <v>2500.0</v>
      </c>
      <c r="I171" s="15"/>
      <c r="J171" s="37" t="s">
        <v>26</v>
      </c>
      <c r="K171" s="17"/>
      <c r="L171" s="6" t="s">
        <v>494</v>
      </c>
      <c r="M171" s="6"/>
      <c r="N171" s="6"/>
      <c r="O171" s="6"/>
      <c r="P171" s="6"/>
      <c r="Q171" s="6"/>
      <c r="R171" s="6"/>
    </row>
    <row r="172" ht="22.5" customHeight="1">
      <c r="A172" s="7">
        <v>170.0</v>
      </c>
      <c r="B172" s="36"/>
      <c r="C172" s="9">
        <v>46081.0</v>
      </c>
      <c r="D172" s="10" t="s">
        <v>495</v>
      </c>
      <c r="E172" s="11" t="s">
        <v>496</v>
      </c>
      <c r="F172" s="43"/>
      <c r="G172" s="13" t="str">
        <f>IF(LEN(TRIM(D172))=0,"",IFNA(VLOOKUP(UPPER(TRIM(D172)),'CLIENT DIRECTORY'!A:B,2,FALSE),""))</f>
        <v/>
      </c>
      <c r="H172" s="14">
        <v>2500.0</v>
      </c>
      <c r="I172" s="15"/>
      <c r="J172" s="37" t="s">
        <v>26</v>
      </c>
      <c r="K172" s="17"/>
      <c r="L172" s="6" t="s">
        <v>497</v>
      </c>
      <c r="M172" s="6"/>
      <c r="N172" s="6"/>
      <c r="O172" s="6"/>
      <c r="P172" s="6"/>
      <c r="Q172" s="6"/>
      <c r="R172" s="6"/>
    </row>
    <row r="173" ht="22.5" customHeight="1">
      <c r="A173" s="7">
        <v>171.0</v>
      </c>
      <c r="B173" s="36"/>
      <c r="C173" s="9">
        <v>46081.0</v>
      </c>
      <c r="D173" s="10" t="s">
        <v>93</v>
      </c>
      <c r="E173" s="11" t="s">
        <v>498</v>
      </c>
      <c r="F173" s="43"/>
      <c r="G173" s="13" t="s">
        <v>95</v>
      </c>
      <c r="H173" s="14">
        <v>2500.0</v>
      </c>
      <c r="I173" s="15"/>
      <c r="J173" s="37" t="s">
        <v>26</v>
      </c>
      <c r="K173" s="17"/>
      <c r="L173" s="6" t="s">
        <v>499</v>
      </c>
      <c r="M173" s="6"/>
      <c r="N173" s="6"/>
      <c r="O173" s="6"/>
      <c r="P173" s="6"/>
      <c r="Q173" s="6"/>
      <c r="R173" s="6"/>
    </row>
    <row r="174" ht="22.5" customHeight="1">
      <c r="A174" s="7">
        <v>172.0</v>
      </c>
      <c r="B174" s="36"/>
      <c r="C174" s="9">
        <v>46081.0</v>
      </c>
      <c r="D174" s="10" t="s">
        <v>500</v>
      </c>
      <c r="E174" s="11" t="s">
        <v>501</v>
      </c>
      <c r="F174" s="42" t="s">
        <v>502</v>
      </c>
      <c r="G174" s="27" t="str">
        <f>IF(LEN(TRIM(D174))=0,"",IFNA(VLOOKUP(UPPER(TRIM(D174)),'CLIENT DIRECTORY'!A:B,2,FALSE),""))</f>
        <v/>
      </c>
      <c r="H174" s="14">
        <v>1230000.0</v>
      </c>
      <c r="I174" s="15"/>
      <c r="J174" s="37" t="s">
        <v>26</v>
      </c>
      <c r="K174" s="17"/>
      <c r="L174" s="6" t="s">
        <v>503</v>
      </c>
      <c r="M174" s="6"/>
      <c r="N174" s="6"/>
      <c r="O174" s="6"/>
      <c r="P174" s="6"/>
      <c r="Q174" s="6"/>
      <c r="R174" s="6"/>
    </row>
    <row r="175" ht="22.5" customHeight="1">
      <c r="A175" s="7">
        <v>173.0</v>
      </c>
      <c r="B175" s="36"/>
      <c r="C175" s="9">
        <v>46081.0</v>
      </c>
      <c r="D175" s="10" t="s">
        <v>488</v>
      </c>
      <c r="E175" s="11" t="s">
        <v>504</v>
      </c>
      <c r="F175" s="43"/>
      <c r="G175" s="13" t="str">
        <f>IF(LEN(TRIM(D175))=0,"",IFNA(VLOOKUP(UPPER(TRIM(D175)),'CLIENT DIRECTORY'!A:B,2,FALSE),""))</f>
        <v/>
      </c>
      <c r="H175" s="14">
        <v>4000.0</v>
      </c>
      <c r="I175" s="15"/>
      <c r="J175" s="37" t="s">
        <v>26</v>
      </c>
      <c r="K175" s="17"/>
      <c r="L175" s="6" t="s">
        <v>505</v>
      </c>
      <c r="M175" s="6"/>
      <c r="N175" s="6"/>
      <c r="O175" s="6"/>
      <c r="P175" s="6"/>
      <c r="Q175" s="6"/>
      <c r="R175" s="6"/>
    </row>
    <row r="176" ht="22.5" customHeight="1">
      <c r="A176" s="7">
        <v>174.0</v>
      </c>
      <c r="B176" s="36"/>
      <c r="C176" s="9">
        <v>46081.0</v>
      </c>
      <c r="D176" s="10" t="s">
        <v>506</v>
      </c>
      <c r="E176" s="11" t="s">
        <v>181</v>
      </c>
      <c r="F176" s="43"/>
      <c r="G176" s="13" t="str">
        <f>IF(LEN(TRIM(D176))=0,"",IFNA(VLOOKUP(UPPER(TRIM(D176)),'CLIENT DIRECTORY'!A:B,2,FALSE),""))</f>
        <v/>
      </c>
      <c r="H176" s="14">
        <v>5000.0</v>
      </c>
      <c r="I176" s="15"/>
      <c r="J176" s="37" t="s">
        <v>26</v>
      </c>
      <c r="K176" s="17"/>
      <c r="L176" s="6" t="s">
        <v>507</v>
      </c>
      <c r="M176" s="6"/>
      <c r="N176" s="6"/>
      <c r="O176" s="6"/>
      <c r="P176" s="6"/>
      <c r="Q176" s="6"/>
      <c r="R176" s="6"/>
    </row>
    <row r="177" ht="22.5" customHeight="1">
      <c r="A177" s="7">
        <v>175.0</v>
      </c>
      <c r="B177" s="36"/>
      <c r="C177" s="35" t="s">
        <v>508</v>
      </c>
      <c r="D177" s="10" t="s">
        <v>508</v>
      </c>
      <c r="E177" s="11" t="s">
        <v>195</v>
      </c>
      <c r="F177" s="12" t="s">
        <v>195</v>
      </c>
      <c r="G177" s="13" t="str">
        <f>IF(LEN(TRIM(D177))=0,"",IFNA(VLOOKUP(UPPER(TRIM(D177)),'CLIENT DIRECTORY'!A:B,2,FALSE),""))</f>
        <v/>
      </c>
      <c r="H177" s="14" t="s">
        <v>508</v>
      </c>
      <c r="I177" s="15"/>
      <c r="J177" s="37" t="s">
        <v>140</v>
      </c>
      <c r="K177" s="17"/>
      <c r="L177" s="6" t="s">
        <v>509</v>
      </c>
      <c r="M177" s="6"/>
      <c r="N177" s="6"/>
      <c r="O177" s="6"/>
      <c r="P177" s="6"/>
      <c r="Q177" s="6"/>
      <c r="R177" s="6"/>
    </row>
    <row r="178" ht="22.5" customHeight="1">
      <c r="A178" s="7">
        <v>176.0</v>
      </c>
      <c r="B178" s="36"/>
      <c r="C178" s="35" t="s">
        <v>508</v>
      </c>
      <c r="D178" s="10" t="s">
        <v>508</v>
      </c>
      <c r="E178" s="11" t="s">
        <v>195</v>
      </c>
      <c r="F178" s="12" t="s">
        <v>195</v>
      </c>
      <c r="G178" s="13" t="str">
        <f>IF(LEN(TRIM(D178))=0,"",IFNA(VLOOKUP(UPPER(TRIM(D178)),'CLIENT DIRECTORY'!A:B,2,FALSE),""))</f>
        <v/>
      </c>
      <c r="H178" s="14" t="s">
        <v>508</v>
      </c>
      <c r="I178" s="15"/>
      <c r="J178" s="37" t="s">
        <v>140</v>
      </c>
      <c r="K178" s="17"/>
      <c r="L178" s="6" t="s">
        <v>510</v>
      </c>
      <c r="M178" s="6"/>
      <c r="N178" s="6"/>
      <c r="O178" s="6"/>
      <c r="P178" s="6"/>
      <c r="Q178" s="6"/>
      <c r="R178" s="6"/>
    </row>
    <row r="179" ht="22.5" customHeight="1">
      <c r="A179" s="7">
        <v>177.0</v>
      </c>
      <c r="B179" s="36"/>
      <c r="C179" s="35" t="s">
        <v>508</v>
      </c>
      <c r="D179" s="10" t="s">
        <v>508</v>
      </c>
      <c r="E179" s="11" t="s">
        <v>195</v>
      </c>
      <c r="F179" s="12" t="s">
        <v>195</v>
      </c>
      <c r="G179" s="13" t="str">
        <f>IF(LEN(TRIM(D179))=0,"",IFNA(VLOOKUP(UPPER(TRIM(D179)),'CLIENT DIRECTORY'!A:B,2,FALSE),""))</f>
        <v/>
      </c>
      <c r="H179" s="14" t="s">
        <v>508</v>
      </c>
      <c r="I179" s="15"/>
      <c r="J179" s="37" t="s">
        <v>140</v>
      </c>
      <c r="K179" s="17"/>
      <c r="L179" s="6" t="s">
        <v>511</v>
      </c>
      <c r="M179" s="6"/>
      <c r="N179" s="6"/>
      <c r="O179" s="6"/>
      <c r="P179" s="6"/>
      <c r="Q179" s="6"/>
      <c r="R179" s="6"/>
    </row>
    <row r="180" ht="22.5" customHeight="1">
      <c r="A180" s="7">
        <v>178.0</v>
      </c>
      <c r="B180" s="36"/>
      <c r="C180" s="35" t="s">
        <v>508</v>
      </c>
      <c r="D180" s="10" t="s">
        <v>508</v>
      </c>
      <c r="E180" s="11" t="s">
        <v>195</v>
      </c>
      <c r="F180" s="12" t="s">
        <v>195</v>
      </c>
      <c r="G180" s="13" t="str">
        <f>IF(LEN(TRIM(D180))=0,"",IFNA(VLOOKUP(UPPER(TRIM(D180)),'CLIENT DIRECTORY'!A:B,2,FALSE),""))</f>
        <v/>
      </c>
      <c r="H180" s="14" t="s">
        <v>508</v>
      </c>
      <c r="I180" s="15"/>
      <c r="J180" s="37" t="s">
        <v>140</v>
      </c>
      <c r="K180" s="17"/>
      <c r="L180" s="6" t="s">
        <v>512</v>
      </c>
      <c r="M180" s="6"/>
      <c r="N180" s="6"/>
      <c r="O180" s="6"/>
      <c r="P180" s="6"/>
      <c r="Q180" s="6"/>
      <c r="R180" s="6"/>
    </row>
    <row r="181" ht="22.5" customHeight="1">
      <c r="A181" s="7">
        <v>179.0</v>
      </c>
      <c r="B181" s="36"/>
      <c r="C181" s="9">
        <v>46083.0</v>
      </c>
      <c r="D181" s="10" t="s">
        <v>513</v>
      </c>
      <c r="E181" s="11" t="s">
        <v>514</v>
      </c>
      <c r="F181" s="42" t="s">
        <v>515</v>
      </c>
      <c r="G181" s="27" t="str">
        <f>IF(LEN(TRIM(D181))=0,"",IFNA(VLOOKUP(UPPER(TRIM(D181)),'CLIENT DIRECTORY'!A:B,2,FALSE),""))</f>
        <v/>
      </c>
      <c r="H181" s="14">
        <v>540000.0</v>
      </c>
      <c r="I181" s="15"/>
      <c r="J181" s="37" t="s">
        <v>26</v>
      </c>
      <c r="K181" s="17"/>
      <c r="L181" s="6" t="s">
        <v>516</v>
      </c>
      <c r="M181" s="6"/>
      <c r="N181" s="6"/>
      <c r="O181" s="6"/>
      <c r="P181" s="6"/>
      <c r="Q181" s="6"/>
      <c r="R181" s="6"/>
    </row>
    <row r="182" ht="22.5" customHeight="1">
      <c r="A182" s="7">
        <v>180.0</v>
      </c>
      <c r="B182" s="36"/>
      <c r="C182" s="9">
        <v>46083.0</v>
      </c>
      <c r="D182" s="10" t="s">
        <v>513</v>
      </c>
      <c r="E182" s="11" t="s">
        <v>517</v>
      </c>
      <c r="F182" s="43"/>
      <c r="G182" s="13" t="str">
        <f>IF(LEN(TRIM(D182))=0,"",IFNA(VLOOKUP(UPPER(TRIM(D182)),'CLIENT DIRECTORY'!A:B,2,FALSE),""))</f>
        <v/>
      </c>
      <c r="H182" s="14">
        <v>1340000.0</v>
      </c>
      <c r="I182" s="15"/>
      <c r="J182" s="37" t="s">
        <v>26</v>
      </c>
      <c r="K182" s="17"/>
      <c r="L182" s="6" t="s">
        <v>518</v>
      </c>
      <c r="M182" s="6"/>
      <c r="N182" s="6"/>
      <c r="O182" s="6"/>
      <c r="P182" s="6"/>
      <c r="Q182" s="6"/>
      <c r="R182" s="6"/>
    </row>
    <row r="183" ht="22.5" customHeight="1">
      <c r="A183" s="7">
        <v>181.0</v>
      </c>
      <c r="B183" s="36"/>
      <c r="C183" s="9">
        <v>46083.0</v>
      </c>
      <c r="D183" s="10" t="s">
        <v>424</v>
      </c>
      <c r="E183" s="11" t="s">
        <v>519</v>
      </c>
      <c r="F183" s="43"/>
      <c r="G183" s="13" t="s">
        <v>426</v>
      </c>
      <c r="H183" s="14">
        <v>2500.0</v>
      </c>
      <c r="I183" s="15"/>
      <c r="J183" s="37" t="s">
        <v>26</v>
      </c>
      <c r="K183" s="17"/>
      <c r="L183" s="6" t="s">
        <v>520</v>
      </c>
      <c r="M183" s="6"/>
      <c r="N183" s="6"/>
      <c r="O183" s="6"/>
      <c r="P183" s="6"/>
      <c r="Q183" s="6"/>
      <c r="R183" s="6"/>
    </row>
    <row r="184" ht="22.5" customHeight="1">
      <c r="A184" s="49"/>
      <c r="B184" s="36"/>
      <c r="C184" s="9">
        <v>46083.0</v>
      </c>
      <c r="D184" s="10" t="s">
        <v>513</v>
      </c>
      <c r="E184" s="11" t="s">
        <v>521</v>
      </c>
      <c r="F184" s="42" t="s">
        <v>135</v>
      </c>
      <c r="G184" s="27" t="str">
        <f>IF(LEN(TRIM(D184))=0,"",IFNA(VLOOKUP(UPPER(TRIM(D184)),'CLIENT DIRECTORY'!A:B,2,FALSE),""))</f>
        <v/>
      </c>
      <c r="H184" s="14">
        <v>310000.0</v>
      </c>
      <c r="I184" s="15"/>
      <c r="J184" s="37" t="s">
        <v>103</v>
      </c>
      <c r="K184" s="17"/>
      <c r="L184" s="6" t="s">
        <v>522</v>
      </c>
      <c r="M184" s="6"/>
      <c r="N184" s="6"/>
      <c r="O184" s="6"/>
      <c r="P184" s="6"/>
      <c r="Q184" s="6"/>
      <c r="R184" s="6"/>
    </row>
    <row r="185" ht="22.5" customHeight="1">
      <c r="A185" s="49"/>
      <c r="B185" s="36"/>
      <c r="C185" s="9">
        <v>46083.0</v>
      </c>
      <c r="D185" s="10" t="s">
        <v>50</v>
      </c>
      <c r="E185" s="11" t="s">
        <v>523</v>
      </c>
      <c r="F185" s="42" t="s">
        <v>524</v>
      </c>
      <c r="G185" s="27" t="s">
        <v>52</v>
      </c>
      <c r="H185" s="14">
        <v>680000.0</v>
      </c>
      <c r="I185" s="15"/>
      <c r="J185" s="37" t="s">
        <v>103</v>
      </c>
      <c r="K185" s="17"/>
      <c r="L185" s="6" t="s">
        <v>525</v>
      </c>
      <c r="M185" s="6"/>
      <c r="N185" s="6"/>
      <c r="O185" s="6"/>
      <c r="P185" s="6"/>
      <c r="Q185" s="6"/>
      <c r="R185" s="6"/>
    </row>
    <row r="186" ht="22.5" customHeight="1">
      <c r="A186" s="49"/>
      <c r="B186" s="36"/>
      <c r="C186" s="9">
        <v>46083.0</v>
      </c>
      <c r="D186" s="10" t="s">
        <v>248</v>
      </c>
      <c r="E186" s="11" t="s">
        <v>526</v>
      </c>
      <c r="F186" s="43"/>
      <c r="G186" s="13" t="s">
        <v>250</v>
      </c>
      <c r="H186" s="14">
        <v>2500.0</v>
      </c>
      <c r="I186" s="15"/>
      <c r="J186" s="37" t="s">
        <v>26</v>
      </c>
      <c r="K186" s="17"/>
      <c r="L186" s="6" t="s">
        <v>527</v>
      </c>
      <c r="M186" s="6"/>
      <c r="N186" s="6"/>
      <c r="O186" s="6"/>
      <c r="P186" s="6"/>
      <c r="Q186" s="6"/>
      <c r="R186" s="6"/>
    </row>
    <row r="187" ht="22.5" customHeight="1">
      <c r="A187" s="49"/>
      <c r="B187" s="36"/>
      <c r="C187" s="9">
        <v>46083.0</v>
      </c>
      <c r="D187" s="10" t="s">
        <v>473</v>
      </c>
      <c r="E187" s="11" t="s">
        <v>528</v>
      </c>
      <c r="F187" s="43"/>
      <c r="G187" s="13" t="s">
        <v>475</v>
      </c>
      <c r="H187" s="14">
        <v>2500.0</v>
      </c>
      <c r="I187" s="15"/>
      <c r="J187" s="37" t="s">
        <v>26</v>
      </c>
      <c r="K187" s="17"/>
      <c r="L187" s="6" t="s">
        <v>529</v>
      </c>
      <c r="M187" s="6"/>
      <c r="N187" s="6"/>
      <c r="O187" s="6"/>
      <c r="P187" s="6"/>
      <c r="Q187" s="6"/>
      <c r="R187" s="6"/>
    </row>
    <row r="188" ht="22.5" customHeight="1">
      <c r="A188" s="49"/>
      <c r="B188" s="36"/>
      <c r="C188" s="9">
        <v>46083.0</v>
      </c>
      <c r="D188" s="10" t="s">
        <v>530</v>
      </c>
      <c r="E188" s="11" t="s">
        <v>356</v>
      </c>
      <c r="F188" s="43"/>
      <c r="G188" s="13" t="str">
        <f>IF(LEN(TRIM(D188))=0,"",IFNA(VLOOKUP(UPPER(TRIM(D188)),'CLIENT DIRECTORY'!A:B,2,FALSE),""))</f>
        <v/>
      </c>
      <c r="H188" s="14">
        <v>2500.0</v>
      </c>
      <c r="I188" s="15"/>
      <c r="J188" s="37" t="s">
        <v>26</v>
      </c>
      <c r="K188" s="17"/>
      <c r="L188" s="6" t="s">
        <v>531</v>
      </c>
      <c r="M188" s="6"/>
      <c r="N188" s="6"/>
      <c r="O188" s="6"/>
      <c r="P188" s="6"/>
      <c r="Q188" s="6"/>
      <c r="R188" s="6"/>
    </row>
    <row r="189" ht="22.5" customHeight="1">
      <c r="A189" s="49"/>
      <c r="B189" s="36"/>
      <c r="C189" s="35" t="s">
        <v>195</v>
      </c>
      <c r="D189" s="10" t="s">
        <v>508</v>
      </c>
      <c r="E189" s="11" t="s">
        <v>195</v>
      </c>
      <c r="F189" s="12" t="s">
        <v>508</v>
      </c>
      <c r="G189" s="13" t="str">
        <f>IF(LEN(TRIM(D189))=0,"",IFNA(VLOOKUP(UPPER(TRIM(D189)),'CLIENT DIRECTORY'!A:B,2,FALSE),""))</f>
        <v/>
      </c>
      <c r="H189" s="14" t="s">
        <v>195</v>
      </c>
      <c r="I189" s="15"/>
      <c r="J189" s="37" t="s">
        <v>140</v>
      </c>
      <c r="K189" s="17"/>
      <c r="L189" s="6" t="s">
        <v>532</v>
      </c>
      <c r="M189" s="6"/>
      <c r="N189" s="6"/>
      <c r="O189" s="6"/>
      <c r="P189" s="6"/>
      <c r="Q189" s="6"/>
      <c r="R189" s="6"/>
    </row>
    <row r="190" ht="22.5" customHeight="1">
      <c r="A190" s="49"/>
      <c r="B190" s="36"/>
      <c r="C190" s="35" t="s">
        <v>195</v>
      </c>
      <c r="D190" s="10" t="s">
        <v>508</v>
      </c>
      <c r="E190" s="11" t="s">
        <v>508</v>
      </c>
      <c r="F190" s="12" t="s">
        <v>508</v>
      </c>
      <c r="G190" s="13" t="str">
        <f>IF(LEN(TRIM(D190))=0,"",IFNA(VLOOKUP(UPPER(TRIM(D190)),'CLIENT DIRECTORY'!A:B,2,FALSE),""))</f>
        <v/>
      </c>
      <c r="H190" s="14" t="s">
        <v>508</v>
      </c>
      <c r="I190" s="15"/>
      <c r="J190" s="37" t="s">
        <v>140</v>
      </c>
      <c r="K190" s="17"/>
      <c r="L190" s="6" t="s">
        <v>533</v>
      </c>
      <c r="M190" s="6"/>
      <c r="N190" s="6"/>
      <c r="O190" s="6"/>
      <c r="P190" s="6"/>
      <c r="Q190" s="6"/>
      <c r="R190" s="6"/>
    </row>
    <row r="191" ht="22.5" customHeight="1">
      <c r="A191" s="49"/>
      <c r="B191" s="36"/>
      <c r="C191" s="9">
        <v>46084.0</v>
      </c>
      <c r="D191" s="10" t="s">
        <v>173</v>
      </c>
      <c r="E191" s="11" t="s">
        <v>293</v>
      </c>
      <c r="F191" s="43"/>
      <c r="G191" s="14" t="s">
        <v>175</v>
      </c>
      <c r="H191" s="14">
        <v>2500.0</v>
      </c>
      <c r="I191" s="15"/>
      <c r="J191" s="37" t="s">
        <v>121</v>
      </c>
      <c r="K191" s="17"/>
      <c r="L191" s="6" t="s">
        <v>534</v>
      </c>
      <c r="M191" s="6"/>
      <c r="N191" s="6"/>
      <c r="O191" s="6"/>
      <c r="P191" s="6"/>
      <c r="Q191" s="6"/>
      <c r="R191" s="6"/>
    </row>
    <row r="192" ht="22.5" customHeight="1">
      <c r="A192" s="49"/>
      <c r="B192" s="36"/>
      <c r="C192" s="9">
        <v>46084.0</v>
      </c>
      <c r="D192" s="10" t="s">
        <v>535</v>
      </c>
      <c r="E192" s="11" t="s">
        <v>536</v>
      </c>
      <c r="F192" s="43"/>
      <c r="G192" s="13" t="str">
        <f>IF(LEN(TRIM(D192))=0,"",IFNA(VLOOKUP(UPPER(TRIM(D192)),'CLIENT DIRECTORY'!A:B,2,FALSE),""))</f>
        <v/>
      </c>
      <c r="H192" s="14">
        <v>2500.0</v>
      </c>
      <c r="I192" s="15"/>
      <c r="J192" s="37" t="s">
        <v>26</v>
      </c>
      <c r="K192" s="17"/>
      <c r="L192" s="6" t="s">
        <v>537</v>
      </c>
      <c r="M192" s="6"/>
      <c r="N192" s="6"/>
      <c r="O192" s="6"/>
      <c r="P192" s="6"/>
      <c r="Q192" s="6"/>
      <c r="R192" s="6"/>
    </row>
    <row r="193" ht="22.5" customHeight="1">
      <c r="A193" s="49"/>
      <c r="B193" s="36"/>
      <c r="C193" s="9">
        <v>46084.0</v>
      </c>
      <c r="D193" s="10" t="s">
        <v>105</v>
      </c>
      <c r="E193" s="11" t="s">
        <v>538</v>
      </c>
      <c r="F193" s="43"/>
      <c r="G193" s="13" t="str">
        <f>IF(LEN(TRIM(D193))=0,"",IFNA(VLOOKUP(UPPER(TRIM(D193)),'CLIENT DIRECTORY'!A:B,2,FALSE),""))</f>
        <v/>
      </c>
      <c r="H193" s="14">
        <v>25000.0</v>
      </c>
      <c r="I193" s="15"/>
      <c r="J193" s="37" t="s">
        <v>26</v>
      </c>
      <c r="K193" s="17"/>
      <c r="L193" s="6" t="s">
        <v>539</v>
      </c>
      <c r="M193" s="6"/>
      <c r="N193" s="6"/>
      <c r="O193" s="6"/>
      <c r="P193" s="6"/>
      <c r="Q193" s="6"/>
      <c r="R193" s="6"/>
    </row>
    <row r="194" ht="22.5" customHeight="1">
      <c r="A194" s="49"/>
      <c r="B194" s="36"/>
      <c r="C194" s="9">
        <v>46084.0</v>
      </c>
      <c r="D194" s="10" t="s">
        <v>54</v>
      </c>
      <c r="E194" s="11" t="s">
        <v>540</v>
      </c>
      <c r="F194" s="43"/>
      <c r="G194" s="13" t="s">
        <v>56</v>
      </c>
      <c r="H194" s="14">
        <v>5000.0</v>
      </c>
      <c r="I194" s="15">
        <v>5000.0</v>
      </c>
      <c r="J194" s="37" t="s">
        <v>26</v>
      </c>
      <c r="K194" s="17"/>
      <c r="L194" s="6" t="s">
        <v>541</v>
      </c>
      <c r="M194" s="6"/>
      <c r="N194" s="6"/>
      <c r="O194" s="6"/>
      <c r="P194" s="6"/>
      <c r="Q194" s="6"/>
      <c r="R194" s="6"/>
    </row>
    <row r="195" ht="22.5" customHeight="1">
      <c r="A195" s="49"/>
      <c r="B195" s="36"/>
      <c r="C195" s="9">
        <v>46084.0</v>
      </c>
      <c r="D195" s="10" t="s">
        <v>248</v>
      </c>
      <c r="E195" s="11" t="s">
        <v>542</v>
      </c>
      <c r="F195" s="43"/>
      <c r="G195" s="13" t="s">
        <v>250</v>
      </c>
      <c r="H195" s="14">
        <v>2500.0</v>
      </c>
      <c r="I195" s="15"/>
      <c r="J195" s="37" t="s">
        <v>26</v>
      </c>
      <c r="K195" s="17"/>
      <c r="L195" s="6" t="s">
        <v>543</v>
      </c>
      <c r="M195" s="6"/>
      <c r="N195" s="6"/>
      <c r="O195" s="6"/>
      <c r="P195" s="6"/>
      <c r="Q195" s="6"/>
      <c r="R195" s="6"/>
    </row>
    <row r="196" ht="22.5" customHeight="1">
      <c r="A196" s="49"/>
      <c r="B196" s="36"/>
      <c r="C196" s="9">
        <v>46084.0</v>
      </c>
      <c r="D196" s="10" t="s">
        <v>408</v>
      </c>
      <c r="E196" s="11" t="s">
        <v>544</v>
      </c>
      <c r="F196" s="43"/>
      <c r="G196" s="13" t="s">
        <v>411</v>
      </c>
      <c r="H196" s="14">
        <v>2500.0</v>
      </c>
      <c r="I196" s="15">
        <v>2500.0</v>
      </c>
      <c r="J196" s="37" t="s">
        <v>26</v>
      </c>
      <c r="K196" s="17"/>
      <c r="L196" s="6" t="s">
        <v>545</v>
      </c>
      <c r="M196" s="6"/>
      <c r="N196" s="6"/>
      <c r="O196" s="6"/>
      <c r="P196" s="6"/>
      <c r="Q196" s="6"/>
      <c r="R196" s="6"/>
    </row>
    <row r="197" ht="22.5" customHeight="1">
      <c r="A197" s="49"/>
      <c r="B197" s="36"/>
      <c r="C197" s="9">
        <v>46084.0</v>
      </c>
      <c r="D197" s="10" t="s">
        <v>108</v>
      </c>
      <c r="E197" s="11" t="s">
        <v>546</v>
      </c>
      <c r="F197" s="43"/>
      <c r="G197" s="13" t="s">
        <v>110</v>
      </c>
      <c r="H197" s="14">
        <v>22000.0</v>
      </c>
      <c r="I197" s="15"/>
      <c r="J197" s="37" t="s">
        <v>26</v>
      </c>
      <c r="K197" s="17"/>
      <c r="L197" s="6" t="s">
        <v>547</v>
      </c>
      <c r="M197" s="6"/>
      <c r="N197" s="6"/>
      <c r="O197" s="6"/>
      <c r="P197" s="6"/>
      <c r="Q197" s="6"/>
      <c r="R197" s="6"/>
    </row>
    <row r="198" ht="22.5" customHeight="1">
      <c r="A198" s="49"/>
      <c r="B198" s="36"/>
      <c r="C198" s="9">
        <v>46084.0</v>
      </c>
      <c r="D198" s="10" t="s">
        <v>473</v>
      </c>
      <c r="E198" s="11" t="s">
        <v>181</v>
      </c>
      <c r="F198" s="43"/>
      <c r="G198" s="13" t="s">
        <v>475</v>
      </c>
      <c r="H198" s="14">
        <v>5000.0</v>
      </c>
      <c r="I198" s="15"/>
      <c r="J198" s="37" t="s">
        <v>26</v>
      </c>
      <c r="K198" s="17"/>
      <c r="L198" s="6" t="s">
        <v>548</v>
      </c>
      <c r="M198" s="6"/>
      <c r="N198" s="6"/>
      <c r="O198" s="6"/>
      <c r="P198" s="6"/>
      <c r="Q198" s="6"/>
      <c r="R198" s="6"/>
    </row>
    <row r="199" ht="22.5" customHeight="1">
      <c r="A199" s="49"/>
      <c r="B199" s="36"/>
      <c r="C199" s="9">
        <v>46084.0</v>
      </c>
      <c r="D199" s="10" t="s">
        <v>248</v>
      </c>
      <c r="E199" s="11" t="s">
        <v>106</v>
      </c>
      <c r="F199" s="43"/>
      <c r="G199" s="13" t="s">
        <v>250</v>
      </c>
      <c r="H199" s="14">
        <v>2500.0</v>
      </c>
      <c r="I199" s="15"/>
      <c r="J199" s="37" t="s">
        <v>26</v>
      </c>
      <c r="K199" s="17"/>
      <c r="L199" s="6" t="s">
        <v>549</v>
      </c>
      <c r="M199" s="6"/>
      <c r="N199" s="6"/>
      <c r="O199" s="6"/>
      <c r="P199" s="6"/>
      <c r="Q199" s="6"/>
      <c r="R199" s="6"/>
    </row>
    <row r="200" ht="22.5" customHeight="1">
      <c r="A200" s="49"/>
      <c r="B200" s="36"/>
      <c r="C200" s="9">
        <v>46084.0</v>
      </c>
      <c r="D200" s="10" t="s">
        <v>23</v>
      </c>
      <c r="E200" s="11" t="s">
        <v>550</v>
      </c>
      <c r="F200" s="43"/>
      <c r="G200" s="13" t="s">
        <v>25</v>
      </c>
      <c r="H200" s="14">
        <v>5000.0</v>
      </c>
      <c r="I200" s="15"/>
      <c r="J200" s="37" t="s">
        <v>26</v>
      </c>
      <c r="K200" s="17"/>
      <c r="L200" s="6" t="s">
        <v>551</v>
      </c>
      <c r="M200" s="6"/>
      <c r="N200" s="6"/>
      <c r="O200" s="6"/>
      <c r="P200" s="6"/>
      <c r="Q200" s="6"/>
      <c r="R200" s="6"/>
    </row>
    <row r="201" ht="22.5" customHeight="1">
      <c r="A201" s="49"/>
      <c r="B201" s="36"/>
      <c r="C201" s="9">
        <v>46084.0</v>
      </c>
      <c r="D201" s="10" t="s">
        <v>418</v>
      </c>
      <c r="E201" s="11" t="s">
        <v>552</v>
      </c>
      <c r="F201" s="43"/>
      <c r="G201" s="13" t="s">
        <v>421</v>
      </c>
      <c r="H201" s="14">
        <v>2500.0</v>
      </c>
      <c r="I201" s="15">
        <v>2500.0</v>
      </c>
      <c r="J201" s="37" t="s">
        <v>21</v>
      </c>
      <c r="K201" s="17"/>
      <c r="L201" s="6" t="s">
        <v>553</v>
      </c>
      <c r="M201" s="6"/>
      <c r="N201" s="6"/>
      <c r="O201" s="6"/>
      <c r="P201" s="6"/>
      <c r="Q201" s="6"/>
      <c r="R201" s="6"/>
    </row>
    <row r="202" ht="22.5" customHeight="1">
      <c r="A202" s="49"/>
      <c r="B202" s="36"/>
      <c r="C202" s="9">
        <v>46084.0</v>
      </c>
      <c r="D202" s="10" t="s">
        <v>513</v>
      </c>
      <c r="E202" s="11" t="s">
        <v>554</v>
      </c>
      <c r="F202" s="43"/>
      <c r="G202" s="13" t="str">
        <f>IF(LEN(TRIM(D202))=0,"",IFNA(VLOOKUP(UPPER(TRIM(D202)),'CLIENT DIRECTORY'!A:B,2,FALSE),""))</f>
        <v/>
      </c>
      <c r="H202" s="14">
        <v>150000.0</v>
      </c>
      <c r="I202" s="15"/>
      <c r="J202" s="37" t="s">
        <v>26</v>
      </c>
      <c r="K202" s="17"/>
      <c r="L202" s="6" t="s">
        <v>555</v>
      </c>
      <c r="M202" s="6"/>
      <c r="N202" s="6"/>
      <c r="O202" s="6"/>
      <c r="P202" s="6"/>
      <c r="Q202" s="6"/>
      <c r="R202" s="6"/>
    </row>
    <row r="203" ht="22.5" customHeight="1">
      <c r="A203" s="49"/>
      <c r="B203" s="36"/>
      <c r="C203" s="9">
        <v>46084.0</v>
      </c>
      <c r="D203" s="45" t="s">
        <v>108</v>
      </c>
      <c r="E203" s="46" t="s">
        <v>109</v>
      </c>
      <c r="F203" s="50" t="s">
        <v>556</v>
      </c>
      <c r="G203" s="47" t="s">
        <v>110</v>
      </c>
      <c r="H203" s="48">
        <v>225000.0</v>
      </c>
      <c r="I203" s="32"/>
      <c r="J203" s="44" t="s">
        <v>26</v>
      </c>
      <c r="K203" s="17"/>
      <c r="L203" s="6" t="s">
        <v>557</v>
      </c>
      <c r="M203" s="6"/>
      <c r="N203" s="6"/>
      <c r="O203" s="6"/>
      <c r="P203" s="6"/>
      <c r="Q203" s="6"/>
      <c r="R203" s="6"/>
    </row>
    <row r="204" ht="22.5" customHeight="1">
      <c r="A204" s="49"/>
      <c r="B204" s="36"/>
      <c r="C204" s="9">
        <v>46084.0</v>
      </c>
      <c r="D204" s="45" t="s">
        <v>70</v>
      </c>
      <c r="E204" s="46" t="s">
        <v>558</v>
      </c>
      <c r="F204" s="43"/>
      <c r="G204" s="47" t="s">
        <v>72</v>
      </c>
      <c r="H204" s="48">
        <v>2500.0</v>
      </c>
      <c r="I204" s="32"/>
      <c r="J204" s="44" t="s">
        <v>26</v>
      </c>
      <c r="K204" s="17"/>
      <c r="L204" s="6" t="s">
        <v>559</v>
      </c>
      <c r="M204" s="6"/>
      <c r="N204" s="6"/>
      <c r="O204" s="6"/>
      <c r="P204" s="6"/>
      <c r="Q204" s="6"/>
      <c r="R204" s="6"/>
    </row>
    <row r="205" ht="22.5" customHeight="1">
      <c r="A205" s="49"/>
      <c r="B205" s="36"/>
      <c r="C205" s="9">
        <v>46084.0</v>
      </c>
      <c r="D205" s="45" t="s">
        <v>50</v>
      </c>
      <c r="E205" s="46" t="s">
        <v>560</v>
      </c>
      <c r="F205" s="43"/>
      <c r="G205" s="47" t="s">
        <v>52</v>
      </c>
      <c r="H205" s="48">
        <v>2500.0</v>
      </c>
      <c r="I205" s="32">
        <v>2500.0</v>
      </c>
      <c r="J205" s="44" t="s">
        <v>26</v>
      </c>
      <c r="K205" s="17"/>
      <c r="L205" s="6" t="s">
        <v>561</v>
      </c>
      <c r="M205" s="6"/>
      <c r="N205" s="6"/>
      <c r="O205" s="6"/>
      <c r="P205" s="6"/>
      <c r="Q205" s="6"/>
      <c r="R205" s="6"/>
    </row>
    <row r="206" ht="22.5" customHeight="1">
      <c r="A206" s="49"/>
      <c r="B206" s="36"/>
      <c r="C206" s="51" t="s">
        <v>140</v>
      </c>
      <c r="D206" s="45" t="s">
        <v>508</v>
      </c>
      <c r="E206" s="46" t="s">
        <v>140</v>
      </c>
      <c r="F206" s="52" t="s">
        <v>140</v>
      </c>
      <c r="G206" s="47" t="str">
        <f>IF(LEN(TRIM(D206))=0,"",IFNA(VLOOKUP(UPPER(TRIM(D206)),'CLIENT DIRECTORY'!A:B,2,FALSE),""))</f>
        <v/>
      </c>
      <c r="H206" s="48" t="s">
        <v>140</v>
      </c>
      <c r="I206" s="32"/>
      <c r="J206" s="44" t="s">
        <v>285</v>
      </c>
      <c r="K206" s="17"/>
      <c r="L206" s="6" t="s">
        <v>562</v>
      </c>
      <c r="M206" s="6"/>
      <c r="N206" s="6"/>
      <c r="O206" s="6"/>
      <c r="P206" s="6"/>
      <c r="Q206" s="6"/>
      <c r="R206" s="6"/>
    </row>
    <row r="207" ht="22.5" customHeight="1">
      <c r="A207" s="49"/>
      <c r="B207" s="36"/>
      <c r="C207" s="51" t="s">
        <v>140</v>
      </c>
      <c r="D207" s="45" t="s">
        <v>508</v>
      </c>
      <c r="E207" s="46" t="s">
        <v>140</v>
      </c>
      <c r="F207" s="52" t="s">
        <v>140</v>
      </c>
      <c r="G207" s="47" t="str">
        <f>IF(LEN(TRIM(D207))=0,"",IFNA(VLOOKUP(UPPER(TRIM(D207)),'CLIENT DIRECTORY'!A:B,2,FALSE),""))</f>
        <v/>
      </c>
      <c r="H207" s="48" t="s">
        <v>140</v>
      </c>
      <c r="I207" s="32"/>
      <c r="J207" s="44" t="s">
        <v>285</v>
      </c>
      <c r="K207" s="17"/>
      <c r="L207" s="6" t="s">
        <v>563</v>
      </c>
      <c r="M207" s="6"/>
      <c r="N207" s="6"/>
      <c r="O207" s="6"/>
      <c r="P207" s="6"/>
      <c r="Q207" s="6"/>
      <c r="R207" s="6"/>
    </row>
    <row r="208" ht="22.5" customHeight="1">
      <c r="A208" s="49"/>
      <c r="B208" s="36"/>
      <c r="C208" s="51" t="s">
        <v>140</v>
      </c>
      <c r="D208" s="45" t="s">
        <v>508</v>
      </c>
      <c r="E208" s="46" t="s">
        <v>140</v>
      </c>
      <c r="F208" s="52" t="s">
        <v>140</v>
      </c>
      <c r="G208" s="47" t="str">
        <f>IF(LEN(TRIM(D208))=0,"",IFNA(VLOOKUP(UPPER(TRIM(D208)),'CLIENT DIRECTORY'!A:B,2,FALSE),""))</f>
        <v/>
      </c>
      <c r="H208" s="48" t="s">
        <v>140</v>
      </c>
      <c r="I208" s="32"/>
      <c r="J208" s="44" t="s">
        <v>285</v>
      </c>
      <c r="K208" s="17"/>
      <c r="L208" s="6" t="s">
        <v>564</v>
      </c>
      <c r="M208" s="6"/>
      <c r="N208" s="6"/>
      <c r="O208" s="6"/>
      <c r="P208" s="6"/>
      <c r="Q208" s="6"/>
      <c r="R208" s="6"/>
    </row>
    <row r="209" ht="22.5" customHeight="1">
      <c r="A209" s="49"/>
      <c r="B209" s="36"/>
      <c r="C209" s="9">
        <v>46085.0</v>
      </c>
      <c r="D209" s="45" t="s">
        <v>473</v>
      </c>
      <c r="E209" s="46" t="s">
        <v>565</v>
      </c>
      <c r="F209" s="43"/>
      <c r="G209" s="47" t="s">
        <v>475</v>
      </c>
      <c r="H209" s="48">
        <v>2500.0</v>
      </c>
      <c r="I209" s="32"/>
      <c r="J209" s="44" t="s">
        <v>26</v>
      </c>
      <c r="K209" s="17"/>
      <c r="L209" s="6" t="s">
        <v>566</v>
      </c>
      <c r="M209" s="6"/>
      <c r="N209" s="6"/>
      <c r="O209" s="6"/>
      <c r="P209" s="6"/>
      <c r="Q209" s="6"/>
      <c r="R209" s="6"/>
    </row>
    <row r="210" ht="22.5" customHeight="1">
      <c r="A210" s="49"/>
      <c r="B210" s="36"/>
      <c r="C210" s="9">
        <v>46085.0</v>
      </c>
      <c r="D210" s="45" t="s">
        <v>97</v>
      </c>
      <c r="E210" s="46" t="s">
        <v>567</v>
      </c>
      <c r="F210" s="43"/>
      <c r="G210" s="13" t="s">
        <v>99</v>
      </c>
      <c r="H210" s="14">
        <v>1750000.0</v>
      </c>
      <c r="I210" s="15"/>
      <c r="J210" s="37" t="s">
        <v>103</v>
      </c>
      <c r="K210" s="17"/>
      <c r="L210" s="6" t="s">
        <v>568</v>
      </c>
      <c r="M210" s="6"/>
      <c r="N210" s="6"/>
      <c r="O210" s="6"/>
      <c r="P210" s="6"/>
      <c r="Q210" s="6"/>
      <c r="R210" s="6"/>
    </row>
    <row r="211" ht="22.5" customHeight="1">
      <c r="A211" s="49"/>
      <c r="B211" s="36"/>
      <c r="C211" s="9">
        <v>46085.0</v>
      </c>
      <c r="D211" s="45" t="s">
        <v>89</v>
      </c>
      <c r="E211" s="46" t="s">
        <v>569</v>
      </c>
      <c r="F211" s="43"/>
      <c r="G211" s="47" t="s">
        <v>91</v>
      </c>
      <c r="H211" s="48">
        <v>2500.0</v>
      </c>
      <c r="I211" s="15">
        <v>2500.0</v>
      </c>
      <c r="J211" s="37" t="s">
        <v>26</v>
      </c>
      <c r="K211" s="17"/>
      <c r="L211" s="6" t="s">
        <v>570</v>
      </c>
      <c r="M211" s="6"/>
      <c r="N211" s="6"/>
      <c r="O211" s="6"/>
      <c r="P211" s="6"/>
      <c r="Q211" s="6"/>
      <c r="R211" s="6"/>
    </row>
    <row r="212" ht="22.5" customHeight="1">
      <c r="A212" s="49"/>
      <c r="B212" s="36"/>
      <c r="C212" s="9">
        <v>46085.0</v>
      </c>
      <c r="D212" s="10" t="s">
        <v>70</v>
      </c>
      <c r="E212" s="11" t="s">
        <v>571</v>
      </c>
      <c r="F212" s="43"/>
      <c r="G212" s="13" t="s">
        <v>72</v>
      </c>
      <c r="H212" s="14">
        <v>2500.0</v>
      </c>
      <c r="I212" s="15"/>
      <c r="J212" s="37" t="s">
        <v>26</v>
      </c>
      <c r="K212" s="17"/>
      <c r="L212" s="6" t="s">
        <v>572</v>
      </c>
      <c r="M212" s="6"/>
      <c r="N212" s="6"/>
      <c r="O212" s="6"/>
      <c r="P212" s="6"/>
      <c r="Q212" s="6"/>
      <c r="R212" s="6"/>
    </row>
    <row r="213" ht="22.5" customHeight="1">
      <c r="A213" s="49"/>
      <c r="B213" s="36"/>
      <c r="C213" s="9">
        <v>46085.0</v>
      </c>
      <c r="D213" s="10" t="s">
        <v>254</v>
      </c>
      <c r="E213" s="11" t="s">
        <v>573</v>
      </c>
      <c r="F213" s="43"/>
      <c r="G213" s="13" t="s">
        <v>256</v>
      </c>
      <c r="H213" s="14">
        <v>2500.0</v>
      </c>
      <c r="I213" s="15"/>
      <c r="J213" s="37" t="s">
        <v>26</v>
      </c>
      <c r="K213" s="17"/>
      <c r="L213" s="6" t="s">
        <v>574</v>
      </c>
      <c r="M213" s="6"/>
      <c r="N213" s="6"/>
      <c r="O213" s="6"/>
      <c r="P213" s="6"/>
      <c r="Q213" s="6"/>
      <c r="R213" s="6"/>
    </row>
    <row r="214" ht="22.5" customHeight="1">
      <c r="A214" s="49"/>
      <c r="B214" s="36"/>
      <c r="C214" s="9">
        <v>46085.0</v>
      </c>
      <c r="D214" s="10" t="s">
        <v>254</v>
      </c>
      <c r="E214" s="11" t="s">
        <v>573</v>
      </c>
      <c r="F214" s="43"/>
      <c r="G214" s="13" t="s">
        <v>256</v>
      </c>
      <c r="H214" s="14">
        <v>2500.0</v>
      </c>
      <c r="I214" s="15"/>
      <c r="J214" s="37" t="s">
        <v>26</v>
      </c>
      <c r="K214" s="17"/>
      <c r="L214" s="6" t="s">
        <v>575</v>
      </c>
      <c r="M214" s="6"/>
      <c r="N214" s="6"/>
      <c r="O214" s="6"/>
      <c r="P214" s="6"/>
      <c r="Q214" s="6"/>
      <c r="R214" s="6"/>
    </row>
    <row r="215" ht="22.5" customHeight="1">
      <c r="A215" s="49"/>
      <c r="B215" s="36"/>
      <c r="C215" s="9">
        <v>46085.0</v>
      </c>
      <c r="D215" s="10" t="s">
        <v>248</v>
      </c>
      <c r="E215" s="11" t="s">
        <v>576</v>
      </c>
      <c r="F215" s="43"/>
      <c r="G215" s="13" t="s">
        <v>250</v>
      </c>
      <c r="H215" s="14">
        <v>10000.0</v>
      </c>
      <c r="I215" s="15"/>
      <c r="J215" s="37" t="s">
        <v>26</v>
      </c>
      <c r="K215" s="17"/>
      <c r="L215" s="6" t="s">
        <v>577</v>
      </c>
      <c r="M215" s="6"/>
      <c r="N215" s="6"/>
      <c r="O215" s="6"/>
      <c r="P215" s="6"/>
      <c r="Q215" s="6"/>
      <c r="R215" s="6"/>
    </row>
    <row r="216" ht="22.5" customHeight="1">
      <c r="A216" s="49"/>
      <c r="B216" s="36"/>
      <c r="C216" s="9">
        <v>46085.0</v>
      </c>
      <c r="D216" s="10" t="s">
        <v>578</v>
      </c>
      <c r="E216" s="11" t="s">
        <v>579</v>
      </c>
      <c r="F216" s="43"/>
      <c r="G216" s="13" t="s">
        <v>580</v>
      </c>
      <c r="H216" s="14">
        <v>5000.0</v>
      </c>
      <c r="I216" s="15"/>
      <c r="J216" s="37" t="s">
        <v>121</v>
      </c>
      <c r="K216" s="17"/>
      <c r="L216" s="6" t="s">
        <v>581</v>
      </c>
      <c r="M216" s="6"/>
      <c r="N216" s="6"/>
      <c r="O216" s="6"/>
      <c r="P216" s="6"/>
      <c r="Q216" s="6"/>
      <c r="R216" s="6"/>
    </row>
    <row r="217" ht="22.5" customHeight="1">
      <c r="A217" s="49"/>
      <c r="B217" s="36"/>
      <c r="C217" s="9">
        <v>46085.0</v>
      </c>
      <c r="D217" s="10" t="s">
        <v>582</v>
      </c>
      <c r="E217" s="11" t="s">
        <v>583</v>
      </c>
      <c r="F217" s="43">
        <f>2347067852062</f>
        <v>2347067852062</v>
      </c>
      <c r="G217" s="13" t="str">
        <f>IF(LEN(TRIM(D217))=0,"",IFNA(VLOOKUP(UPPER(TRIM(D217)),'CLIENT DIRECTORY'!A:B,2,FALSE),""))</f>
        <v/>
      </c>
      <c r="H217" s="14">
        <v>790000.0</v>
      </c>
      <c r="I217" s="15"/>
      <c r="J217" s="37" t="s">
        <v>26</v>
      </c>
      <c r="K217" s="17"/>
      <c r="L217" s="6" t="s">
        <v>584</v>
      </c>
      <c r="M217" s="6"/>
      <c r="N217" s="6"/>
      <c r="O217" s="6"/>
      <c r="P217" s="6"/>
      <c r="Q217" s="6"/>
      <c r="R217" s="6"/>
    </row>
    <row r="218" ht="22.5" customHeight="1">
      <c r="A218" s="49"/>
      <c r="B218" s="36"/>
      <c r="C218" s="9">
        <v>46085.0</v>
      </c>
      <c r="D218" s="10" t="s">
        <v>115</v>
      </c>
      <c r="E218" s="11" t="s">
        <v>571</v>
      </c>
      <c r="F218" s="43"/>
      <c r="G218" s="13" t="s">
        <v>117</v>
      </c>
      <c r="H218" s="14">
        <v>3000.0</v>
      </c>
      <c r="I218" s="15"/>
      <c r="J218" s="37" t="s">
        <v>26</v>
      </c>
      <c r="K218" s="17"/>
      <c r="L218" s="6" t="s">
        <v>585</v>
      </c>
      <c r="M218" s="6"/>
      <c r="N218" s="6"/>
      <c r="O218" s="6"/>
      <c r="P218" s="6"/>
      <c r="Q218" s="6"/>
      <c r="R218" s="6"/>
    </row>
    <row r="219" ht="22.5" customHeight="1">
      <c r="A219" s="49"/>
      <c r="B219" s="36"/>
      <c r="C219" s="9">
        <v>46085.0</v>
      </c>
      <c r="D219" s="10" t="s">
        <v>586</v>
      </c>
      <c r="E219" s="11" t="s">
        <v>587</v>
      </c>
      <c r="F219" s="43"/>
      <c r="G219" s="13" t="str">
        <f>IF(LEN(TRIM(D219))=0,"",IFNA(VLOOKUP(UPPER(TRIM(D219)),'CLIENT DIRECTORY'!A:B,2,FALSE),""))</f>
        <v/>
      </c>
      <c r="H219" s="14">
        <v>120000.0</v>
      </c>
      <c r="I219" s="15"/>
      <c r="J219" s="37" t="s">
        <v>26</v>
      </c>
      <c r="K219" s="17"/>
      <c r="L219" s="6" t="s">
        <v>588</v>
      </c>
      <c r="M219" s="6"/>
      <c r="N219" s="6"/>
      <c r="O219" s="6"/>
      <c r="P219" s="6"/>
      <c r="Q219" s="6"/>
      <c r="R219" s="6"/>
    </row>
    <row r="220" ht="22.5" customHeight="1">
      <c r="A220" s="49"/>
      <c r="B220" s="36"/>
      <c r="C220" s="35" t="s">
        <v>140</v>
      </c>
      <c r="D220" s="10" t="s">
        <v>195</v>
      </c>
      <c r="E220" s="11" t="s">
        <v>140</v>
      </c>
      <c r="F220" s="12" t="s">
        <v>140</v>
      </c>
      <c r="G220" s="13" t="str">
        <f>IF(LEN(TRIM(D220))=0,"",IFNA(VLOOKUP(UPPER(TRIM(D220)),'CLIENT DIRECTORY'!A:B,2,FALSE),""))</f>
        <v/>
      </c>
      <c r="H220" s="14" t="s">
        <v>140</v>
      </c>
      <c r="I220" s="15"/>
      <c r="J220" s="37" t="s">
        <v>140</v>
      </c>
      <c r="K220" s="17"/>
      <c r="L220" s="6" t="s">
        <v>589</v>
      </c>
      <c r="M220" s="6"/>
      <c r="N220" s="6"/>
      <c r="O220" s="6"/>
      <c r="P220" s="6"/>
      <c r="Q220" s="6"/>
      <c r="R220" s="6"/>
    </row>
    <row r="221" ht="22.5" customHeight="1">
      <c r="A221" s="49"/>
      <c r="B221" s="36"/>
      <c r="C221" s="35" t="s">
        <v>140</v>
      </c>
      <c r="D221" s="10" t="s">
        <v>140</v>
      </c>
      <c r="E221" s="11" t="s">
        <v>140</v>
      </c>
      <c r="F221" s="12" t="s">
        <v>140</v>
      </c>
      <c r="G221" s="13" t="str">
        <f>IF(LEN(TRIM(D221))=0,"",IFNA(VLOOKUP(UPPER(TRIM(D221)),'CLIENT DIRECTORY'!A:B,2,FALSE),""))</f>
        <v/>
      </c>
      <c r="H221" s="14" t="s">
        <v>195</v>
      </c>
      <c r="I221" s="15"/>
      <c r="J221" s="37" t="s">
        <v>140</v>
      </c>
      <c r="K221" s="17"/>
      <c r="L221" s="6" t="s">
        <v>590</v>
      </c>
      <c r="M221" s="6"/>
      <c r="N221" s="6"/>
      <c r="O221" s="6"/>
      <c r="P221" s="6"/>
      <c r="Q221" s="6"/>
      <c r="R221" s="6"/>
    </row>
    <row r="222" ht="22.5" customHeight="1">
      <c r="A222" s="49"/>
      <c r="B222" s="36"/>
      <c r="C222" s="35" t="s">
        <v>140</v>
      </c>
      <c r="D222" s="10" t="s">
        <v>140</v>
      </c>
      <c r="E222" s="11" t="s">
        <v>140</v>
      </c>
      <c r="F222" s="12" t="s">
        <v>140</v>
      </c>
      <c r="G222" s="13" t="str">
        <f>IF(LEN(TRIM(D222))=0,"",IFNA(VLOOKUP(UPPER(TRIM(D222)),'CLIENT DIRECTORY'!A:B,2,FALSE),""))</f>
        <v/>
      </c>
      <c r="H222" s="14" t="s">
        <v>140</v>
      </c>
      <c r="I222" s="15"/>
      <c r="J222" s="37" t="s">
        <v>140</v>
      </c>
      <c r="K222" s="17"/>
      <c r="L222" s="6" t="s">
        <v>591</v>
      </c>
      <c r="M222" s="6"/>
      <c r="N222" s="6"/>
      <c r="O222" s="6"/>
      <c r="P222" s="6"/>
      <c r="Q222" s="6"/>
      <c r="R222" s="6"/>
    </row>
    <row r="223" ht="22.5" customHeight="1">
      <c r="A223" s="49"/>
      <c r="B223" s="36"/>
      <c r="C223" s="9">
        <v>46086.0</v>
      </c>
      <c r="D223" s="10" t="s">
        <v>89</v>
      </c>
      <c r="E223" s="11" t="s">
        <v>592</v>
      </c>
      <c r="F223" s="43"/>
      <c r="G223" s="13" t="s">
        <v>91</v>
      </c>
      <c r="H223" s="14">
        <v>280000.0</v>
      </c>
      <c r="I223" s="15"/>
      <c r="J223" s="37" t="s">
        <v>26</v>
      </c>
      <c r="K223" s="17"/>
      <c r="L223" s="6" t="s">
        <v>593</v>
      </c>
      <c r="M223" s="6"/>
      <c r="N223" s="6"/>
      <c r="O223" s="6"/>
      <c r="P223" s="6"/>
      <c r="Q223" s="6"/>
      <c r="R223" s="6"/>
    </row>
    <row r="224" ht="22.5" customHeight="1">
      <c r="A224" s="49"/>
      <c r="B224" s="36"/>
      <c r="C224" s="9">
        <v>46086.0</v>
      </c>
      <c r="D224" s="10" t="s">
        <v>23</v>
      </c>
      <c r="E224" s="11" t="s">
        <v>594</v>
      </c>
      <c r="F224" s="43"/>
      <c r="G224" s="13" t="s">
        <v>25</v>
      </c>
      <c r="H224" s="14">
        <v>25000.0</v>
      </c>
      <c r="I224" s="15"/>
      <c r="J224" s="37" t="s">
        <v>26</v>
      </c>
      <c r="K224" s="17"/>
      <c r="L224" s="6" t="s">
        <v>595</v>
      </c>
      <c r="M224" s="6"/>
      <c r="N224" s="6"/>
      <c r="O224" s="6"/>
      <c r="P224" s="6"/>
      <c r="Q224" s="6"/>
      <c r="R224" s="6"/>
    </row>
    <row r="225" ht="22.5" customHeight="1">
      <c r="A225" s="49"/>
      <c r="B225" s="36"/>
      <c r="C225" s="9">
        <v>46086.0</v>
      </c>
      <c r="D225" s="10" t="s">
        <v>64</v>
      </c>
      <c r="E225" s="11" t="s">
        <v>596</v>
      </c>
      <c r="F225" s="43"/>
      <c r="G225" s="13" t="s">
        <v>66</v>
      </c>
      <c r="H225" s="14">
        <v>2000.0</v>
      </c>
      <c r="I225" s="15">
        <v>2000.0</v>
      </c>
      <c r="J225" s="37" t="s">
        <v>26</v>
      </c>
      <c r="K225" s="17"/>
      <c r="L225" s="6" t="s">
        <v>597</v>
      </c>
      <c r="M225" s="6"/>
      <c r="N225" s="6"/>
      <c r="O225" s="6"/>
      <c r="P225" s="6"/>
      <c r="Q225" s="6"/>
      <c r="R225" s="6"/>
    </row>
    <row r="226" ht="22.5" customHeight="1">
      <c r="A226" s="49"/>
      <c r="B226" s="36"/>
      <c r="C226" s="9">
        <v>46086.0</v>
      </c>
      <c r="D226" s="10" t="s">
        <v>89</v>
      </c>
      <c r="E226" s="11" t="s">
        <v>598</v>
      </c>
      <c r="F226" s="43"/>
      <c r="G226" s="13" t="s">
        <v>91</v>
      </c>
      <c r="H226" s="14">
        <v>140000.0</v>
      </c>
      <c r="I226" s="15"/>
      <c r="J226" s="37" t="s">
        <v>26</v>
      </c>
      <c r="K226" s="17"/>
      <c r="L226" s="6" t="s">
        <v>599</v>
      </c>
      <c r="M226" s="6"/>
      <c r="N226" s="6"/>
      <c r="O226" s="6"/>
      <c r="P226" s="6"/>
      <c r="Q226" s="6"/>
      <c r="R226" s="6"/>
    </row>
    <row r="227" ht="22.5" customHeight="1">
      <c r="A227" s="49"/>
      <c r="B227" s="36"/>
      <c r="C227" s="9">
        <v>46086.0</v>
      </c>
      <c r="D227" s="10" t="s">
        <v>600</v>
      </c>
      <c r="E227" s="11" t="s">
        <v>601</v>
      </c>
      <c r="F227" s="43"/>
      <c r="G227" s="13" t="str">
        <f>IF(LEN(TRIM(D227))=0,"",IFNA(VLOOKUP(UPPER(TRIM(D227)),'CLIENT DIRECTORY'!A:B,2,FALSE),""))</f>
        <v/>
      </c>
      <c r="H227" s="14">
        <v>1300000.0</v>
      </c>
      <c r="I227" s="15"/>
      <c r="J227" s="37" t="s">
        <v>26</v>
      </c>
      <c r="K227" s="17"/>
      <c r="L227" s="6" t="s">
        <v>602</v>
      </c>
      <c r="M227" s="6"/>
      <c r="N227" s="6"/>
      <c r="O227" s="6"/>
      <c r="P227" s="6"/>
      <c r="Q227" s="6"/>
      <c r="R227" s="6"/>
    </row>
    <row r="228" ht="22.5" customHeight="1">
      <c r="A228" s="49"/>
      <c r="B228" s="36"/>
      <c r="C228" s="9">
        <v>46086.0</v>
      </c>
      <c r="D228" s="10" t="s">
        <v>236</v>
      </c>
      <c r="E228" s="11" t="s">
        <v>603</v>
      </c>
      <c r="F228" s="43"/>
      <c r="G228" s="13" t="s">
        <v>237</v>
      </c>
      <c r="H228" s="14">
        <v>2500.0</v>
      </c>
      <c r="I228" s="15"/>
      <c r="J228" s="37" t="s">
        <v>26</v>
      </c>
      <c r="K228" s="17"/>
      <c r="L228" s="6" t="s">
        <v>604</v>
      </c>
      <c r="M228" s="6"/>
      <c r="N228" s="6"/>
      <c r="O228" s="6"/>
      <c r="P228" s="6"/>
      <c r="Q228" s="6"/>
      <c r="R228" s="6"/>
    </row>
    <row r="229" ht="22.5" customHeight="1">
      <c r="A229" s="49"/>
      <c r="B229" s="36"/>
      <c r="C229" s="9">
        <v>46086.0</v>
      </c>
      <c r="D229" s="10" t="s">
        <v>605</v>
      </c>
      <c r="E229" s="11" t="s">
        <v>606</v>
      </c>
      <c r="F229" s="12" t="s">
        <v>607</v>
      </c>
      <c r="G229" s="13" t="s">
        <v>608</v>
      </c>
      <c r="H229" s="14">
        <v>910000.0</v>
      </c>
      <c r="I229" s="15"/>
      <c r="J229" s="37" t="s">
        <v>26</v>
      </c>
      <c r="K229" s="17"/>
      <c r="L229" s="6" t="s">
        <v>609</v>
      </c>
      <c r="M229" s="6"/>
      <c r="N229" s="6"/>
      <c r="O229" s="6"/>
      <c r="P229" s="6"/>
      <c r="Q229" s="6"/>
      <c r="R229" s="6"/>
    </row>
    <row r="230" ht="22.5" customHeight="1">
      <c r="A230" s="49"/>
      <c r="B230" s="36"/>
      <c r="C230" s="9">
        <v>46086.0</v>
      </c>
      <c r="D230" s="10" t="s">
        <v>610</v>
      </c>
      <c r="E230" s="11" t="s">
        <v>611</v>
      </c>
      <c r="F230" s="43"/>
      <c r="G230" s="13" t="str">
        <f>IF(LEN(TRIM(D230))=0,"",IFNA(VLOOKUP(UPPER(TRIM(D230)),'CLIENT DIRECTORY'!A:B,2,FALSE),""))</f>
        <v/>
      </c>
      <c r="H230" s="14">
        <v>5000.0</v>
      </c>
      <c r="I230" s="15"/>
      <c r="J230" s="37" t="s">
        <v>26</v>
      </c>
      <c r="K230" s="17"/>
      <c r="L230" s="6" t="s">
        <v>612</v>
      </c>
      <c r="M230" s="6"/>
      <c r="N230" s="6"/>
      <c r="O230" s="6"/>
      <c r="P230" s="6"/>
      <c r="Q230" s="6"/>
      <c r="R230" s="6"/>
    </row>
    <row r="231" ht="22.5" customHeight="1">
      <c r="A231" s="49"/>
      <c r="B231" s="36"/>
      <c r="C231" s="9">
        <v>46086.0</v>
      </c>
      <c r="D231" s="10" t="s">
        <v>613</v>
      </c>
      <c r="E231" s="11" t="s">
        <v>614</v>
      </c>
      <c r="F231" s="43"/>
      <c r="G231" s="13" t="s">
        <v>615</v>
      </c>
      <c r="H231" s="14">
        <v>2500.0</v>
      </c>
      <c r="I231" s="15">
        <v>2500.0</v>
      </c>
      <c r="J231" s="37" t="s">
        <v>26</v>
      </c>
      <c r="K231" s="17"/>
      <c r="L231" s="6" t="s">
        <v>616</v>
      </c>
      <c r="M231" s="6"/>
      <c r="N231" s="6"/>
      <c r="O231" s="6"/>
      <c r="P231" s="6"/>
      <c r="Q231" s="6"/>
      <c r="R231" s="6"/>
    </row>
    <row r="232" ht="22.5" customHeight="1">
      <c r="A232" s="49"/>
      <c r="B232" s="36"/>
      <c r="C232" s="9">
        <v>46086.0</v>
      </c>
      <c r="D232" s="10" t="s">
        <v>617</v>
      </c>
      <c r="E232" s="11" t="s">
        <v>618</v>
      </c>
      <c r="F232" s="43"/>
      <c r="G232" s="13" t="str">
        <f>IF(LEN(TRIM(D232))=0,"",IFNA(VLOOKUP(UPPER(TRIM(D232)),'CLIENT DIRECTORY'!A:B,2,FALSE),""))</f>
        <v/>
      </c>
      <c r="H232" s="14">
        <v>3000.0</v>
      </c>
      <c r="I232" s="15"/>
      <c r="J232" s="37" t="s">
        <v>26</v>
      </c>
      <c r="K232" s="17"/>
      <c r="L232" s="6" t="s">
        <v>619</v>
      </c>
      <c r="M232" s="6"/>
      <c r="N232" s="6"/>
      <c r="O232" s="6"/>
      <c r="P232" s="6"/>
      <c r="Q232" s="6"/>
      <c r="R232" s="6"/>
    </row>
    <row r="233" ht="22.5" customHeight="1">
      <c r="A233" s="49"/>
      <c r="B233" s="36"/>
      <c r="C233" s="9">
        <v>46086.0</v>
      </c>
      <c r="D233" s="10" t="s">
        <v>620</v>
      </c>
      <c r="E233" s="11" t="s">
        <v>621</v>
      </c>
      <c r="F233" s="43"/>
      <c r="G233" s="13" t="s">
        <v>622</v>
      </c>
      <c r="H233" s="14">
        <v>2500.0</v>
      </c>
      <c r="I233" s="15"/>
      <c r="J233" s="37" t="s">
        <v>26</v>
      </c>
      <c r="K233" s="17"/>
      <c r="L233" s="6" t="s">
        <v>623</v>
      </c>
      <c r="M233" s="6"/>
      <c r="N233" s="6"/>
      <c r="O233" s="6"/>
      <c r="P233" s="6"/>
      <c r="Q233" s="6"/>
      <c r="R233" s="6"/>
    </row>
    <row r="234" ht="22.5" customHeight="1">
      <c r="A234" s="49"/>
      <c r="B234" s="36"/>
      <c r="C234" s="9">
        <v>46086.0</v>
      </c>
      <c r="D234" s="10" t="s">
        <v>108</v>
      </c>
      <c r="E234" s="11" t="s">
        <v>624</v>
      </c>
      <c r="F234" s="43"/>
      <c r="G234" s="13" t="s">
        <v>110</v>
      </c>
      <c r="H234" s="14">
        <v>162500.0</v>
      </c>
      <c r="I234" s="15"/>
      <c r="J234" s="37" t="s">
        <v>26</v>
      </c>
      <c r="K234" s="17"/>
      <c r="L234" s="6" t="s">
        <v>625</v>
      </c>
      <c r="M234" s="6"/>
      <c r="N234" s="6"/>
      <c r="O234" s="6"/>
      <c r="P234" s="6"/>
      <c r="Q234" s="6"/>
      <c r="R234" s="6"/>
    </row>
    <row r="235" ht="22.5" customHeight="1">
      <c r="A235" s="49"/>
      <c r="B235" s="36"/>
      <c r="C235" s="9">
        <v>46086.0</v>
      </c>
      <c r="D235" s="10" t="s">
        <v>626</v>
      </c>
      <c r="E235" s="11" t="s">
        <v>627</v>
      </c>
      <c r="F235" s="43"/>
      <c r="G235" s="13" t="str">
        <f>IF(LEN(TRIM(D235))=0,"",IFNA(VLOOKUP(UPPER(TRIM(D235)),'CLIENT DIRECTORY'!A:B,2,FALSE),""))</f>
        <v/>
      </c>
      <c r="H235" s="14">
        <v>4000.0</v>
      </c>
      <c r="I235" s="15"/>
      <c r="J235" s="37" t="s">
        <v>26</v>
      </c>
      <c r="K235" s="17"/>
      <c r="L235" s="6" t="s">
        <v>628</v>
      </c>
      <c r="M235" s="6"/>
      <c r="N235" s="6"/>
      <c r="O235" s="6"/>
      <c r="P235" s="6"/>
      <c r="Q235" s="6"/>
      <c r="R235" s="6"/>
    </row>
    <row r="236" ht="22.5" customHeight="1">
      <c r="A236" s="49"/>
      <c r="B236" s="36"/>
      <c r="C236" s="9">
        <v>46086.0</v>
      </c>
      <c r="D236" s="10" t="s">
        <v>64</v>
      </c>
      <c r="E236" s="11" t="s">
        <v>629</v>
      </c>
      <c r="F236" s="12"/>
      <c r="G236" s="13" t="s">
        <v>66</v>
      </c>
      <c r="H236" s="14">
        <v>2000.0</v>
      </c>
      <c r="I236" s="15">
        <v>2000.0</v>
      </c>
      <c r="J236" s="37" t="s">
        <v>26</v>
      </c>
      <c r="K236" s="17"/>
      <c r="L236" s="6" t="s">
        <v>630</v>
      </c>
      <c r="M236" s="6"/>
      <c r="N236" s="6"/>
      <c r="O236" s="6"/>
      <c r="P236" s="6"/>
      <c r="Q236" s="6"/>
      <c r="R236" s="6"/>
    </row>
    <row r="237" ht="22.5" customHeight="1">
      <c r="A237" s="49"/>
      <c r="B237" s="36"/>
      <c r="C237" s="9">
        <v>46086.0</v>
      </c>
      <c r="D237" s="10" t="s">
        <v>306</v>
      </c>
      <c r="E237" s="11" t="s">
        <v>631</v>
      </c>
      <c r="F237" s="42" t="s">
        <v>632</v>
      </c>
      <c r="G237" s="27" t="s">
        <v>307</v>
      </c>
      <c r="H237" s="14">
        <v>350000.0</v>
      </c>
      <c r="I237" s="15"/>
      <c r="J237" s="37" t="s">
        <v>26</v>
      </c>
      <c r="K237" s="17"/>
      <c r="L237" s="6" t="s">
        <v>633</v>
      </c>
      <c r="M237" s="6"/>
      <c r="N237" s="6"/>
      <c r="O237" s="6"/>
      <c r="P237" s="6"/>
      <c r="Q237" s="6"/>
      <c r="R237" s="6"/>
    </row>
    <row r="238" ht="22.5" customHeight="1">
      <c r="A238" s="49"/>
      <c r="B238" s="36"/>
      <c r="C238" s="35" t="s">
        <v>140</v>
      </c>
      <c r="D238" s="10" t="s">
        <v>195</v>
      </c>
      <c r="E238" s="11" t="s">
        <v>140</v>
      </c>
      <c r="F238" s="12" t="s">
        <v>140</v>
      </c>
      <c r="G238" s="13" t="str">
        <f>IF(LEN(TRIM(D238))=0,"",IFNA(VLOOKUP(UPPER(TRIM(D238)),'CLIENT DIRECTORY'!A:B,2,FALSE),""))</f>
        <v/>
      </c>
      <c r="H238" s="14" t="s">
        <v>140</v>
      </c>
      <c r="I238" s="15"/>
      <c r="J238" s="37" t="s">
        <v>140</v>
      </c>
      <c r="K238" s="17"/>
      <c r="L238" s="6" t="s">
        <v>634</v>
      </c>
      <c r="M238" s="6"/>
      <c r="N238" s="6"/>
      <c r="O238" s="6"/>
      <c r="P238" s="6"/>
      <c r="Q238" s="6"/>
      <c r="R238" s="6"/>
    </row>
    <row r="239" ht="22.5" customHeight="1">
      <c r="A239" s="49"/>
      <c r="B239" s="36"/>
      <c r="C239" s="35" t="s">
        <v>140</v>
      </c>
      <c r="D239" s="10" t="s">
        <v>140</v>
      </c>
      <c r="E239" s="11" t="s">
        <v>140</v>
      </c>
      <c r="F239" s="12" t="s">
        <v>140</v>
      </c>
      <c r="G239" s="13" t="str">
        <f>IF(LEN(TRIM(D239))=0,"",IFNA(VLOOKUP(UPPER(TRIM(D239)),'CLIENT DIRECTORY'!A:B,2,FALSE),""))</f>
        <v/>
      </c>
      <c r="H239" s="14" t="s">
        <v>195</v>
      </c>
      <c r="I239" s="15"/>
      <c r="J239" s="37" t="s">
        <v>140</v>
      </c>
      <c r="K239" s="17"/>
      <c r="L239" s="6" t="s">
        <v>635</v>
      </c>
      <c r="M239" s="6"/>
      <c r="N239" s="6"/>
      <c r="O239" s="6"/>
      <c r="P239" s="6"/>
      <c r="Q239" s="6"/>
      <c r="R239" s="6"/>
    </row>
    <row r="240" ht="22.5" customHeight="1">
      <c r="A240" s="49"/>
      <c r="B240" s="36"/>
      <c r="C240" s="35" t="s">
        <v>140</v>
      </c>
      <c r="D240" s="10" t="s">
        <v>140</v>
      </c>
      <c r="E240" s="11" t="s">
        <v>140</v>
      </c>
      <c r="F240" s="12" t="s">
        <v>140</v>
      </c>
      <c r="G240" s="13" t="str">
        <f>IF(LEN(TRIM(D240))=0,"",IFNA(VLOOKUP(UPPER(TRIM(D240)),'CLIENT DIRECTORY'!A:B,2,FALSE),""))</f>
        <v/>
      </c>
      <c r="H240" s="14" t="s">
        <v>140</v>
      </c>
      <c r="I240" s="15"/>
      <c r="J240" s="37" t="s">
        <v>140</v>
      </c>
      <c r="K240" s="17"/>
      <c r="L240" s="6" t="s">
        <v>636</v>
      </c>
      <c r="M240" s="6"/>
      <c r="N240" s="6"/>
      <c r="O240" s="6"/>
      <c r="P240" s="6"/>
      <c r="Q240" s="6"/>
      <c r="R240" s="6"/>
    </row>
    <row r="241" ht="22.5" customHeight="1">
      <c r="A241" s="49"/>
      <c r="B241" s="8">
        <v>1.0</v>
      </c>
      <c r="C241" s="9">
        <v>46087.0</v>
      </c>
      <c r="D241" s="10" t="s">
        <v>637</v>
      </c>
      <c r="E241" s="11" t="s">
        <v>638</v>
      </c>
      <c r="F241" s="43"/>
      <c r="G241" s="13" t="str">
        <f>IF(LEN(TRIM(D241))=0,"",IFNA(VLOOKUP(UPPER(TRIM(D241)),'CLIENT DIRECTORY'!A:B,2,FALSE),""))</f>
        <v/>
      </c>
      <c r="H241" s="14">
        <v>2500.0</v>
      </c>
      <c r="I241" s="15"/>
      <c r="J241" s="37" t="s">
        <v>26</v>
      </c>
      <c r="K241" s="17"/>
      <c r="L241" s="6" t="s">
        <v>639</v>
      </c>
      <c r="M241" s="6"/>
      <c r="N241" s="6"/>
      <c r="O241" s="6"/>
      <c r="P241" s="6"/>
      <c r="Q241" s="6"/>
      <c r="R241" s="6"/>
    </row>
    <row r="242" ht="22.5" customHeight="1">
      <c r="A242" s="49"/>
      <c r="B242" s="8">
        <v>2.0</v>
      </c>
      <c r="C242" s="9">
        <v>46087.0</v>
      </c>
      <c r="D242" s="10" t="s">
        <v>358</v>
      </c>
      <c r="E242" s="11" t="s">
        <v>640</v>
      </c>
      <c r="F242" s="42" t="s">
        <v>524</v>
      </c>
      <c r="G242" s="27" t="s">
        <v>360</v>
      </c>
      <c r="H242" s="14">
        <v>668000.0</v>
      </c>
      <c r="I242" s="15"/>
      <c r="J242" s="37" t="s">
        <v>103</v>
      </c>
      <c r="K242" s="17"/>
      <c r="L242" s="6" t="s">
        <v>641</v>
      </c>
      <c r="M242" s="6"/>
      <c r="N242" s="6"/>
      <c r="O242" s="6"/>
      <c r="P242" s="6"/>
      <c r="Q242" s="6"/>
      <c r="R242" s="6"/>
    </row>
    <row r="243" ht="22.5" customHeight="1">
      <c r="A243" s="49"/>
      <c r="B243" s="8">
        <v>3.0</v>
      </c>
      <c r="C243" s="9">
        <v>46087.0</v>
      </c>
      <c r="D243" s="10" t="s">
        <v>54</v>
      </c>
      <c r="E243" s="11" t="s">
        <v>642</v>
      </c>
      <c r="F243" s="43"/>
      <c r="G243" s="13" t="s">
        <v>56</v>
      </c>
      <c r="H243" s="14">
        <v>2500.0</v>
      </c>
      <c r="I243" s="15">
        <v>2500.0</v>
      </c>
      <c r="J243" s="37" t="s">
        <v>26</v>
      </c>
      <c r="K243" s="17"/>
      <c r="L243" s="6" t="s">
        <v>643</v>
      </c>
      <c r="M243" s="6"/>
      <c r="N243" s="6"/>
      <c r="O243" s="6"/>
      <c r="P243" s="6"/>
      <c r="Q243" s="6"/>
      <c r="R243" s="6"/>
    </row>
    <row r="244" ht="22.5" customHeight="1">
      <c r="A244" s="49"/>
      <c r="B244" s="8">
        <v>4.0</v>
      </c>
      <c r="C244" s="9">
        <v>46087.0</v>
      </c>
      <c r="D244" s="10" t="s">
        <v>644</v>
      </c>
      <c r="E244" s="11" t="s">
        <v>645</v>
      </c>
      <c r="F244" s="42" t="s">
        <v>646</v>
      </c>
      <c r="G244" s="27" t="str">
        <f>IF(LEN(TRIM(D244))=0,"",IFNA(VLOOKUP(UPPER(TRIM(D244)),'CLIENT DIRECTORY'!A:B,2,FALSE),""))</f>
        <v/>
      </c>
      <c r="H244" s="14">
        <v>810000.0</v>
      </c>
      <c r="I244" s="15">
        <v>510000.0</v>
      </c>
      <c r="J244" s="37" t="s">
        <v>26</v>
      </c>
      <c r="K244" s="17"/>
      <c r="L244" s="6" t="s">
        <v>647</v>
      </c>
      <c r="M244" s="6"/>
      <c r="N244" s="6"/>
      <c r="O244" s="6"/>
      <c r="P244" s="6"/>
      <c r="Q244" s="6"/>
      <c r="R244" s="6"/>
    </row>
    <row r="245" ht="22.5" customHeight="1">
      <c r="A245" s="49"/>
      <c r="B245" s="8">
        <v>5.0</v>
      </c>
      <c r="C245" s="9">
        <v>46087.0</v>
      </c>
      <c r="D245" s="10" t="s">
        <v>648</v>
      </c>
      <c r="E245" s="11" t="s">
        <v>414</v>
      </c>
      <c r="F245" s="12" t="s">
        <v>649</v>
      </c>
      <c r="G245" s="13" t="str">
        <f>IF(LEN(TRIM(D245))=0,"",IFNA(VLOOKUP(UPPER(TRIM(D245)),'CLIENT DIRECTORY'!A:B,2,FALSE),""))</f>
        <v/>
      </c>
      <c r="H245" s="14">
        <v>315000.0</v>
      </c>
      <c r="I245" s="15"/>
      <c r="J245" s="37" t="s">
        <v>26</v>
      </c>
      <c r="K245" s="17"/>
      <c r="L245" s="6" t="s">
        <v>650</v>
      </c>
      <c r="M245" s="6"/>
      <c r="N245" s="6"/>
      <c r="O245" s="6"/>
      <c r="P245" s="6"/>
      <c r="Q245" s="6"/>
      <c r="R245" s="6"/>
    </row>
    <row r="246" ht="22.5" customHeight="1">
      <c r="A246" s="49"/>
      <c r="B246" s="8">
        <v>6.0</v>
      </c>
      <c r="C246" s="9">
        <v>46087.0</v>
      </c>
      <c r="D246" s="10" t="s">
        <v>93</v>
      </c>
      <c r="E246" s="11" t="s">
        <v>651</v>
      </c>
      <c r="F246" s="43"/>
      <c r="G246" s="13" t="s">
        <v>95</v>
      </c>
      <c r="H246" s="14">
        <v>2500.0</v>
      </c>
      <c r="I246" s="15">
        <v>2500.0</v>
      </c>
      <c r="J246" s="37" t="s">
        <v>26</v>
      </c>
      <c r="K246" s="17"/>
      <c r="L246" s="6" t="s">
        <v>652</v>
      </c>
      <c r="M246" s="6"/>
      <c r="N246" s="6"/>
      <c r="O246" s="6"/>
      <c r="P246" s="6"/>
      <c r="Q246" s="6"/>
      <c r="R246" s="6"/>
    </row>
    <row r="247" ht="22.5" customHeight="1">
      <c r="A247" s="49"/>
      <c r="B247" s="8">
        <v>7.0</v>
      </c>
      <c r="C247" s="9">
        <v>46087.0</v>
      </c>
      <c r="D247" s="10" t="s">
        <v>653</v>
      </c>
      <c r="E247" s="11" t="s">
        <v>387</v>
      </c>
      <c r="F247" s="43"/>
      <c r="G247" s="13" t="str">
        <f>IF(LEN(TRIM(D247))=0,"",IFNA(VLOOKUP(UPPER(TRIM(D247)),'CLIENT DIRECTORY'!A:B,2,FALSE),""))</f>
        <v/>
      </c>
      <c r="H247" s="14">
        <v>2500.0</v>
      </c>
      <c r="I247" s="15">
        <v>2500.0</v>
      </c>
      <c r="J247" s="37" t="s">
        <v>26</v>
      </c>
      <c r="K247" s="17"/>
      <c r="L247" s="6" t="s">
        <v>654</v>
      </c>
      <c r="M247" s="6"/>
      <c r="N247" s="6"/>
      <c r="O247" s="6"/>
      <c r="P247" s="6"/>
      <c r="Q247" s="6"/>
      <c r="R247" s="6"/>
    </row>
    <row r="248" ht="22.5" customHeight="1">
      <c r="A248" s="49"/>
      <c r="B248" s="8">
        <v>8.0</v>
      </c>
      <c r="C248" s="9">
        <v>46087.0</v>
      </c>
      <c r="D248" s="10" t="s">
        <v>64</v>
      </c>
      <c r="E248" s="11" t="s">
        <v>569</v>
      </c>
      <c r="F248" s="43"/>
      <c r="G248" s="13" t="s">
        <v>66</v>
      </c>
      <c r="H248" s="14">
        <v>2500.0</v>
      </c>
      <c r="I248" s="15">
        <v>2500.0</v>
      </c>
      <c r="J248" s="37" t="s">
        <v>26</v>
      </c>
      <c r="K248" s="17"/>
      <c r="L248" s="6" t="s">
        <v>655</v>
      </c>
      <c r="M248" s="6"/>
      <c r="N248" s="6"/>
      <c r="O248" s="6"/>
      <c r="P248" s="6"/>
      <c r="Q248" s="6"/>
      <c r="R248" s="6"/>
    </row>
    <row r="249" ht="22.5" customHeight="1">
      <c r="A249" s="49"/>
      <c r="B249" s="8">
        <v>9.0</v>
      </c>
      <c r="C249" s="9">
        <v>46087.0</v>
      </c>
      <c r="D249" s="10" t="s">
        <v>93</v>
      </c>
      <c r="E249" s="11" t="s">
        <v>656</v>
      </c>
      <c r="F249" s="43"/>
      <c r="G249" s="13" t="s">
        <v>95</v>
      </c>
      <c r="H249" s="14">
        <v>5000.0</v>
      </c>
      <c r="I249" s="15">
        <v>5000.0</v>
      </c>
      <c r="J249" s="37" t="s">
        <v>26</v>
      </c>
      <c r="K249" s="17"/>
      <c r="L249" s="6" t="s">
        <v>657</v>
      </c>
      <c r="M249" s="6"/>
      <c r="N249" s="6"/>
      <c r="O249" s="6"/>
      <c r="P249" s="6"/>
      <c r="Q249" s="6"/>
      <c r="R249" s="6"/>
    </row>
    <row r="250" ht="22.5" customHeight="1">
      <c r="A250" s="49"/>
      <c r="B250" s="8">
        <v>10.0</v>
      </c>
      <c r="C250" s="9">
        <v>46087.0</v>
      </c>
      <c r="D250" s="10" t="s">
        <v>658</v>
      </c>
      <c r="E250" s="11" t="s">
        <v>659</v>
      </c>
      <c r="F250" s="43"/>
      <c r="G250" s="13" t="str">
        <f>IF(LEN(TRIM(D250))=0,"",IFNA(VLOOKUP(UPPER(TRIM(D250)),'CLIENT DIRECTORY'!A:B,2,FALSE),""))</f>
        <v/>
      </c>
      <c r="H250" s="14">
        <v>110000.0</v>
      </c>
      <c r="I250" s="15"/>
      <c r="J250" s="37" t="s">
        <v>26</v>
      </c>
      <c r="K250" s="17"/>
      <c r="L250" s="6" t="s">
        <v>660</v>
      </c>
      <c r="M250" s="6"/>
      <c r="N250" s="6"/>
      <c r="O250" s="6"/>
      <c r="P250" s="6"/>
      <c r="Q250" s="6"/>
      <c r="R250" s="6"/>
    </row>
    <row r="251" ht="22.5" customHeight="1">
      <c r="A251" s="49"/>
      <c r="B251" s="36"/>
      <c r="C251" s="35" t="s">
        <v>140</v>
      </c>
      <c r="D251" s="10" t="s">
        <v>195</v>
      </c>
      <c r="E251" s="11" t="s">
        <v>140</v>
      </c>
      <c r="F251" s="12" t="s">
        <v>140</v>
      </c>
      <c r="G251" s="13" t="str">
        <f>IF(LEN(TRIM(D251))=0,"",IFNA(VLOOKUP(UPPER(TRIM(D251)),'CLIENT DIRECTORY'!A:B,2,FALSE),""))</f>
        <v/>
      </c>
      <c r="H251" s="14" t="s">
        <v>140</v>
      </c>
      <c r="I251" s="15"/>
      <c r="J251" s="37" t="s">
        <v>140</v>
      </c>
      <c r="K251" s="17"/>
      <c r="L251" s="6" t="s">
        <v>661</v>
      </c>
      <c r="M251" s="6"/>
      <c r="N251" s="6"/>
      <c r="O251" s="6"/>
      <c r="P251" s="6"/>
      <c r="Q251" s="6"/>
      <c r="R251" s="6"/>
    </row>
    <row r="252" ht="22.5" customHeight="1">
      <c r="A252" s="49"/>
      <c r="B252" s="36"/>
      <c r="C252" s="35" t="s">
        <v>140</v>
      </c>
      <c r="D252" s="10" t="s">
        <v>140</v>
      </c>
      <c r="E252" s="11" t="s">
        <v>140</v>
      </c>
      <c r="F252" s="12" t="s">
        <v>140</v>
      </c>
      <c r="G252" s="13" t="str">
        <f>IF(LEN(TRIM(D252))=0,"",IFNA(VLOOKUP(UPPER(TRIM(D252)),'CLIENT DIRECTORY'!A:B,2,FALSE),""))</f>
        <v/>
      </c>
      <c r="H252" s="14" t="s">
        <v>195</v>
      </c>
      <c r="I252" s="15"/>
      <c r="J252" s="37" t="s">
        <v>140</v>
      </c>
      <c r="K252" s="17"/>
      <c r="L252" s="6" t="s">
        <v>662</v>
      </c>
      <c r="M252" s="6"/>
      <c r="N252" s="6"/>
      <c r="O252" s="6"/>
      <c r="P252" s="6"/>
      <c r="Q252" s="6"/>
      <c r="R252" s="6"/>
    </row>
    <row r="253" ht="22.5" customHeight="1">
      <c r="A253" s="49"/>
      <c r="B253" s="36"/>
      <c r="C253" s="35" t="s">
        <v>140</v>
      </c>
      <c r="D253" s="10" t="s">
        <v>140</v>
      </c>
      <c r="E253" s="11" t="s">
        <v>140</v>
      </c>
      <c r="F253" s="12" t="s">
        <v>140</v>
      </c>
      <c r="G253" s="13" t="str">
        <f>IF(LEN(TRIM(D253))=0,"",IFNA(VLOOKUP(UPPER(TRIM(D253)),'CLIENT DIRECTORY'!A:B,2,FALSE),""))</f>
        <v/>
      </c>
      <c r="H253" s="14" t="s">
        <v>140</v>
      </c>
      <c r="I253" s="15"/>
      <c r="J253" s="37" t="s">
        <v>140</v>
      </c>
      <c r="K253" s="17"/>
      <c r="L253" s="6" t="s">
        <v>663</v>
      </c>
      <c r="M253" s="6"/>
      <c r="N253" s="6"/>
      <c r="O253" s="6"/>
      <c r="P253" s="6"/>
      <c r="Q253" s="6"/>
      <c r="R253" s="6"/>
    </row>
    <row r="254" ht="22.5" customHeight="1">
      <c r="A254" s="49"/>
      <c r="B254" s="8">
        <v>1.0</v>
      </c>
      <c r="C254" s="9">
        <v>46088.0</v>
      </c>
      <c r="D254" s="10" t="s">
        <v>664</v>
      </c>
      <c r="E254" s="11" t="s">
        <v>665</v>
      </c>
      <c r="F254" s="12" t="s">
        <v>666</v>
      </c>
      <c r="G254" s="13" t="s">
        <v>666</v>
      </c>
      <c r="H254" s="14">
        <v>2500.0</v>
      </c>
      <c r="I254" s="15">
        <v>2500.0</v>
      </c>
      <c r="J254" s="37" t="s">
        <v>21</v>
      </c>
      <c r="K254" s="17"/>
      <c r="L254" s="6" t="s">
        <v>667</v>
      </c>
      <c r="M254" s="6"/>
      <c r="N254" s="6"/>
      <c r="O254" s="6"/>
      <c r="P254" s="6"/>
      <c r="Q254" s="6"/>
      <c r="R254" s="6"/>
    </row>
    <row r="255" ht="22.5" customHeight="1">
      <c r="A255" s="49"/>
      <c r="B255" s="8">
        <v>2.0</v>
      </c>
      <c r="C255" s="9">
        <v>46088.0</v>
      </c>
      <c r="D255" s="10" t="s">
        <v>668</v>
      </c>
      <c r="E255" s="11" t="s">
        <v>669</v>
      </c>
      <c r="F255" s="43"/>
      <c r="G255" s="13" t="str">
        <f>IF(LEN(TRIM(D255))=0,"",IFNA(VLOOKUP(UPPER(TRIM(D255)),'CLIENT DIRECTORY'!A:B,2,FALSE),""))</f>
        <v/>
      </c>
      <c r="H255" s="14">
        <v>2500.0</v>
      </c>
      <c r="I255" s="15"/>
      <c r="J255" s="37" t="s">
        <v>26</v>
      </c>
      <c r="K255" s="17"/>
      <c r="L255" s="6" t="s">
        <v>670</v>
      </c>
      <c r="M255" s="6"/>
      <c r="N255" s="6"/>
      <c r="O255" s="6"/>
      <c r="P255" s="6"/>
      <c r="Q255" s="6"/>
      <c r="R255" s="6"/>
    </row>
    <row r="256" ht="22.5" customHeight="1">
      <c r="A256" s="49"/>
      <c r="B256" s="8">
        <v>3.0</v>
      </c>
      <c r="C256" s="9">
        <v>46088.0</v>
      </c>
      <c r="D256" s="10" t="s">
        <v>74</v>
      </c>
      <c r="E256" s="11" t="s">
        <v>671</v>
      </c>
      <c r="F256" s="12" t="s">
        <v>672</v>
      </c>
      <c r="G256" s="13" t="s">
        <v>76</v>
      </c>
      <c r="H256" s="14">
        <v>195000.0</v>
      </c>
      <c r="I256" s="15"/>
      <c r="J256" s="37" t="s">
        <v>103</v>
      </c>
      <c r="K256" s="17"/>
      <c r="L256" s="6" t="s">
        <v>673</v>
      </c>
      <c r="M256" s="6"/>
      <c r="N256" s="6"/>
      <c r="O256" s="6"/>
      <c r="P256" s="6"/>
      <c r="Q256" s="6"/>
      <c r="R256" s="6"/>
    </row>
    <row r="257" ht="22.5" customHeight="1">
      <c r="A257" s="49"/>
      <c r="B257" s="8">
        <v>4.0</v>
      </c>
      <c r="C257" s="9">
        <v>46088.0</v>
      </c>
      <c r="D257" s="10" t="s">
        <v>78</v>
      </c>
      <c r="E257" s="11" t="s">
        <v>674</v>
      </c>
      <c r="F257" s="43"/>
      <c r="G257" s="13" t="s">
        <v>80</v>
      </c>
      <c r="H257" s="14">
        <v>2500.0</v>
      </c>
      <c r="I257" s="15">
        <v>2500.0</v>
      </c>
      <c r="J257" s="37" t="s">
        <v>21</v>
      </c>
      <c r="K257" s="17"/>
      <c r="L257" s="6" t="s">
        <v>675</v>
      </c>
      <c r="M257" s="6"/>
      <c r="N257" s="6"/>
      <c r="O257" s="6"/>
      <c r="P257" s="6"/>
      <c r="Q257" s="6"/>
      <c r="R257" s="6"/>
    </row>
    <row r="258" ht="22.5" customHeight="1">
      <c r="A258" s="49"/>
      <c r="B258" s="8">
        <v>5.0</v>
      </c>
      <c r="C258" s="9">
        <v>46088.0</v>
      </c>
      <c r="D258" s="10" t="s">
        <v>89</v>
      </c>
      <c r="E258" s="11" t="s">
        <v>676</v>
      </c>
      <c r="F258" s="42" t="s">
        <v>677</v>
      </c>
      <c r="G258" s="27" t="s">
        <v>91</v>
      </c>
      <c r="H258" s="14">
        <v>820000.0</v>
      </c>
      <c r="I258" s="15"/>
      <c r="J258" s="37" t="s">
        <v>103</v>
      </c>
      <c r="K258" s="17"/>
      <c r="L258" s="6" t="s">
        <v>678</v>
      </c>
      <c r="M258" s="6"/>
      <c r="N258" s="6"/>
      <c r="O258" s="6"/>
      <c r="P258" s="6"/>
      <c r="Q258" s="6"/>
      <c r="R258" s="6"/>
    </row>
    <row r="259" ht="22.5" customHeight="1">
      <c r="A259" s="49"/>
      <c r="B259" s="8">
        <v>6.0</v>
      </c>
      <c r="C259" s="9">
        <v>46088.0</v>
      </c>
      <c r="D259" s="10" t="s">
        <v>89</v>
      </c>
      <c r="E259" s="11" t="s">
        <v>679</v>
      </c>
      <c r="F259" s="42" t="s">
        <v>680</v>
      </c>
      <c r="G259" s="27" t="s">
        <v>91</v>
      </c>
      <c r="H259" s="14">
        <v>760000.0</v>
      </c>
      <c r="I259" s="15"/>
      <c r="J259" s="37" t="s">
        <v>103</v>
      </c>
      <c r="K259" s="17"/>
      <c r="L259" s="6" t="s">
        <v>681</v>
      </c>
      <c r="M259" s="6"/>
      <c r="N259" s="6"/>
      <c r="O259" s="6"/>
      <c r="P259" s="6"/>
      <c r="Q259" s="6"/>
      <c r="R259" s="6"/>
    </row>
    <row r="260" ht="22.5" customHeight="1">
      <c r="A260" s="49"/>
      <c r="B260" s="8">
        <v>7.0</v>
      </c>
      <c r="C260" s="9">
        <v>46088.0</v>
      </c>
      <c r="D260" s="10" t="s">
        <v>682</v>
      </c>
      <c r="E260" s="11" t="s">
        <v>683</v>
      </c>
      <c r="F260" s="43"/>
      <c r="G260" s="13" t="str">
        <f>IF(LEN(TRIM(D260))=0,"",IFNA(VLOOKUP(UPPER(TRIM(D260)),'CLIENT DIRECTORY'!A:B,2,FALSE),""))</f>
        <v/>
      </c>
      <c r="H260" s="14">
        <v>2000.0</v>
      </c>
      <c r="I260" s="15"/>
      <c r="J260" s="37" t="s">
        <v>26</v>
      </c>
      <c r="K260" s="17"/>
      <c r="L260" s="6" t="s">
        <v>684</v>
      </c>
      <c r="M260" s="6"/>
      <c r="N260" s="6"/>
      <c r="O260" s="6"/>
      <c r="P260" s="6"/>
      <c r="Q260" s="6"/>
      <c r="R260" s="6"/>
    </row>
    <row r="261" ht="22.5" customHeight="1">
      <c r="A261" s="49"/>
      <c r="B261" s="8">
        <v>8.0</v>
      </c>
      <c r="C261" s="9">
        <v>46088.0</v>
      </c>
      <c r="D261" s="10" t="s">
        <v>70</v>
      </c>
      <c r="E261" s="11" t="s">
        <v>144</v>
      </c>
      <c r="F261" s="43"/>
      <c r="G261" s="13" t="s">
        <v>72</v>
      </c>
      <c r="H261" s="14">
        <v>2500.0</v>
      </c>
      <c r="I261" s="15"/>
      <c r="J261" s="37" t="s">
        <v>26</v>
      </c>
      <c r="K261" s="17"/>
      <c r="L261" s="6" t="s">
        <v>685</v>
      </c>
      <c r="M261" s="6"/>
      <c r="N261" s="6"/>
      <c r="O261" s="6"/>
      <c r="P261" s="6"/>
      <c r="Q261" s="6"/>
      <c r="R261" s="6"/>
    </row>
    <row r="262" ht="22.5" customHeight="1">
      <c r="A262" s="49"/>
      <c r="B262" s="8">
        <v>9.0</v>
      </c>
      <c r="C262" s="9">
        <v>46088.0</v>
      </c>
      <c r="D262" s="10" t="s">
        <v>686</v>
      </c>
      <c r="E262" s="11" t="s">
        <v>489</v>
      </c>
      <c r="F262" s="43"/>
      <c r="G262" s="13" t="s">
        <v>687</v>
      </c>
      <c r="H262" s="14">
        <v>3000.0</v>
      </c>
      <c r="I262" s="15">
        <v>3000.0</v>
      </c>
      <c r="J262" s="37" t="s">
        <v>26</v>
      </c>
      <c r="K262" s="17"/>
      <c r="L262" s="6" t="s">
        <v>688</v>
      </c>
      <c r="M262" s="6"/>
      <c r="N262" s="6"/>
      <c r="O262" s="6"/>
      <c r="P262" s="6"/>
      <c r="Q262" s="6"/>
      <c r="R262" s="6"/>
    </row>
    <row r="263" ht="22.5" customHeight="1">
      <c r="A263" s="49"/>
      <c r="B263" s="8">
        <v>10.0</v>
      </c>
      <c r="C263" s="9">
        <v>46088.0</v>
      </c>
      <c r="D263" s="10" t="s">
        <v>689</v>
      </c>
      <c r="E263" s="11" t="s">
        <v>690</v>
      </c>
      <c r="F263" s="42" t="s">
        <v>691</v>
      </c>
      <c r="G263" s="27" t="str">
        <f>IF(LEN(TRIM(D263))=0,"",IFNA(VLOOKUP(UPPER(TRIM(D263)),'CLIENT DIRECTORY'!A:B,2,FALSE),""))</f>
        <v/>
      </c>
      <c r="H263" s="14">
        <v>520000.0</v>
      </c>
      <c r="I263" s="15"/>
      <c r="J263" s="37" t="s">
        <v>26</v>
      </c>
      <c r="K263" s="17"/>
      <c r="L263" s="6" t="s">
        <v>692</v>
      </c>
      <c r="M263" s="6"/>
      <c r="N263" s="6"/>
      <c r="O263" s="6"/>
      <c r="P263" s="6"/>
      <c r="Q263" s="6"/>
      <c r="R263" s="6"/>
    </row>
    <row r="264" ht="22.5" customHeight="1">
      <c r="A264" s="49"/>
      <c r="B264" s="8">
        <v>11.0</v>
      </c>
      <c r="C264" s="9">
        <v>46088.0</v>
      </c>
      <c r="D264" s="10" t="s">
        <v>693</v>
      </c>
      <c r="E264" s="11" t="s">
        <v>694</v>
      </c>
      <c r="F264" s="42" t="s">
        <v>695</v>
      </c>
      <c r="G264" s="27" t="s">
        <v>696</v>
      </c>
      <c r="H264" s="14">
        <v>310000.0</v>
      </c>
      <c r="I264" s="15"/>
      <c r="J264" s="37" t="s">
        <v>26</v>
      </c>
      <c r="K264" s="17"/>
      <c r="L264" s="6" t="s">
        <v>697</v>
      </c>
      <c r="M264" s="6"/>
      <c r="N264" s="6"/>
      <c r="O264" s="6"/>
      <c r="P264" s="6"/>
      <c r="Q264" s="6"/>
      <c r="R264" s="6"/>
    </row>
    <row r="265" ht="22.5" customHeight="1">
      <c r="A265" s="49"/>
      <c r="B265" s="8">
        <v>12.0</v>
      </c>
      <c r="C265" s="9">
        <v>46088.0</v>
      </c>
      <c r="D265" s="10" t="s">
        <v>698</v>
      </c>
      <c r="E265" s="11" t="s">
        <v>699</v>
      </c>
      <c r="F265" s="43"/>
      <c r="G265" s="13" t="str">
        <f>IF(LEN(TRIM(D265))=0,"",IFNA(VLOOKUP(UPPER(TRIM(D265)),'CLIENT DIRECTORY'!A:B,2,FALSE),""))</f>
        <v/>
      </c>
      <c r="H265" s="14">
        <v>150000.0</v>
      </c>
      <c r="I265" s="15"/>
      <c r="J265" s="37" t="s">
        <v>103</v>
      </c>
      <c r="K265" s="17"/>
      <c r="L265" s="6" t="s">
        <v>700</v>
      </c>
      <c r="M265" s="6"/>
      <c r="N265" s="6"/>
      <c r="O265" s="6"/>
      <c r="P265" s="6"/>
      <c r="Q265" s="6"/>
      <c r="R265" s="6"/>
    </row>
    <row r="266" ht="22.5" customHeight="1">
      <c r="A266" s="49"/>
      <c r="B266" s="8">
        <v>13.0</v>
      </c>
      <c r="C266" s="9">
        <v>46088.0</v>
      </c>
      <c r="D266" s="10" t="s">
        <v>701</v>
      </c>
      <c r="E266" s="11" t="s">
        <v>702</v>
      </c>
      <c r="F266" s="43"/>
      <c r="G266" s="53" t="str">
        <f>IF(LEN(TRIM(D266))=0,"",IFNA(VLOOKUP(UPPER(TRIM(D266)),'CLIENT DIRECTORY'!A:B,2,FALSE),""))</f>
        <v/>
      </c>
      <c r="H266" s="54"/>
      <c r="I266" s="15"/>
      <c r="J266" s="37" t="s">
        <v>103</v>
      </c>
      <c r="K266" s="17"/>
      <c r="L266" s="6" t="s">
        <v>703</v>
      </c>
      <c r="M266" s="6"/>
      <c r="N266" s="6"/>
      <c r="O266" s="6"/>
      <c r="P266" s="6"/>
      <c r="Q266" s="6"/>
      <c r="R266" s="6"/>
    </row>
    <row r="267" ht="22.5" customHeight="1">
      <c r="A267" s="49"/>
      <c r="B267" s="8">
        <v>14.0</v>
      </c>
      <c r="C267" s="9">
        <v>46088.0</v>
      </c>
      <c r="D267" s="10" t="s">
        <v>358</v>
      </c>
      <c r="E267" s="11" t="s">
        <v>704</v>
      </c>
      <c r="F267" s="43"/>
      <c r="G267" s="13" t="s">
        <v>360</v>
      </c>
      <c r="H267" s="14">
        <v>2500.0</v>
      </c>
      <c r="I267" s="15"/>
      <c r="J267" s="37" t="s">
        <v>26</v>
      </c>
      <c r="K267" s="17"/>
      <c r="L267" s="6" t="s">
        <v>705</v>
      </c>
      <c r="M267" s="6"/>
      <c r="N267" s="6"/>
      <c r="O267" s="6"/>
      <c r="P267" s="6"/>
      <c r="Q267" s="6"/>
      <c r="R267" s="6"/>
    </row>
    <row r="268" ht="22.5" customHeight="1">
      <c r="A268" s="49"/>
      <c r="B268" s="36"/>
      <c r="C268" s="9">
        <v>46088.0</v>
      </c>
      <c r="D268" s="10" t="s">
        <v>89</v>
      </c>
      <c r="E268" s="11" t="s">
        <v>706</v>
      </c>
      <c r="F268" s="12" t="s">
        <v>677</v>
      </c>
      <c r="G268" s="13" t="s">
        <v>91</v>
      </c>
      <c r="H268" s="14">
        <v>820000.0</v>
      </c>
      <c r="I268" s="15"/>
      <c r="J268" s="37" t="s">
        <v>26</v>
      </c>
      <c r="K268" s="17"/>
      <c r="L268" s="6" t="s">
        <v>707</v>
      </c>
      <c r="M268" s="6"/>
      <c r="N268" s="6"/>
      <c r="O268" s="6"/>
      <c r="P268" s="6"/>
      <c r="Q268" s="6"/>
      <c r="R268" s="6"/>
    </row>
    <row r="269" ht="22.5" customHeight="1">
      <c r="A269" s="49"/>
      <c r="B269" s="36"/>
      <c r="C269" s="35" t="s">
        <v>140</v>
      </c>
      <c r="D269" s="10" t="s">
        <v>195</v>
      </c>
      <c r="E269" s="11" t="s">
        <v>140</v>
      </c>
      <c r="F269" s="12" t="s">
        <v>140</v>
      </c>
      <c r="G269" s="13" t="str">
        <f>IF(LEN(TRIM(D269))=0,"",IFNA(VLOOKUP(UPPER(TRIM(D269)),'CLIENT DIRECTORY'!A:B,2,FALSE),""))</f>
        <v/>
      </c>
      <c r="H269" s="14" t="s">
        <v>140</v>
      </c>
      <c r="I269" s="15"/>
      <c r="J269" s="37" t="s">
        <v>140</v>
      </c>
      <c r="K269" s="17"/>
      <c r="L269" s="6" t="s">
        <v>708</v>
      </c>
      <c r="M269" s="6"/>
      <c r="N269" s="6"/>
      <c r="O269" s="6"/>
      <c r="P269" s="6"/>
      <c r="Q269" s="6"/>
      <c r="R269" s="6"/>
    </row>
    <row r="270" ht="22.5" customHeight="1">
      <c r="A270" s="49"/>
      <c r="B270" s="36"/>
      <c r="C270" s="35" t="s">
        <v>140</v>
      </c>
      <c r="D270" s="10" t="s">
        <v>140</v>
      </c>
      <c r="E270" s="11" t="s">
        <v>140</v>
      </c>
      <c r="F270" s="12" t="s">
        <v>140</v>
      </c>
      <c r="G270" s="13" t="str">
        <f>IF(LEN(TRIM(D270))=0,"",IFNA(VLOOKUP(UPPER(TRIM(D270)),'CLIENT DIRECTORY'!A:B,2,FALSE),""))</f>
        <v/>
      </c>
      <c r="H270" s="14" t="s">
        <v>195</v>
      </c>
      <c r="I270" s="15"/>
      <c r="J270" s="37" t="s">
        <v>140</v>
      </c>
      <c r="K270" s="17"/>
      <c r="L270" s="6" t="s">
        <v>709</v>
      </c>
      <c r="M270" s="6"/>
      <c r="N270" s="6"/>
      <c r="O270" s="6"/>
      <c r="P270" s="6"/>
      <c r="Q270" s="6"/>
      <c r="R270" s="6"/>
    </row>
    <row r="271" ht="22.5" customHeight="1">
      <c r="A271" s="49"/>
      <c r="B271" s="36"/>
      <c r="C271" s="35" t="s">
        <v>140</v>
      </c>
      <c r="D271" s="10" t="s">
        <v>140</v>
      </c>
      <c r="E271" s="11" t="s">
        <v>140</v>
      </c>
      <c r="F271" s="12" t="s">
        <v>140</v>
      </c>
      <c r="G271" s="13" t="str">
        <f>IF(LEN(TRIM(D271))=0,"",IFNA(VLOOKUP(UPPER(TRIM(D271)),'CLIENT DIRECTORY'!A:B,2,FALSE),""))</f>
        <v/>
      </c>
      <c r="H271" s="14" t="s">
        <v>140</v>
      </c>
      <c r="I271" s="15"/>
      <c r="J271" s="37" t="s">
        <v>140</v>
      </c>
      <c r="K271" s="17"/>
      <c r="L271" s="6" t="s">
        <v>710</v>
      </c>
      <c r="M271" s="6"/>
      <c r="N271" s="6"/>
      <c r="O271" s="6"/>
      <c r="P271" s="6"/>
      <c r="Q271" s="6"/>
      <c r="R271" s="6"/>
    </row>
    <row r="272" ht="22.5" customHeight="1">
      <c r="A272" s="49"/>
      <c r="B272" s="36"/>
      <c r="C272" s="9">
        <v>46089.0</v>
      </c>
      <c r="D272" s="10" t="s">
        <v>78</v>
      </c>
      <c r="E272" s="11" t="s">
        <v>571</v>
      </c>
      <c r="F272" s="43"/>
      <c r="G272" s="13" t="s">
        <v>80</v>
      </c>
      <c r="H272" s="14">
        <v>2500.0</v>
      </c>
      <c r="I272" s="15">
        <v>2500.0</v>
      </c>
      <c r="J272" s="37" t="s">
        <v>26</v>
      </c>
      <c r="K272" s="17"/>
      <c r="L272" s="6" t="s">
        <v>711</v>
      </c>
      <c r="M272" s="6"/>
      <c r="N272" s="6"/>
      <c r="O272" s="6"/>
      <c r="P272" s="6"/>
      <c r="Q272" s="6"/>
      <c r="R272" s="6"/>
    </row>
    <row r="273" ht="22.5" customHeight="1">
      <c r="A273" s="49"/>
      <c r="B273" s="36"/>
      <c r="C273" s="35" t="s">
        <v>140</v>
      </c>
      <c r="D273" s="10" t="s">
        <v>195</v>
      </c>
      <c r="E273" s="11" t="s">
        <v>140</v>
      </c>
      <c r="F273" s="12" t="s">
        <v>140</v>
      </c>
      <c r="G273" s="13" t="str">
        <f>IF(LEN(TRIM(D273))=0,"",IFNA(VLOOKUP(UPPER(TRIM(D273)),'CLIENT DIRECTORY'!A:B,2,FALSE),""))</f>
        <v/>
      </c>
      <c r="H273" s="14" t="s">
        <v>140</v>
      </c>
      <c r="I273" s="15"/>
      <c r="J273" s="37" t="s">
        <v>140</v>
      </c>
      <c r="K273" s="17"/>
      <c r="L273" s="6" t="s">
        <v>712</v>
      </c>
      <c r="M273" s="6"/>
      <c r="N273" s="6"/>
      <c r="O273" s="6"/>
      <c r="P273" s="6"/>
      <c r="Q273" s="6"/>
      <c r="R273" s="6"/>
    </row>
    <row r="274" ht="22.5" customHeight="1">
      <c r="A274" s="49"/>
      <c r="B274" s="36"/>
      <c r="C274" s="35" t="s">
        <v>140</v>
      </c>
      <c r="D274" s="10" t="s">
        <v>140</v>
      </c>
      <c r="E274" s="11" t="s">
        <v>140</v>
      </c>
      <c r="F274" s="12" t="s">
        <v>140</v>
      </c>
      <c r="G274" s="13" t="str">
        <f>IF(LEN(TRIM(D274))=0,"",IFNA(VLOOKUP(UPPER(TRIM(D274)),'CLIENT DIRECTORY'!A:B,2,FALSE),""))</f>
        <v/>
      </c>
      <c r="H274" s="14" t="s">
        <v>195</v>
      </c>
      <c r="I274" s="15"/>
      <c r="J274" s="37" t="s">
        <v>140</v>
      </c>
      <c r="K274" s="17"/>
      <c r="L274" s="6" t="s">
        <v>713</v>
      </c>
      <c r="M274" s="6"/>
      <c r="N274" s="6"/>
      <c r="O274" s="6"/>
      <c r="P274" s="6"/>
      <c r="Q274" s="6"/>
      <c r="R274" s="6"/>
    </row>
    <row r="275" ht="22.5" customHeight="1">
      <c r="A275" s="49"/>
      <c r="B275" s="36"/>
      <c r="C275" s="35" t="s">
        <v>140</v>
      </c>
      <c r="D275" s="10" t="s">
        <v>140</v>
      </c>
      <c r="E275" s="11" t="s">
        <v>140</v>
      </c>
      <c r="F275" s="12" t="s">
        <v>140</v>
      </c>
      <c r="G275" s="13" t="str">
        <f>IF(LEN(TRIM(D275))=0,"",IFNA(VLOOKUP(UPPER(TRIM(D275)),'CLIENT DIRECTORY'!A:B,2,FALSE),""))</f>
        <v/>
      </c>
      <c r="H275" s="14" t="s">
        <v>140</v>
      </c>
      <c r="I275" s="15"/>
      <c r="J275" s="37" t="s">
        <v>140</v>
      </c>
      <c r="K275" s="17"/>
      <c r="L275" s="6" t="s">
        <v>714</v>
      </c>
      <c r="M275" s="6"/>
      <c r="N275" s="6"/>
      <c r="O275" s="6"/>
      <c r="P275" s="6"/>
      <c r="Q275" s="6"/>
      <c r="R275" s="6"/>
    </row>
    <row r="276" ht="22.5" customHeight="1">
      <c r="A276" s="49"/>
      <c r="B276" s="36"/>
      <c r="C276" s="9">
        <v>46090.0</v>
      </c>
      <c r="D276" s="10" t="s">
        <v>715</v>
      </c>
      <c r="E276" s="11" t="s">
        <v>716</v>
      </c>
      <c r="F276" s="55" t="s">
        <v>717</v>
      </c>
      <c r="G276" s="27" t="str">
        <f>IF(LEN(TRIM(D276))=0,"",IFNA(VLOOKUP(UPPER(TRIM(D276)),'CLIENT DIRECTORY'!A:B,2,FALSE),""))</f>
        <v/>
      </c>
      <c r="H276" s="14">
        <v>135000.0</v>
      </c>
      <c r="I276" s="15"/>
      <c r="J276" s="37" t="s">
        <v>26</v>
      </c>
      <c r="K276" s="17"/>
      <c r="L276" s="6" t="s">
        <v>718</v>
      </c>
      <c r="M276" s="6"/>
      <c r="N276" s="6"/>
      <c r="O276" s="6"/>
      <c r="P276" s="6"/>
      <c r="Q276" s="6"/>
      <c r="R276" s="6"/>
    </row>
    <row r="277" ht="22.5" customHeight="1">
      <c r="A277" s="49"/>
      <c r="B277" s="36"/>
      <c r="C277" s="9">
        <v>46090.0</v>
      </c>
      <c r="D277" s="10" t="s">
        <v>719</v>
      </c>
      <c r="E277" s="11" t="s">
        <v>720</v>
      </c>
      <c r="F277" s="43"/>
      <c r="G277" s="13" t="str">
        <f>IF(LEN(TRIM(D277))=0,"",IFNA(VLOOKUP(UPPER(TRIM(D277)),'CLIENT DIRECTORY'!A:B,2,FALSE),""))</f>
        <v/>
      </c>
      <c r="H277" s="14">
        <v>2500.0</v>
      </c>
      <c r="I277" s="15"/>
      <c r="J277" s="37" t="s">
        <v>26</v>
      </c>
      <c r="K277" s="17"/>
      <c r="L277" s="6" t="s">
        <v>721</v>
      </c>
      <c r="M277" s="6"/>
      <c r="N277" s="6"/>
      <c r="O277" s="6"/>
      <c r="P277" s="6"/>
      <c r="Q277" s="6"/>
      <c r="R277" s="6"/>
    </row>
    <row r="278" ht="22.5" customHeight="1">
      <c r="A278" s="49"/>
      <c r="B278" s="36"/>
      <c r="C278" s="9">
        <v>46090.0</v>
      </c>
      <c r="D278" s="10" t="s">
        <v>23</v>
      </c>
      <c r="E278" s="11" t="s">
        <v>722</v>
      </c>
      <c r="F278" s="43"/>
      <c r="G278" s="13" t="s">
        <v>25</v>
      </c>
      <c r="H278" s="14">
        <v>2500.0</v>
      </c>
      <c r="I278" s="15"/>
      <c r="J278" s="37" t="s">
        <v>26</v>
      </c>
      <c r="K278" s="17"/>
      <c r="L278" s="6" t="s">
        <v>723</v>
      </c>
      <c r="M278" s="6"/>
      <c r="N278" s="6"/>
      <c r="O278" s="6"/>
      <c r="P278" s="6"/>
      <c r="Q278" s="6"/>
      <c r="R278" s="6"/>
    </row>
    <row r="279" ht="22.5" customHeight="1">
      <c r="A279" s="49"/>
      <c r="B279" s="36"/>
      <c r="C279" s="9">
        <v>46090.0</v>
      </c>
      <c r="D279" s="10" t="s">
        <v>715</v>
      </c>
      <c r="E279" s="11" t="s">
        <v>724</v>
      </c>
      <c r="F279" s="55" t="s">
        <v>725</v>
      </c>
      <c r="G279" s="27" t="str">
        <f>IF(LEN(TRIM(D279))=0,"",IFNA(VLOOKUP(UPPER(TRIM(D279)),'CLIENT DIRECTORY'!A:B,2,FALSE),""))</f>
        <v/>
      </c>
      <c r="H279" s="14">
        <v>690000.0</v>
      </c>
      <c r="I279" s="15"/>
      <c r="J279" s="37" t="s">
        <v>26</v>
      </c>
      <c r="K279" s="17"/>
      <c r="L279" s="6" t="s">
        <v>726</v>
      </c>
      <c r="M279" s="6"/>
      <c r="N279" s="6"/>
      <c r="O279" s="6"/>
      <c r="P279" s="6"/>
      <c r="Q279" s="6"/>
      <c r="R279" s="6"/>
    </row>
    <row r="280" ht="22.5" customHeight="1">
      <c r="A280" s="49"/>
      <c r="B280" s="36"/>
      <c r="C280" s="9">
        <v>46090.0</v>
      </c>
      <c r="D280" s="10" t="s">
        <v>727</v>
      </c>
      <c r="E280" s="11" t="s">
        <v>728</v>
      </c>
      <c r="F280" s="43"/>
      <c r="G280" s="13" t="str">
        <f>IF(LEN(TRIM(D280))=0,"",IFNA(VLOOKUP(UPPER(TRIM(D280)),'CLIENT DIRECTORY'!A:B,2,FALSE),""))</f>
        <v/>
      </c>
      <c r="H280" s="14">
        <v>760000.0</v>
      </c>
      <c r="I280" s="15">
        <v>760000.0</v>
      </c>
      <c r="J280" s="37" t="s">
        <v>26</v>
      </c>
      <c r="K280" s="31"/>
      <c r="L280" s="6" t="s">
        <v>729</v>
      </c>
      <c r="M280" s="6"/>
      <c r="N280" s="6"/>
      <c r="O280" s="6"/>
      <c r="P280" s="6"/>
      <c r="Q280" s="6"/>
      <c r="R280" s="6"/>
    </row>
    <row r="281" ht="22.5" customHeight="1">
      <c r="A281" s="49"/>
      <c r="B281" s="36"/>
      <c r="C281" s="9">
        <v>46090.0</v>
      </c>
      <c r="D281" s="10" t="s">
        <v>424</v>
      </c>
      <c r="E281" s="11" t="s">
        <v>730</v>
      </c>
      <c r="F281" s="43"/>
      <c r="G281" s="13" t="s">
        <v>426</v>
      </c>
      <c r="H281" s="14">
        <v>2500.0</v>
      </c>
      <c r="I281" s="15">
        <v>2500.0</v>
      </c>
      <c r="J281" s="37" t="s">
        <v>26</v>
      </c>
      <c r="K281" s="17"/>
      <c r="L281" s="6" t="s">
        <v>731</v>
      </c>
      <c r="M281" s="6"/>
      <c r="N281" s="6"/>
      <c r="O281" s="6"/>
      <c r="P281" s="6"/>
      <c r="Q281" s="6"/>
      <c r="R281" s="6"/>
    </row>
    <row r="282" ht="22.5" customHeight="1">
      <c r="A282" s="49"/>
      <c r="B282" s="36"/>
      <c r="C282" s="9">
        <v>46090.0</v>
      </c>
      <c r="D282" s="10" t="s">
        <v>23</v>
      </c>
      <c r="E282" s="11" t="s">
        <v>732</v>
      </c>
      <c r="F282" s="43"/>
      <c r="G282" s="13" t="s">
        <v>25</v>
      </c>
      <c r="H282" s="14">
        <v>2500.0</v>
      </c>
      <c r="I282" s="15"/>
      <c r="J282" s="37" t="s">
        <v>26</v>
      </c>
      <c r="K282" s="17"/>
      <c r="L282" s="6" t="s">
        <v>733</v>
      </c>
      <c r="M282" s="6"/>
      <c r="N282" s="6"/>
      <c r="O282" s="6"/>
      <c r="P282" s="6"/>
      <c r="Q282" s="6"/>
      <c r="R282" s="6"/>
    </row>
    <row r="283" ht="22.5" customHeight="1">
      <c r="A283" s="49"/>
      <c r="B283" s="36"/>
      <c r="C283" s="9">
        <v>46090.0</v>
      </c>
      <c r="D283" s="10" t="s">
        <v>23</v>
      </c>
      <c r="E283" s="11" t="s">
        <v>734</v>
      </c>
      <c r="F283" s="43"/>
      <c r="G283" s="13" t="s">
        <v>25</v>
      </c>
      <c r="H283" s="14">
        <v>2500.0</v>
      </c>
      <c r="I283" s="15"/>
      <c r="J283" s="37" t="s">
        <v>26</v>
      </c>
      <c r="K283" s="17"/>
      <c r="L283" s="6" t="s">
        <v>735</v>
      </c>
      <c r="M283" s="6"/>
      <c r="N283" s="6"/>
      <c r="O283" s="6"/>
      <c r="P283" s="6"/>
      <c r="Q283" s="6"/>
      <c r="R283" s="6"/>
    </row>
    <row r="284" ht="22.5" customHeight="1">
      <c r="A284" s="49"/>
      <c r="B284" s="36"/>
      <c r="C284" s="9">
        <v>46090.0</v>
      </c>
      <c r="D284" s="10" t="s">
        <v>736</v>
      </c>
      <c r="E284" s="11" t="s">
        <v>737</v>
      </c>
      <c r="F284" s="43"/>
      <c r="G284" s="13" t="str">
        <f>IF(LEN(TRIM(D284))=0,"",IFNA(VLOOKUP(UPPER(TRIM(D284)),'CLIENT DIRECTORY'!A:B,2,FALSE),""))</f>
        <v/>
      </c>
      <c r="H284" s="14">
        <v>2500.0</v>
      </c>
      <c r="I284" s="15"/>
      <c r="J284" s="37" t="s">
        <v>26</v>
      </c>
      <c r="K284" s="17"/>
      <c r="L284" s="6" t="s">
        <v>738</v>
      </c>
      <c r="M284" s="6"/>
      <c r="N284" s="6"/>
      <c r="O284" s="6"/>
      <c r="P284" s="6"/>
      <c r="Q284" s="6"/>
      <c r="R284" s="6"/>
    </row>
    <row r="285" ht="22.5" customHeight="1">
      <c r="A285" s="49"/>
      <c r="B285" s="36"/>
      <c r="C285" s="9">
        <v>46090.0</v>
      </c>
      <c r="D285" s="10" t="s">
        <v>236</v>
      </c>
      <c r="E285" s="11" t="s">
        <v>739</v>
      </c>
      <c r="F285" s="43"/>
      <c r="G285" s="13" t="s">
        <v>237</v>
      </c>
      <c r="H285" s="14">
        <v>2500.0</v>
      </c>
      <c r="I285" s="15"/>
      <c r="J285" s="37" t="s">
        <v>26</v>
      </c>
      <c r="K285" s="17"/>
      <c r="L285" s="6" t="s">
        <v>740</v>
      </c>
      <c r="M285" s="6"/>
      <c r="N285" s="6"/>
      <c r="O285" s="6"/>
      <c r="P285" s="6"/>
      <c r="Q285" s="6"/>
      <c r="R285" s="6"/>
    </row>
    <row r="286" ht="22.5" customHeight="1">
      <c r="A286" s="49"/>
      <c r="B286" s="36"/>
      <c r="C286" s="9">
        <v>46090.0</v>
      </c>
      <c r="D286" s="10" t="s">
        <v>741</v>
      </c>
      <c r="E286" s="11" t="s">
        <v>742</v>
      </c>
      <c r="F286" s="43"/>
      <c r="G286" s="13" t="s">
        <v>743</v>
      </c>
      <c r="H286" s="14">
        <v>670000.0</v>
      </c>
      <c r="I286" s="15"/>
      <c r="J286" s="37" t="s">
        <v>103</v>
      </c>
      <c r="K286" s="17"/>
      <c r="L286" s="6" t="s">
        <v>744</v>
      </c>
      <c r="M286" s="6"/>
      <c r="N286" s="6"/>
      <c r="O286" s="6"/>
      <c r="P286" s="6"/>
      <c r="Q286" s="6"/>
      <c r="R286" s="6"/>
    </row>
    <row r="287" ht="22.5" customHeight="1">
      <c r="A287" s="49"/>
      <c r="B287" s="36"/>
      <c r="C287" s="9">
        <v>46090.0</v>
      </c>
      <c r="D287" s="10" t="s">
        <v>358</v>
      </c>
      <c r="E287" s="11" t="s">
        <v>745</v>
      </c>
      <c r="F287" s="43"/>
      <c r="G287" s="13" t="s">
        <v>360</v>
      </c>
      <c r="H287" s="14">
        <v>2500.0</v>
      </c>
      <c r="I287" s="15"/>
      <c r="J287" s="37" t="s">
        <v>26</v>
      </c>
      <c r="K287" s="17"/>
      <c r="L287" s="6" t="s">
        <v>746</v>
      </c>
      <c r="M287" s="6"/>
      <c r="N287" s="6"/>
      <c r="O287" s="6"/>
      <c r="P287" s="6"/>
      <c r="Q287" s="6"/>
      <c r="R287" s="6"/>
    </row>
    <row r="288" ht="22.5" customHeight="1">
      <c r="A288" s="49"/>
      <c r="B288" s="36"/>
      <c r="C288" s="9">
        <v>46090.0</v>
      </c>
      <c r="D288" s="10" t="s">
        <v>686</v>
      </c>
      <c r="E288" s="11" t="s">
        <v>747</v>
      </c>
      <c r="F288" s="12" t="s">
        <v>748</v>
      </c>
      <c r="G288" s="13" t="s">
        <v>687</v>
      </c>
      <c r="H288" s="14">
        <v>140000.0</v>
      </c>
      <c r="I288" s="15"/>
      <c r="J288" s="37" t="s">
        <v>26</v>
      </c>
      <c r="K288" s="17"/>
      <c r="L288" s="6" t="s">
        <v>749</v>
      </c>
      <c r="M288" s="6"/>
      <c r="N288" s="6"/>
      <c r="O288" s="6"/>
      <c r="P288" s="6"/>
      <c r="Q288" s="6"/>
      <c r="R288" s="6"/>
    </row>
    <row r="289" ht="22.5" customHeight="1">
      <c r="A289" s="49"/>
      <c r="B289" s="36"/>
      <c r="C289" s="9">
        <v>46090.0</v>
      </c>
      <c r="D289" s="10" t="s">
        <v>418</v>
      </c>
      <c r="E289" s="11" t="s">
        <v>750</v>
      </c>
      <c r="F289" s="43"/>
      <c r="G289" s="13" t="s">
        <v>421</v>
      </c>
      <c r="H289" s="14">
        <v>2500.0</v>
      </c>
      <c r="I289" s="15">
        <v>2500.0</v>
      </c>
      <c r="J289" s="37" t="s">
        <v>26</v>
      </c>
      <c r="K289" s="17"/>
      <c r="L289" s="6" t="s">
        <v>751</v>
      </c>
      <c r="M289" s="6"/>
      <c r="N289" s="6"/>
      <c r="O289" s="6"/>
      <c r="P289" s="6"/>
      <c r="Q289" s="6"/>
      <c r="R289" s="6"/>
    </row>
    <row r="290" ht="22.5" customHeight="1">
      <c r="A290" s="49"/>
      <c r="B290" s="36"/>
      <c r="C290" s="9">
        <v>46090.0</v>
      </c>
      <c r="D290" s="10" t="s">
        <v>535</v>
      </c>
      <c r="E290" s="11" t="s">
        <v>393</v>
      </c>
      <c r="F290" s="43"/>
      <c r="G290" s="53" t="str">
        <f>IF(LEN(TRIM(D290))=0,"",IFNA(VLOOKUP(UPPER(TRIM(D290)),'CLIENT DIRECTORY'!A:B,2,FALSE),""))</f>
        <v/>
      </c>
      <c r="H290" s="54"/>
      <c r="I290" s="15"/>
      <c r="J290" s="37" t="s">
        <v>103</v>
      </c>
      <c r="K290" s="17"/>
      <c r="L290" s="6" t="s">
        <v>752</v>
      </c>
      <c r="M290" s="6"/>
      <c r="N290" s="6"/>
      <c r="O290" s="6"/>
      <c r="P290" s="6"/>
      <c r="Q290" s="6"/>
      <c r="R290" s="6"/>
    </row>
    <row r="291" ht="22.5" customHeight="1">
      <c r="A291" s="49"/>
      <c r="B291" s="36"/>
      <c r="C291" s="35" t="s">
        <v>508</v>
      </c>
      <c r="D291" s="10" t="s">
        <v>508</v>
      </c>
      <c r="E291" s="11" t="s">
        <v>195</v>
      </c>
      <c r="F291" s="12" t="s">
        <v>195</v>
      </c>
      <c r="G291" s="13" t="str">
        <f>IF(LEN(TRIM(D291))=0,"",IFNA(VLOOKUP(UPPER(TRIM(D291)),'CLIENT DIRECTORY'!A:B,2,FALSE),""))</f>
        <v/>
      </c>
      <c r="H291" s="14" t="s">
        <v>508</v>
      </c>
      <c r="I291" s="15"/>
      <c r="J291" s="37" t="s">
        <v>140</v>
      </c>
      <c r="K291" s="17"/>
      <c r="L291" s="6" t="s">
        <v>753</v>
      </c>
      <c r="M291" s="6"/>
      <c r="N291" s="6"/>
      <c r="O291" s="6"/>
      <c r="P291" s="6"/>
      <c r="Q291" s="6"/>
      <c r="R291" s="6"/>
    </row>
    <row r="292" ht="22.5" customHeight="1">
      <c r="A292" s="49"/>
      <c r="B292" s="36"/>
      <c r="C292" s="35" t="s">
        <v>508</v>
      </c>
      <c r="D292" s="10" t="s">
        <v>508</v>
      </c>
      <c r="E292" s="11" t="s">
        <v>195</v>
      </c>
      <c r="F292" s="12" t="s">
        <v>195</v>
      </c>
      <c r="G292" s="13" t="str">
        <f>IF(LEN(TRIM(D292))=0,"",IFNA(VLOOKUP(UPPER(TRIM(D292)),'CLIENT DIRECTORY'!A:B,2,FALSE),""))</f>
        <v/>
      </c>
      <c r="H292" s="14" t="s">
        <v>508</v>
      </c>
      <c r="I292" s="15"/>
      <c r="J292" s="37" t="s">
        <v>140</v>
      </c>
      <c r="K292" s="17"/>
      <c r="L292" s="6" t="s">
        <v>754</v>
      </c>
      <c r="M292" s="6"/>
      <c r="N292" s="6"/>
      <c r="O292" s="6"/>
      <c r="P292" s="6"/>
      <c r="Q292" s="6"/>
      <c r="R292" s="6"/>
    </row>
    <row r="293" ht="22.5" customHeight="1">
      <c r="A293" s="49"/>
      <c r="B293" s="36"/>
      <c r="C293" s="35" t="s">
        <v>508</v>
      </c>
      <c r="D293" s="10" t="s">
        <v>508</v>
      </c>
      <c r="E293" s="11" t="s">
        <v>195</v>
      </c>
      <c r="F293" s="12" t="s">
        <v>195</v>
      </c>
      <c r="G293" s="13" t="str">
        <f>IF(LEN(TRIM(D293))=0,"",IFNA(VLOOKUP(UPPER(TRIM(D293)),'CLIENT DIRECTORY'!A:B,2,FALSE),""))</f>
        <v/>
      </c>
      <c r="H293" s="14" t="s">
        <v>508</v>
      </c>
      <c r="I293" s="15"/>
      <c r="J293" s="37" t="s">
        <v>140</v>
      </c>
      <c r="K293" s="17"/>
      <c r="L293" s="6" t="s">
        <v>755</v>
      </c>
      <c r="M293" s="6"/>
      <c r="N293" s="6"/>
      <c r="O293" s="6"/>
      <c r="P293" s="6"/>
      <c r="Q293" s="6"/>
      <c r="R293" s="6"/>
    </row>
    <row r="294" ht="22.5" customHeight="1">
      <c r="A294" s="49"/>
      <c r="B294" s="36"/>
      <c r="C294" s="35" t="s">
        <v>508</v>
      </c>
      <c r="D294" s="10" t="s">
        <v>508</v>
      </c>
      <c r="E294" s="11" t="s">
        <v>195</v>
      </c>
      <c r="F294" s="12" t="s">
        <v>195</v>
      </c>
      <c r="G294" s="13" t="str">
        <f>IF(LEN(TRIM(D294))=0,"",IFNA(VLOOKUP(UPPER(TRIM(D294)),'CLIENT DIRECTORY'!A:B,2,FALSE),""))</f>
        <v/>
      </c>
      <c r="H294" s="14" t="s">
        <v>508</v>
      </c>
      <c r="I294" s="15"/>
      <c r="J294" s="37" t="s">
        <v>140</v>
      </c>
      <c r="K294" s="17"/>
      <c r="L294" s="6" t="s">
        <v>756</v>
      </c>
      <c r="M294" s="6"/>
      <c r="N294" s="6"/>
      <c r="O294" s="6"/>
      <c r="P294" s="6"/>
      <c r="Q294" s="6"/>
      <c r="R294" s="6"/>
    </row>
    <row r="295" ht="22.5" customHeight="1">
      <c r="A295" s="49"/>
      <c r="B295" s="36"/>
      <c r="C295" s="9">
        <v>46091.0</v>
      </c>
      <c r="D295" s="10" t="s">
        <v>582</v>
      </c>
      <c r="E295" s="11" t="s">
        <v>757</v>
      </c>
      <c r="F295" s="55" t="s">
        <v>758</v>
      </c>
      <c r="G295" s="27" t="str">
        <f>IF(LEN(TRIM(D295))=0,"",IFNA(VLOOKUP(UPPER(TRIM(D295)),'CLIENT DIRECTORY'!A:B,2,FALSE),""))</f>
        <v/>
      </c>
      <c r="H295" s="14">
        <v>810000.0</v>
      </c>
      <c r="I295" s="15"/>
      <c r="J295" s="37" t="s">
        <v>26</v>
      </c>
      <c r="K295" s="17"/>
      <c r="L295" s="6" t="s">
        <v>759</v>
      </c>
      <c r="M295" s="6"/>
      <c r="N295" s="6"/>
      <c r="O295" s="6"/>
      <c r="P295" s="6"/>
      <c r="Q295" s="6"/>
      <c r="R295" s="6"/>
    </row>
    <row r="296" ht="22.5" customHeight="1">
      <c r="A296" s="49"/>
      <c r="B296" s="36"/>
      <c r="C296" s="9">
        <v>46092.0</v>
      </c>
      <c r="D296" s="10" t="s">
        <v>582</v>
      </c>
      <c r="E296" s="11" t="s">
        <v>757</v>
      </c>
      <c r="F296" s="55" t="s">
        <v>760</v>
      </c>
      <c r="G296" s="27" t="str">
        <f>IF(LEN(TRIM(D296))=0,"",IFNA(VLOOKUP(UPPER(TRIM(D296)),'CLIENT DIRECTORY'!A:B,2,FALSE),""))</f>
        <v/>
      </c>
      <c r="H296" s="14">
        <v>810000.0</v>
      </c>
      <c r="I296" s="15"/>
      <c r="J296" s="37" t="s">
        <v>26</v>
      </c>
      <c r="K296" s="31" t="s">
        <v>761</v>
      </c>
      <c r="L296" s="6" t="s">
        <v>762</v>
      </c>
      <c r="M296" s="6"/>
      <c r="N296" s="6"/>
      <c r="O296" s="6"/>
      <c r="P296" s="6"/>
      <c r="Q296" s="6"/>
      <c r="R296" s="6"/>
    </row>
    <row r="297" ht="22.5" customHeight="1">
      <c r="A297" s="49"/>
      <c r="B297" s="36"/>
      <c r="C297" s="9">
        <v>46091.0</v>
      </c>
      <c r="D297" s="10" t="s">
        <v>763</v>
      </c>
      <c r="E297" s="11" t="s">
        <v>764</v>
      </c>
      <c r="F297" s="12" t="s">
        <v>765</v>
      </c>
      <c r="G297" s="13" t="s">
        <v>766</v>
      </c>
      <c r="H297" s="14">
        <v>118000.0</v>
      </c>
      <c r="I297" s="15">
        <v>118000.0</v>
      </c>
      <c r="J297" s="37" t="s">
        <v>26</v>
      </c>
      <c r="K297" s="31" t="s">
        <v>767</v>
      </c>
      <c r="L297" s="6" t="s">
        <v>768</v>
      </c>
      <c r="M297" s="6"/>
      <c r="N297" s="6"/>
      <c r="O297" s="6"/>
      <c r="P297" s="6"/>
      <c r="Q297" s="6"/>
      <c r="R297" s="6"/>
    </row>
    <row r="298" ht="22.5" customHeight="1">
      <c r="A298" s="49"/>
      <c r="B298" s="36"/>
      <c r="C298" s="9">
        <v>46091.0</v>
      </c>
      <c r="D298" s="10" t="s">
        <v>89</v>
      </c>
      <c r="E298" s="11" t="s">
        <v>769</v>
      </c>
      <c r="F298" s="43"/>
      <c r="G298" s="13" t="s">
        <v>91</v>
      </c>
      <c r="H298" s="14">
        <v>2500.0</v>
      </c>
      <c r="I298" s="15">
        <v>2500.0</v>
      </c>
      <c r="J298" s="37" t="s">
        <v>26</v>
      </c>
      <c r="K298" s="17"/>
      <c r="L298" s="6" t="s">
        <v>770</v>
      </c>
      <c r="M298" s="6"/>
      <c r="N298" s="6"/>
      <c r="O298" s="6"/>
      <c r="P298" s="6"/>
      <c r="Q298" s="6"/>
      <c r="R298" s="6"/>
    </row>
    <row r="299" ht="22.5" customHeight="1">
      <c r="A299" s="49"/>
      <c r="B299" s="36"/>
      <c r="C299" s="9">
        <v>46091.0</v>
      </c>
      <c r="D299" s="10" t="s">
        <v>105</v>
      </c>
      <c r="E299" s="11" t="s">
        <v>771</v>
      </c>
      <c r="F299" s="43"/>
      <c r="G299" s="13" t="str">
        <f>IF(LEN(TRIM(D299))=0,"",IFNA(VLOOKUP(UPPER(TRIM(D299)),'CLIENT DIRECTORY'!A:B,2,FALSE),""))</f>
        <v/>
      </c>
      <c r="H299" s="14">
        <v>5000.0</v>
      </c>
      <c r="I299" s="15"/>
      <c r="J299" s="37" t="s">
        <v>26</v>
      </c>
      <c r="K299" s="17"/>
      <c r="L299" s="6" t="s">
        <v>772</v>
      </c>
      <c r="M299" s="6"/>
      <c r="N299" s="6"/>
      <c r="O299" s="6"/>
      <c r="P299" s="6"/>
      <c r="Q299" s="6"/>
      <c r="R299" s="6"/>
    </row>
    <row r="300" ht="22.5" customHeight="1">
      <c r="A300" s="49"/>
      <c r="B300" s="36"/>
      <c r="C300" s="9">
        <v>46091.0</v>
      </c>
      <c r="D300" s="10" t="s">
        <v>70</v>
      </c>
      <c r="E300" s="11" t="s">
        <v>773</v>
      </c>
      <c r="F300" s="43"/>
      <c r="G300" s="13" t="s">
        <v>72</v>
      </c>
      <c r="H300" s="14">
        <v>2500.0</v>
      </c>
      <c r="I300" s="15"/>
      <c r="J300" s="37" t="s">
        <v>26</v>
      </c>
      <c r="K300" s="17"/>
      <c r="L300" s="6" t="s">
        <v>774</v>
      </c>
      <c r="M300" s="6"/>
      <c r="N300" s="6"/>
      <c r="O300" s="6"/>
      <c r="P300" s="6"/>
      <c r="Q300" s="6"/>
      <c r="R300" s="6"/>
    </row>
    <row r="301" ht="22.5" customHeight="1">
      <c r="A301" s="49"/>
      <c r="B301" s="36"/>
      <c r="C301" s="9">
        <v>46091.0</v>
      </c>
      <c r="D301" s="10" t="s">
        <v>339</v>
      </c>
      <c r="E301" s="11" t="s">
        <v>213</v>
      </c>
      <c r="F301" s="43"/>
      <c r="G301" s="13" t="s">
        <v>341</v>
      </c>
      <c r="H301" s="14">
        <v>2500.0</v>
      </c>
      <c r="I301" s="15"/>
      <c r="J301" s="37" t="s">
        <v>121</v>
      </c>
      <c r="K301" s="17"/>
      <c r="L301" s="6" t="s">
        <v>775</v>
      </c>
      <c r="M301" s="6"/>
      <c r="N301" s="6"/>
      <c r="O301" s="6"/>
      <c r="P301" s="6"/>
      <c r="Q301" s="6"/>
      <c r="R301" s="6"/>
    </row>
    <row r="302" ht="22.5" customHeight="1">
      <c r="A302" s="49"/>
      <c r="B302" s="36"/>
      <c r="C302" s="9">
        <v>46091.0</v>
      </c>
      <c r="D302" s="10" t="s">
        <v>339</v>
      </c>
      <c r="E302" s="11" t="s">
        <v>776</v>
      </c>
      <c r="F302" s="43"/>
      <c r="G302" s="13" t="s">
        <v>341</v>
      </c>
      <c r="H302" s="14">
        <v>2500.0</v>
      </c>
      <c r="I302" s="15"/>
      <c r="J302" s="37" t="s">
        <v>121</v>
      </c>
      <c r="K302" s="17"/>
      <c r="L302" s="6" t="s">
        <v>777</v>
      </c>
      <c r="M302" s="6"/>
      <c r="N302" s="6"/>
      <c r="O302" s="6"/>
      <c r="P302" s="6"/>
      <c r="Q302" s="6"/>
      <c r="R302" s="6"/>
    </row>
    <row r="303" ht="22.5" customHeight="1">
      <c r="A303" s="49"/>
      <c r="B303" s="36"/>
      <c r="C303" s="9">
        <v>46091.0</v>
      </c>
      <c r="D303" s="10" t="s">
        <v>221</v>
      </c>
      <c r="E303" s="11" t="s">
        <v>778</v>
      </c>
      <c r="F303" s="55" t="s">
        <v>394</v>
      </c>
      <c r="G303" s="28" t="s">
        <v>223</v>
      </c>
      <c r="H303" s="14">
        <v>760000.0</v>
      </c>
      <c r="I303" s="15"/>
      <c r="J303" s="37" t="s">
        <v>26</v>
      </c>
      <c r="K303" s="17"/>
      <c r="L303" s="6" t="s">
        <v>779</v>
      </c>
      <c r="M303" s="6"/>
      <c r="N303" s="6"/>
      <c r="O303" s="6"/>
      <c r="P303" s="6"/>
      <c r="Q303" s="6"/>
      <c r="R303" s="6"/>
    </row>
    <row r="304" ht="22.5" customHeight="1">
      <c r="A304" s="49"/>
      <c r="B304" s="36"/>
      <c r="C304" s="9">
        <v>46091.0</v>
      </c>
      <c r="D304" s="10" t="s">
        <v>64</v>
      </c>
      <c r="E304" s="11" t="s">
        <v>780</v>
      </c>
      <c r="F304" s="55" t="s">
        <v>781</v>
      </c>
      <c r="G304" s="27" t="s">
        <v>66</v>
      </c>
      <c r="H304" s="14">
        <v>960000.0</v>
      </c>
      <c r="I304" s="15"/>
      <c r="J304" s="37" t="s">
        <v>103</v>
      </c>
      <c r="K304" s="17"/>
      <c r="L304" s="6" t="s">
        <v>782</v>
      </c>
      <c r="M304" s="6"/>
      <c r="N304" s="6"/>
      <c r="O304" s="6"/>
      <c r="P304" s="6"/>
      <c r="Q304" s="6"/>
      <c r="R304" s="6"/>
    </row>
    <row r="305" ht="22.5" customHeight="1">
      <c r="A305" s="49"/>
      <c r="B305" s="36"/>
      <c r="C305" s="9">
        <v>46091.0</v>
      </c>
      <c r="D305" s="10" t="s">
        <v>254</v>
      </c>
      <c r="E305" s="11" t="s">
        <v>140</v>
      </c>
      <c r="F305" s="43"/>
      <c r="G305" s="13" t="s">
        <v>256</v>
      </c>
      <c r="H305" s="54"/>
      <c r="I305" s="38"/>
      <c r="J305" s="37" t="s">
        <v>140</v>
      </c>
      <c r="K305" s="17"/>
      <c r="L305" s="6" t="s">
        <v>783</v>
      </c>
      <c r="M305" s="6"/>
      <c r="N305" s="6"/>
      <c r="O305" s="6"/>
      <c r="P305" s="6"/>
      <c r="Q305" s="6"/>
      <c r="R305" s="6"/>
    </row>
    <row r="306" ht="22.5" customHeight="1">
      <c r="A306" s="49"/>
      <c r="B306" s="36"/>
      <c r="C306" s="9">
        <v>46091.0</v>
      </c>
      <c r="D306" s="10" t="s">
        <v>442</v>
      </c>
      <c r="E306" s="11" t="s">
        <v>784</v>
      </c>
      <c r="F306" s="43"/>
      <c r="G306" s="13" t="s">
        <v>210</v>
      </c>
      <c r="H306" s="14">
        <v>2500.0</v>
      </c>
      <c r="I306" s="15">
        <v>2500.0</v>
      </c>
      <c r="J306" s="37" t="s">
        <v>26</v>
      </c>
      <c r="K306" s="17"/>
      <c r="L306" s="6" t="s">
        <v>785</v>
      </c>
      <c r="M306" s="6"/>
      <c r="N306" s="6"/>
      <c r="O306" s="6"/>
      <c r="P306" s="6"/>
      <c r="Q306" s="6"/>
      <c r="R306" s="6"/>
    </row>
    <row r="307" ht="22.5" customHeight="1">
      <c r="A307" s="49"/>
      <c r="B307" s="36"/>
      <c r="C307" s="9">
        <v>46091.0</v>
      </c>
      <c r="D307" s="10" t="s">
        <v>173</v>
      </c>
      <c r="E307" s="11" t="s">
        <v>786</v>
      </c>
      <c r="F307" s="43"/>
      <c r="G307" s="14" t="s">
        <v>175</v>
      </c>
      <c r="H307" s="14">
        <v>2500.0</v>
      </c>
      <c r="I307" s="15"/>
      <c r="J307" s="37" t="s">
        <v>121</v>
      </c>
      <c r="K307" s="17"/>
      <c r="L307" s="6" t="s">
        <v>787</v>
      </c>
      <c r="M307" s="6"/>
      <c r="N307" s="6"/>
      <c r="O307" s="6"/>
      <c r="P307" s="6"/>
      <c r="Q307" s="6"/>
      <c r="R307" s="6"/>
    </row>
    <row r="308" ht="22.5" customHeight="1">
      <c r="A308" s="49"/>
      <c r="B308" s="36"/>
      <c r="C308" s="9">
        <v>46091.0</v>
      </c>
      <c r="D308" s="10" t="s">
        <v>788</v>
      </c>
      <c r="E308" s="11" t="s">
        <v>789</v>
      </c>
      <c r="F308" s="55" t="s">
        <v>790</v>
      </c>
      <c r="G308" s="27" t="str">
        <f>IF(LEN(TRIM(D308))=0,"",IFNA(VLOOKUP(UPPER(TRIM(D308)),'CLIENT DIRECTORY'!A:B,2,FALSE),""))</f>
        <v/>
      </c>
      <c r="H308" s="14">
        <v>240000.0</v>
      </c>
      <c r="I308" s="15"/>
      <c r="J308" s="37" t="s">
        <v>26</v>
      </c>
      <c r="K308" s="17"/>
      <c r="L308" s="6" t="s">
        <v>791</v>
      </c>
      <c r="M308" s="6"/>
      <c r="N308" s="6"/>
      <c r="O308" s="6"/>
      <c r="P308" s="6"/>
      <c r="Q308" s="6"/>
      <c r="R308" s="6"/>
    </row>
    <row r="309" ht="22.5" customHeight="1">
      <c r="A309" s="49"/>
      <c r="B309" s="36"/>
      <c r="C309" s="9">
        <v>46091.0</v>
      </c>
      <c r="D309" s="10" t="s">
        <v>485</v>
      </c>
      <c r="E309" s="11" t="s">
        <v>792</v>
      </c>
      <c r="F309" s="43"/>
      <c r="G309" s="13" t="s">
        <v>486</v>
      </c>
      <c r="H309" s="14">
        <v>2500.0</v>
      </c>
      <c r="I309" s="15"/>
      <c r="J309" s="37" t="s">
        <v>26</v>
      </c>
      <c r="K309" s="17"/>
      <c r="L309" s="6" t="s">
        <v>793</v>
      </c>
      <c r="M309" s="6"/>
      <c r="N309" s="6"/>
      <c r="O309" s="6"/>
      <c r="P309" s="6"/>
      <c r="Q309" s="6"/>
      <c r="R309" s="6"/>
    </row>
    <row r="310" ht="22.5" customHeight="1">
      <c r="A310" s="49"/>
      <c r="B310" s="36"/>
      <c r="C310" s="9">
        <v>46091.0</v>
      </c>
      <c r="D310" s="10" t="s">
        <v>442</v>
      </c>
      <c r="E310" s="11" t="s">
        <v>794</v>
      </c>
      <c r="F310" s="43"/>
      <c r="G310" s="13" t="s">
        <v>210</v>
      </c>
      <c r="H310" s="14">
        <v>2500.0</v>
      </c>
      <c r="I310" s="15">
        <v>2500.0</v>
      </c>
      <c r="J310" s="37" t="s">
        <v>26</v>
      </c>
      <c r="K310" s="17"/>
      <c r="L310" s="6" t="s">
        <v>795</v>
      </c>
      <c r="M310" s="6"/>
      <c r="N310" s="6"/>
      <c r="O310" s="6"/>
      <c r="P310" s="6"/>
      <c r="Q310" s="6"/>
      <c r="R310" s="6"/>
    </row>
    <row r="311" ht="22.5" customHeight="1">
      <c r="A311" s="49"/>
      <c r="B311" s="36"/>
      <c r="C311" s="39">
        <v>46091.0</v>
      </c>
      <c r="D311" s="10" t="s">
        <v>796</v>
      </c>
      <c r="E311" s="11" t="s">
        <v>797</v>
      </c>
      <c r="F311" s="12" t="s">
        <v>798</v>
      </c>
      <c r="G311" s="13" t="s">
        <v>25</v>
      </c>
      <c r="H311" s="14">
        <v>1170000.0</v>
      </c>
      <c r="I311" s="15"/>
      <c r="J311" s="37" t="s">
        <v>26</v>
      </c>
      <c r="K311" s="17"/>
      <c r="L311" s="6" t="s">
        <v>799</v>
      </c>
      <c r="M311" s="6"/>
      <c r="N311" s="6"/>
      <c r="O311" s="6"/>
      <c r="P311" s="6"/>
      <c r="Q311" s="6"/>
      <c r="R311" s="6"/>
    </row>
    <row r="312" ht="22.5" customHeight="1">
      <c r="A312" s="49"/>
      <c r="B312" s="36"/>
      <c r="C312" s="9">
        <v>46091.0</v>
      </c>
      <c r="D312" s="10" t="s">
        <v>485</v>
      </c>
      <c r="E312" s="11" t="s">
        <v>665</v>
      </c>
      <c r="F312" s="43"/>
      <c r="G312" s="13" t="s">
        <v>486</v>
      </c>
      <c r="H312" s="14">
        <v>2500.0</v>
      </c>
      <c r="I312" s="15"/>
      <c r="J312" s="37" t="s">
        <v>26</v>
      </c>
      <c r="K312" s="17"/>
      <c r="L312" s="6" t="s">
        <v>800</v>
      </c>
      <c r="M312" s="6"/>
      <c r="N312" s="6"/>
      <c r="O312" s="6"/>
      <c r="P312" s="6"/>
      <c r="Q312" s="6"/>
      <c r="R312" s="6"/>
    </row>
    <row r="313" ht="22.5" customHeight="1">
      <c r="A313" s="49"/>
      <c r="B313" s="36"/>
      <c r="C313" s="35" t="s">
        <v>508</v>
      </c>
      <c r="D313" s="10" t="s">
        <v>508</v>
      </c>
      <c r="E313" s="11" t="s">
        <v>195</v>
      </c>
      <c r="F313" s="12" t="s">
        <v>195</v>
      </c>
      <c r="G313" s="13" t="str">
        <f>IF(LEN(TRIM(D313))=0,"",IFNA(VLOOKUP(UPPER(TRIM(D313)),'CLIENT DIRECTORY'!A:B,2,FALSE),""))</f>
        <v/>
      </c>
      <c r="H313" s="14" t="s">
        <v>508</v>
      </c>
      <c r="I313" s="15"/>
      <c r="J313" s="37" t="s">
        <v>140</v>
      </c>
      <c r="K313" s="17"/>
      <c r="L313" s="6" t="s">
        <v>801</v>
      </c>
      <c r="M313" s="6"/>
      <c r="N313" s="6"/>
      <c r="O313" s="6"/>
      <c r="P313" s="6"/>
      <c r="Q313" s="6"/>
      <c r="R313" s="6"/>
    </row>
    <row r="314" ht="22.5" customHeight="1">
      <c r="A314" s="49"/>
      <c r="B314" s="36"/>
      <c r="C314" s="35" t="s">
        <v>508</v>
      </c>
      <c r="D314" s="10" t="s">
        <v>508</v>
      </c>
      <c r="E314" s="11" t="s">
        <v>195</v>
      </c>
      <c r="F314" s="12" t="s">
        <v>195</v>
      </c>
      <c r="G314" s="13" t="str">
        <f>IF(LEN(TRIM(D314))=0,"",IFNA(VLOOKUP(UPPER(TRIM(D314)),'CLIENT DIRECTORY'!A:B,2,FALSE),""))</f>
        <v/>
      </c>
      <c r="H314" s="14" t="s">
        <v>508</v>
      </c>
      <c r="I314" s="15"/>
      <c r="J314" s="37" t="s">
        <v>140</v>
      </c>
      <c r="K314" s="17"/>
      <c r="L314" s="6" t="s">
        <v>802</v>
      </c>
      <c r="M314" s="6"/>
      <c r="N314" s="6"/>
      <c r="O314" s="6"/>
      <c r="P314" s="6"/>
      <c r="Q314" s="6"/>
      <c r="R314" s="6"/>
    </row>
    <row r="315" ht="22.5" customHeight="1">
      <c r="A315" s="49"/>
      <c r="B315" s="36"/>
      <c r="C315" s="35" t="s">
        <v>508</v>
      </c>
      <c r="D315" s="10" t="s">
        <v>508</v>
      </c>
      <c r="E315" s="11" t="s">
        <v>195</v>
      </c>
      <c r="F315" s="12" t="s">
        <v>195</v>
      </c>
      <c r="G315" s="13" t="str">
        <f>IF(LEN(TRIM(D315))=0,"",IFNA(VLOOKUP(UPPER(TRIM(D315)),'CLIENT DIRECTORY'!A:B,2,FALSE),""))</f>
        <v/>
      </c>
      <c r="H315" s="14" t="s">
        <v>508</v>
      </c>
      <c r="I315" s="15"/>
      <c r="J315" s="37" t="s">
        <v>140</v>
      </c>
      <c r="K315" s="17"/>
      <c r="L315" s="6" t="s">
        <v>803</v>
      </c>
      <c r="M315" s="6"/>
      <c r="N315" s="6"/>
      <c r="O315" s="6"/>
      <c r="P315" s="6"/>
      <c r="Q315" s="6"/>
      <c r="R315" s="6"/>
    </row>
    <row r="316" ht="22.5" customHeight="1">
      <c r="A316" s="49"/>
      <c r="B316" s="36"/>
      <c r="C316" s="35" t="s">
        <v>508</v>
      </c>
      <c r="D316" s="10" t="s">
        <v>508</v>
      </c>
      <c r="E316" s="11" t="s">
        <v>195</v>
      </c>
      <c r="F316" s="12" t="s">
        <v>195</v>
      </c>
      <c r="G316" s="13" t="str">
        <f>IF(LEN(TRIM(D316))=0,"",IFNA(VLOOKUP(UPPER(TRIM(D316)),'CLIENT DIRECTORY'!A:B,2,FALSE),""))</f>
        <v/>
      </c>
      <c r="H316" s="14" t="s">
        <v>508</v>
      </c>
      <c r="I316" s="15"/>
      <c r="J316" s="37" t="s">
        <v>140</v>
      </c>
      <c r="K316" s="17"/>
      <c r="L316" s="6" t="s">
        <v>804</v>
      </c>
      <c r="M316" s="6"/>
      <c r="N316" s="6"/>
      <c r="O316" s="6"/>
      <c r="P316" s="6"/>
      <c r="Q316" s="6"/>
      <c r="R316" s="6"/>
    </row>
    <row r="317" ht="22.5" customHeight="1">
      <c r="A317" s="49"/>
      <c r="B317" s="36"/>
      <c r="C317" s="9">
        <v>46092.0</v>
      </c>
      <c r="D317" s="10" t="s">
        <v>805</v>
      </c>
      <c r="E317" s="11" t="s">
        <v>277</v>
      </c>
      <c r="F317" s="43"/>
      <c r="G317" s="13" t="str">
        <f>IF(LEN(TRIM(D317))=0,"",IFNA(VLOOKUP(UPPER(TRIM(D317)),'CLIENT DIRECTORY'!A:B,2,FALSE),""))</f>
        <v/>
      </c>
      <c r="H317" s="14">
        <v>2500.0</v>
      </c>
      <c r="I317" s="15"/>
      <c r="J317" s="37" t="s">
        <v>26</v>
      </c>
      <c r="K317" s="17"/>
      <c r="L317" s="6" t="s">
        <v>806</v>
      </c>
      <c r="M317" s="6"/>
      <c r="N317" s="6"/>
      <c r="O317" s="6"/>
      <c r="P317" s="6"/>
      <c r="Q317" s="6"/>
      <c r="R317" s="6"/>
    </row>
    <row r="318" ht="22.5" customHeight="1">
      <c r="A318" s="49"/>
      <c r="B318" s="36"/>
      <c r="C318" s="9">
        <v>46092.0</v>
      </c>
      <c r="D318" s="10" t="s">
        <v>807</v>
      </c>
      <c r="E318" s="11" t="s">
        <v>808</v>
      </c>
      <c r="F318" s="12" t="s">
        <v>809</v>
      </c>
      <c r="G318" s="13" t="str">
        <f>IF(LEN(TRIM(D318))=0,"",IFNA(VLOOKUP(UPPER(TRIM(D318)),'CLIENT DIRECTORY'!A:B,2,FALSE),""))</f>
        <v/>
      </c>
      <c r="H318" s="14">
        <v>610000.0</v>
      </c>
      <c r="I318" s="15">
        <v>610000.0</v>
      </c>
      <c r="J318" s="37" t="s">
        <v>26</v>
      </c>
      <c r="K318" s="17"/>
      <c r="L318" s="6" t="s">
        <v>810</v>
      </c>
      <c r="M318" s="6"/>
      <c r="N318" s="6"/>
      <c r="O318" s="6"/>
      <c r="P318" s="6"/>
      <c r="Q318" s="6"/>
      <c r="R318" s="6"/>
    </row>
    <row r="319" ht="22.5" customHeight="1">
      <c r="A319" s="49"/>
      <c r="B319" s="36"/>
      <c r="C319" s="9">
        <v>46092.0</v>
      </c>
      <c r="D319" s="10" t="s">
        <v>664</v>
      </c>
      <c r="E319" s="11" t="s">
        <v>811</v>
      </c>
      <c r="F319" s="43"/>
      <c r="G319" s="13" t="s">
        <v>666</v>
      </c>
      <c r="H319" s="14">
        <v>2500.0</v>
      </c>
      <c r="I319" s="15">
        <v>2500.0</v>
      </c>
      <c r="J319" s="37" t="s">
        <v>21</v>
      </c>
      <c r="K319" s="17"/>
      <c r="L319" s="6" t="s">
        <v>812</v>
      </c>
      <c r="M319" s="6"/>
      <c r="N319" s="6"/>
      <c r="O319" s="6"/>
      <c r="P319" s="6"/>
      <c r="Q319" s="6"/>
      <c r="R319" s="6"/>
    </row>
    <row r="320" ht="22.5" customHeight="1">
      <c r="A320" s="49"/>
      <c r="B320" s="36"/>
      <c r="C320" s="9">
        <v>46092.0</v>
      </c>
      <c r="D320" s="10" t="s">
        <v>813</v>
      </c>
      <c r="E320" s="11" t="s">
        <v>814</v>
      </c>
      <c r="F320" s="12" t="s">
        <v>815</v>
      </c>
      <c r="G320" s="13" t="str">
        <f>IF(LEN(TRIM(D320))=0,"",IFNA(VLOOKUP(UPPER(TRIM(D320)),'CLIENT DIRECTORY'!A:B,2,FALSE),""))</f>
        <v/>
      </c>
      <c r="H320" s="14">
        <v>70000.0</v>
      </c>
      <c r="I320" s="15"/>
      <c r="J320" s="37" t="s">
        <v>26</v>
      </c>
      <c r="K320" s="17"/>
      <c r="L320" s="6" t="s">
        <v>816</v>
      </c>
      <c r="M320" s="6"/>
      <c r="N320" s="6"/>
      <c r="O320" s="6"/>
      <c r="P320" s="6"/>
      <c r="Q320" s="6"/>
      <c r="R320" s="6"/>
    </row>
    <row r="321" ht="22.5" customHeight="1">
      <c r="A321" s="49"/>
      <c r="B321" s="36"/>
      <c r="C321" s="9">
        <v>46092.0</v>
      </c>
      <c r="D321" s="10" t="s">
        <v>105</v>
      </c>
      <c r="E321" s="11" t="s">
        <v>817</v>
      </c>
      <c r="F321" s="12" t="s">
        <v>818</v>
      </c>
      <c r="G321" s="13" t="str">
        <f>IF(LEN(TRIM(D321))=0,"",IFNA(VLOOKUP(UPPER(TRIM(D321)),'CLIENT DIRECTORY'!A:B,2,FALSE),""))</f>
        <v/>
      </c>
      <c r="H321" s="14">
        <v>610000.0</v>
      </c>
      <c r="I321" s="15">
        <v>610000.0</v>
      </c>
      <c r="J321" s="37" t="s">
        <v>103</v>
      </c>
      <c r="K321" s="17"/>
      <c r="L321" s="6" t="s">
        <v>819</v>
      </c>
      <c r="M321" s="6"/>
      <c r="N321" s="6"/>
      <c r="O321" s="6"/>
      <c r="P321" s="6"/>
      <c r="Q321" s="6"/>
      <c r="R321" s="6"/>
    </row>
    <row r="322" ht="22.5" customHeight="1">
      <c r="A322" s="49"/>
      <c r="B322" s="36"/>
      <c r="C322" s="9">
        <v>46092.0</v>
      </c>
      <c r="D322" s="10" t="s">
        <v>820</v>
      </c>
      <c r="E322" s="11" t="s">
        <v>821</v>
      </c>
      <c r="F322" s="55" t="s">
        <v>822</v>
      </c>
      <c r="G322" s="27" t="str">
        <f>IF(LEN(TRIM(D322))=0,"",IFNA(VLOOKUP(UPPER(TRIM(D322)),'CLIENT DIRECTORY'!A:B,2,FALSE),""))</f>
        <v/>
      </c>
      <c r="H322" s="14">
        <v>465000.0</v>
      </c>
      <c r="I322" s="15">
        <v>465000.0</v>
      </c>
      <c r="J322" s="37" t="s">
        <v>26</v>
      </c>
      <c r="K322" s="17"/>
      <c r="L322" s="6" t="s">
        <v>823</v>
      </c>
      <c r="M322" s="6"/>
      <c r="N322" s="6"/>
      <c r="O322" s="6"/>
      <c r="P322" s="6"/>
      <c r="Q322" s="6"/>
      <c r="R322" s="6"/>
    </row>
    <row r="323" ht="22.5" customHeight="1">
      <c r="A323" s="49"/>
      <c r="B323" s="36"/>
      <c r="C323" s="9">
        <v>46092.0</v>
      </c>
      <c r="D323" s="10" t="s">
        <v>60</v>
      </c>
      <c r="E323" s="11" t="s">
        <v>824</v>
      </c>
      <c r="F323" s="43"/>
      <c r="G323" s="13" t="s">
        <v>62</v>
      </c>
      <c r="H323" s="14">
        <v>2500.0</v>
      </c>
      <c r="I323" s="15">
        <v>2500.0</v>
      </c>
      <c r="J323" s="37" t="s">
        <v>26</v>
      </c>
      <c r="K323" s="17"/>
      <c r="L323" s="6" t="s">
        <v>825</v>
      </c>
      <c r="M323" s="6"/>
      <c r="N323" s="6"/>
      <c r="O323" s="6"/>
      <c r="P323" s="6"/>
      <c r="Q323" s="6"/>
      <c r="R323" s="6"/>
    </row>
    <row r="324" ht="22.5" customHeight="1">
      <c r="A324" s="49"/>
      <c r="B324" s="36"/>
      <c r="C324" s="9">
        <v>46092.0</v>
      </c>
      <c r="D324" s="10" t="s">
        <v>473</v>
      </c>
      <c r="E324" s="11" t="s">
        <v>826</v>
      </c>
      <c r="F324" s="43"/>
      <c r="G324" s="13" t="s">
        <v>475</v>
      </c>
      <c r="H324" s="14">
        <v>2500.0</v>
      </c>
      <c r="I324" s="15">
        <v>0.0</v>
      </c>
      <c r="J324" s="37" t="s">
        <v>103</v>
      </c>
      <c r="K324" s="17"/>
      <c r="L324" s="6" t="s">
        <v>827</v>
      </c>
      <c r="M324" s="6"/>
      <c r="N324" s="6"/>
      <c r="O324" s="6"/>
      <c r="P324" s="6"/>
      <c r="Q324" s="6"/>
      <c r="R324" s="6"/>
    </row>
    <row r="325" ht="22.5" customHeight="1">
      <c r="A325" s="49"/>
      <c r="B325" s="36"/>
      <c r="C325" s="9">
        <v>46092.0</v>
      </c>
      <c r="D325" s="10" t="s">
        <v>828</v>
      </c>
      <c r="E325" s="11" t="s">
        <v>829</v>
      </c>
      <c r="F325" s="43"/>
      <c r="G325" s="13" t="s">
        <v>830</v>
      </c>
      <c r="H325" s="14">
        <v>10000.0</v>
      </c>
      <c r="I325" s="15">
        <v>0.0</v>
      </c>
      <c r="J325" s="37" t="s">
        <v>103</v>
      </c>
      <c r="K325" s="17"/>
      <c r="L325" s="6" t="s">
        <v>831</v>
      </c>
      <c r="M325" s="6"/>
      <c r="N325" s="6"/>
      <c r="O325" s="6"/>
      <c r="P325" s="6"/>
      <c r="Q325" s="6"/>
      <c r="R325" s="6"/>
    </row>
    <row r="326" ht="22.5" customHeight="1">
      <c r="A326" s="49"/>
      <c r="B326" s="36"/>
      <c r="C326" s="35" t="s">
        <v>508</v>
      </c>
      <c r="D326" s="10" t="s">
        <v>508</v>
      </c>
      <c r="E326" s="11" t="s">
        <v>195</v>
      </c>
      <c r="F326" s="12" t="s">
        <v>195</v>
      </c>
      <c r="G326" s="13" t="str">
        <f>IF(LEN(TRIM(D326))=0,"",IFNA(VLOOKUP(UPPER(TRIM(D326)),'CLIENT DIRECTORY'!A:B,2,FALSE),""))</f>
        <v/>
      </c>
      <c r="H326" s="14" t="s">
        <v>508</v>
      </c>
      <c r="I326" s="15"/>
      <c r="J326" s="37" t="s">
        <v>140</v>
      </c>
      <c r="K326" s="17"/>
      <c r="L326" s="6" t="s">
        <v>832</v>
      </c>
      <c r="M326" s="6"/>
      <c r="N326" s="6"/>
      <c r="O326" s="6"/>
      <c r="P326" s="6"/>
      <c r="Q326" s="6"/>
      <c r="R326" s="6"/>
    </row>
    <row r="327" ht="22.5" customHeight="1">
      <c r="A327" s="49"/>
      <c r="B327" s="36"/>
      <c r="C327" s="35" t="s">
        <v>508</v>
      </c>
      <c r="D327" s="10" t="s">
        <v>508</v>
      </c>
      <c r="E327" s="11" t="s">
        <v>195</v>
      </c>
      <c r="F327" s="12" t="s">
        <v>195</v>
      </c>
      <c r="G327" s="13" t="str">
        <f>IF(LEN(TRIM(D327))=0,"",IFNA(VLOOKUP(UPPER(TRIM(D327)),'CLIENT DIRECTORY'!A:B,2,FALSE),""))</f>
        <v/>
      </c>
      <c r="H327" s="14" t="s">
        <v>508</v>
      </c>
      <c r="I327" s="15"/>
      <c r="J327" s="37" t="s">
        <v>140</v>
      </c>
      <c r="K327" s="17"/>
      <c r="L327" s="6" t="s">
        <v>833</v>
      </c>
      <c r="M327" s="6"/>
      <c r="N327" s="6"/>
      <c r="O327" s="6"/>
      <c r="P327" s="6"/>
      <c r="Q327" s="6"/>
      <c r="R327" s="6"/>
    </row>
    <row r="328" ht="22.5" customHeight="1">
      <c r="A328" s="49"/>
      <c r="B328" s="36"/>
      <c r="C328" s="35" t="s">
        <v>508</v>
      </c>
      <c r="D328" s="10" t="s">
        <v>508</v>
      </c>
      <c r="E328" s="11" t="s">
        <v>195</v>
      </c>
      <c r="F328" s="12" t="s">
        <v>195</v>
      </c>
      <c r="G328" s="13" t="str">
        <f>IF(LEN(TRIM(D328))=0,"",IFNA(VLOOKUP(UPPER(TRIM(D328)),'CLIENT DIRECTORY'!A:B,2,FALSE),""))</f>
        <v/>
      </c>
      <c r="H328" s="14" t="s">
        <v>508</v>
      </c>
      <c r="I328" s="15"/>
      <c r="J328" s="37" t="s">
        <v>140</v>
      </c>
      <c r="K328" s="17"/>
      <c r="L328" s="6" t="s">
        <v>834</v>
      </c>
      <c r="M328" s="6"/>
      <c r="N328" s="6"/>
      <c r="O328" s="6"/>
      <c r="P328" s="6"/>
      <c r="Q328" s="6"/>
      <c r="R328" s="6"/>
    </row>
    <row r="329" ht="22.5" customHeight="1">
      <c r="A329" s="49"/>
      <c r="B329" s="36"/>
      <c r="C329" s="35" t="s">
        <v>508</v>
      </c>
      <c r="D329" s="10" t="s">
        <v>508</v>
      </c>
      <c r="E329" s="11" t="s">
        <v>195</v>
      </c>
      <c r="F329" s="12" t="s">
        <v>195</v>
      </c>
      <c r="G329" s="13" t="str">
        <f>IF(LEN(TRIM(D329))=0,"",IFNA(VLOOKUP(UPPER(TRIM(D329)),'CLIENT DIRECTORY'!A:B,2,FALSE),""))</f>
        <v/>
      </c>
      <c r="H329" s="14" t="s">
        <v>508</v>
      </c>
      <c r="I329" s="15"/>
      <c r="J329" s="37" t="s">
        <v>140</v>
      </c>
      <c r="K329" s="17"/>
      <c r="L329" s="6" t="s">
        <v>835</v>
      </c>
      <c r="M329" s="6"/>
      <c r="N329" s="6"/>
      <c r="O329" s="6"/>
      <c r="P329" s="6"/>
      <c r="Q329" s="6"/>
      <c r="R329" s="6"/>
    </row>
    <row r="330" ht="22.5" customHeight="1">
      <c r="A330" s="49"/>
      <c r="B330" s="36"/>
      <c r="C330" s="9">
        <v>46093.0</v>
      </c>
      <c r="D330" s="10" t="s">
        <v>741</v>
      </c>
      <c r="E330" s="11" t="s">
        <v>836</v>
      </c>
      <c r="F330" s="43"/>
      <c r="G330" s="13" t="s">
        <v>743</v>
      </c>
      <c r="H330" s="14">
        <v>195000.0</v>
      </c>
      <c r="I330" s="15">
        <v>0.0</v>
      </c>
      <c r="J330" s="37" t="s">
        <v>103</v>
      </c>
      <c r="K330" s="17"/>
      <c r="L330" s="6" t="s">
        <v>837</v>
      </c>
      <c r="M330" s="6"/>
      <c r="N330" s="6"/>
      <c r="O330" s="6"/>
      <c r="P330" s="6"/>
      <c r="Q330" s="6"/>
      <c r="R330" s="6"/>
    </row>
    <row r="331" ht="22.5" customHeight="1">
      <c r="A331" s="49"/>
      <c r="B331" s="36"/>
      <c r="C331" s="9">
        <v>46093.0</v>
      </c>
      <c r="D331" s="10" t="s">
        <v>23</v>
      </c>
      <c r="E331" s="11" t="s">
        <v>838</v>
      </c>
      <c r="F331" s="43"/>
      <c r="G331" s="13" t="s">
        <v>25</v>
      </c>
      <c r="H331" s="14">
        <v>2500.0</v>
      </c>
      <c r="I331" s="15">
        <v>0.0</v>
      </c>
      <c r="J331" s="37" t="s">
        <v>26</v>
      </c>
      <c r="K331" s="17"/>
      <c r="L331" s="6" t="s">
        <v>839</v>
      </c>
      <c r="M331" s="6"/>
      <c r="N331" s="6"/>
      <c r="O331" s="6"/>
      <c r="P331" s="6"/>
      <c r="Q331" s="6"/>
      <c r="R331" s="6"/>
    </row>
    <row r="332" ht="22.5" customHeight="1">
      <c r="A332" s="49"/>
      <c r="B332" s="36"/>
      <c r="C332" s="9">
        <v>46093.0</v>
      </c>
      <c r="D332" s="10" t="s">
        <v>54</v>
      </c>
      <c r="E332" s="11" t="s">
        <v>840</v>
      </c>
      <c r="F332" s="43"/>
      <c r="G332" s="13" t="s">
        <v>56</v>
      </c>
      <c r="H332" s="14">
        <v>960000.0</v>
      </c>
      <c r="I332" s="38"/>
      <c r="J332" s="37" t="s">
        <v>103</v>
      </c>
      <c r="K332" s="17"/>
      <c r="L332" s="6" t="s">
        <v>841</v>
      </c>
      <c r="M332" s="6"/>
      <c r="N332" s="6"/>
      <c r="O332" s="6"/>
      <c r="P332" s="6"/>
      <c r="Q332" s="6"/>
      <c r="R332" s="6"/>
    </row>
    <row r="333" ht="22.5" customHeight="1">
      <c r="A333" s="49"/>
      <c r="B333" s="36"/>
      <c r="C333" s="9">
        <v>46093.0</v>
      </c>
      <c r="D333" s="10" t="s">
        <v>248</v>
      </c>
      <c r="E333" s="11" t="s">
        <v>842</v>
      </c>
      <c r="F333" s="43"/>
      <c r="G333" s="13" t="s">
        <v>250</v>
      </c>
      <c r="H333" s="14">
        <v>2500.0</v>
      </c>
      <c r="I333" s="15">
        <v>2500.0</v>
      </c>
      <c r="J333" s="37" t="s">
        <v>26</v>
      </c>
      <c r="K333" s="17"/>
      <c r="L333" s="6" t="s">
        <v>843</v>
      </c>
      <c r="M333" s="6"/>
      <c r="N333" s="6"/>
      <c r="O333" s="6"/>
      <c r="P333" s="6"/>
      <c r="Q333" s="6"/>
      <c r="R333" s="6"/>
    </row>
    <row r="334" ht="22.5" customHeight="1">
      <c r="A334" s="49"/>
      <c r="B334" s="36"/>
      <c r="C334" s="9">
        <v>46093.0</v>
      </c>
      <c r="D334" s="10" t="s">
        <v>605</v>
      </c>
      <c r="E334" s="11" t="s">
        <v>844</v>
      </c>
      <c r="F334" s="43"/>
      <c r="G334" s="13" t="s">
        <v>608</v>
      </c>
      <c r="H334" s="14">
        <v>10000.0</v>
      </c>
      <c r="I334" s="15">
        <v>10000.0</v>
      </c>
      <c r="J334" s="37" t="s">
        <v>21</v>
      </c>
      <c r="K334" s="17"/>
      <c r="L334" s="6" t="s">
        <v>845</v>
      </c>
      <c r="M334" s="6"/>
      <c r="N334" s="6"/>
      <c r="O334" s="6"/>
      <c r="P334" s="6"/>
      <c r="Q334" s="6"/>
      <c r="R334" s="6"/>
    </row>
    <row r="335" ht="22.5" customHeight="1">
      <c r="A335" s="49"/>
      <c r="B335" s="36"/>
      <c r="C335" s="9">
        <v>46093.0</v>
      </c>
      <c r="D335" s="10" t="s">
        <v>445</v>
      </c>
      <c r="E335" s="11" t="s">
        <v>846</v>
      </c>
      <c r="F335" s="43"/>
      <c r="G335" s="13" t="s">
        <v>447</v>
      </c>
      <c r="H335" s="14">
        <v>2500.0</v>
      </c>
      <c r="I335" s="15">
        <v>2500.0</v>
      </c>
      <c r="J335" s="37" t="s">
        <v>26</v>
      </c>
      <c r="K335" s="17"/>
      <c r="L335" s="6" t="s">
        <v>847</v>
      </c>
      <c r="M335" s="6"/>
      <c r="N335" s="6"/>
      <c r="O335" s="6"/>
      <c r="P335" s="6"/>
      <c r="Q335" s="6"/>
      <c r="R335" s="6"/>
    </row>
    <row r="336" ht="22.5" customHeight="1">
      <c r="A336" s="49"/>
      <c r="B336" s="36"/>
      <c r="C336" s="9">
        <v>46093.0</v>
      </c>
      <c r="D336" s="10" t="s">
        <v>105</v>
      </c>
      <c r="E336" s="11" t="s">
        <v>817</v>
      </c>
      <c r="F336" s="12" t="s">
        <v>818</v>
      </c>
      <c r="G336" s="13" t="str">
        <f>IF(LEN(TRIM(D336))=0,"",IFNA(VLOOKUP(UPPER(TRIM(D336)),'CLIENT DIRECTORY'!A:B,2,FALSE),""))</f>
        <v/>
      </c>
      <c r="H336" s="14">
        <v>760000.0</v>
      </c>
      <c r="I336" s="15">
        <v>760000.0</v>
      </c>
      <c r="J336" s="37" t="s">
        <v>26</v>
      </c>
      <c r="K336" s="17"/>
      <c r="L336" s="6" t="s">
        <v>848</v>
      </c>
      <c r="M336" s="6"/>
      <c r="N336" s="6"/>
      <c r="O336" s="6"/>
      <c r="P336" s="6"/>
      <c r="Q336" s="6"/>
      <c r="R336" s="6"/>
    </row>
    <row r="337" ht="22.5" customHeight="1">
      <c r="A337" s="49"/>
      <c r="B337" s="36"/>
      <c r="C337" s="9">
        <v>46093.0</v>
      </c>
      <c r="D337" s="10" t="s">
        <v>719</v>
      </c>
      <c r="E337" s="11" t="s">
        <v>849</v>
      </c>
      <c r="F337" s="43"/>
      <c r="G337" s="13" t="str">
        <f>IF(LEN(TRIM(D337))=0,"",IFNA(VLOOKUP(UPPER(TRIM(D337)),'CLIENT DIRECTORY'!A:B,2,FALSE),""))</f>
        <v/>
      </c>
      <c r="H337" s="14">
        <v>3000.0</v>
      </c>
      <c r="I337" s="15">
        <v>3000.0</v>
      </c>
      <c r="J337" s="37" t="s">
        <v>26</v>
      </c>
      <c r="K337" s="17"/>
      <c r="L337" s="6" t="s">
        <v>850</v>
      </c>
      <c r="M337" s="6"/>
      <c r="N337" s="6"/>
      <c r="O337" s="6"/>
      <c r="P337" s="6"/>
      <c r="Q337" s="6"/>
      <c r="R337" s="6"/>
    </row>
    <row r="338" ht="22.5" customHeight="1">
      <c r="A338" s="49"/>
      <c r="B338" s="36"/>
      <c r="C338" s="9">
        <v>46093.0</v>
      </c>
      <c r="D338" s="10" t="s">
        <v>851</v>
      </c>
      <c r="E338" s="11" t="s">
        <v>852</v>
      </c>
      <c r="F338" s="43"/>
      <c r="G338" s="13" t="s">
        <v>853</v>
      </c>
      <c r="H338" s="14">
        <v>3000.0</v>
      </c>
      <c r="I338" s="15">
        <v>3000.0</v>
      </c>
      <c r="J338" s="37" t="s">
        <v>26</v>
      </c>
      <c r="K338" s="17"/>
      <c r="L338" s="6" t="s">
        <v>854</v>
      </c>
      <c r="M338" s="6"/>
      <c r="N338" s="6"/>
      <c r="O338" s="6"/>
      <c r="P338" s="6"/>
      <c r="Q338" s="6"/>
      <c r="R338" s="6"/>
    </row>
    <row r="339" ht="22.5" customHeight="1">
      <c r="A339" s="49"/>
      <c r="B339" s="36"/>
      <c r="C339" s="9">
        <v>46093.0</v>
      </c>
      <c r="D339" s="10" t="s">
        <v>855</v>
      </c>
      <c r="E339" s="11" t="s">
        <v>856</v>
      </c>
      <c r="F339" s="43"/>
      <c r="G339" s="13" t="s">
        <v>857</v>
      </c>
      <c r="H339" s="14">
        <v>340000.0</v>
      </c>
      <c r="I339" s="15">
        <v>340000.0</v>
      </c>
      <c r="J339" s="37" t="s">
        <v>26</v>
      </c>
      <c r="K339" s="17"/>
      <c r="L339" s="6" t="s">
        <v>858</v>
      </c>
      <c r="M339" s="6"/>
      <c r="N339" s="6"/>
      <c r="O339" s="6"/>
      <c r="P339" s="6"/>
      <c r="Q339" s="6"/>
      <c r="R339" s="6"/>
    </row>
    <row r="340" ht="22.5" customHeight="1">
      <c r="A340" s="49"/>
      <c r="B340" s="36"/>
      <c r="C340" s="9">
        <v>46093.0</v>
      </c>
      <c r="D340" s="10" t="s">
        <v>46</v>
      </c>
      <c r="E340" s="11" t="s">
        <v>859</v>
      </c>
      <c r="F340" s="43"/>
      <c r="G340" s="13" t="s">
        <v>48</v>
      </c>
      <c r="H340" s="14">
        <v>2500.0</v>
      </c>
      <c r="I340" s="15">
        <v>2500.0</v>
      </c>
      <c r="J340" s="37" t="s">
        <v>26</v>
      </c>
      <c r="K340" s="17"/>
      <c r="L340" s="6" t="s">
        <v>860</v>
      </c>
      <c r="M340" s="6"/>
      <c r="N340" s="6"/>
      <c r="O340" s="6"/>
      <c r="P340" s="6"/>
      <c r="Q340" s="6"/>
      <c r="R340" s="6"/>
    </row>
    <row r="341" ht="22.5" customHeight="1">
      <c r="A341" s="49"/>
      <c r="B341" s="36"/>
      <c r="C341" s="9">
        <v>46093.0</v>
      </c>
      <c r="D341" s="10" t="s">
        <v>861</v>
      </c>
      <c r="E341" s="11" t="s">
        <v>862</v>
      </c>
      <c r="F341" s="12" t="s">
        <v>863</v>
      </c>
      <c r="G341" s="13" t="str">
        <f>IF(LEN(TRIM(D341))=0,"",IFNA(VLOOKUP(UPPER(TRIM(D341)),'CLIENT DIRECTORY'!A:B,2,FALSE),""))</f>
        <v/>
      </c>
      <c r="H341" s="14" t="s">
        <v>863</v>
      </c>
      <c r="I341" s="15" t="s">
        <v>864</v>
      </c>
      <c r="J341" s="37" t="s">
        <v>864</v>
      </c>
      <c r="K341" s="17"/>
      <c r="L341" s="6" t="s">
        <v>865</v>
      </c>
      <c r="M341" s="6"/>
      <c r="N341" s="6"/>
      <c r="O341" s="6"/>
      <c r="P341" s="6"/>
      <c r="Q341" s="6"/>
      <c r="R341" s="6"/>
    </row>
    <row r="342" ht="22.5" customHeight="1">
      <c r="A342" s="49"/>
      <c r="B342" s="36"/>
      <c r="C342" s="35" t="s">
        <v>864</v>
      </c>
      <c r="D342" s="10" t="s">
        <v>863</v>
      </c>
      <c r="E342" s="11" t="s">
        <v>863</v>
      </c>
      <c r="F342" s="12" t="s">
        <v>863</v>
      </c>
      <c r="G342" s="13" t="str">
        <f>IF(LEN(TRIM(D342))=0,"",IFNA(VLOOKUP(UPPER(TRIM(D342)),'CLIENT DIRECTORY'!A:B,2,FALSE),""))</f>
        <v/>
      </c>
      <c r="H342" s="14" t="s">
        <v>863</v>
      </c>
      <c r="I342" s="15" t="s">
        <v>864</v>
      </c>
      <c r="J342" s="37" t="s">
        <v>864</v>
      </c>
      <c r="K342" s="17"/>
      <c r="L342" s="6" t="s">
        <v>866</v>
      </c>
      <c r="M342" s="6"/>
      <c r="N342" s="6"/>
      <c r="O342" s="6"/>
      <c r="P342" s="6"/>
      <c r="Q342" s="6"/>
      <c r="R342" s="6"/>
    </row>
    <row r="343" ht="22.5" customHeight="1">
      <c r="A343" s="49"/>
      <c r="B343" s="36"/>
      <c r="C343" s="35" t="s">
        <v>508</v>
      </c>
      <c r="D343" s="10" t="s">
        <v>508</v>
      </c>
      <c r="E343" s="11" t="s">
        <v>195</v>
      </c>
      <c r="F343" s="12" t="s">
        <v>195</v>
      </c>
      <c r="G343" s="13" t="str">
        <f>IF(LEN(TRIM(D343))=0,"",IFNA(VLOOKUP(UPPER(TRIM(D343)),'CLIENT DIRECTORY'!A:B,2,FALSE),""))</f>
        <v/>
      </c>
      <c r="H343" s="14" t="s">
        <v>508</v>
      </c>
      <c r="I343" s="15"/>
      <c r="J343" s="37" t="s">
        <v>140</v>
      </c>
      <c r="K343" s="17"/>
      <c r="L343" s="6" t="s">
        <v>867</v>
      </c>
      <c r="M343" s="6"/>
      <c r="N343" s="6"/>
      <c r="O343" s="6"/>
      <c r="P343" s="6"/>
      <c r="Q343" s="6"/>
      <c r="R343" s="6"/>
    </row>
    <row r="344" ht="22.5" customHeight="1">
      <c r="A344" s="49"/>
      <c r="B344" s="36"/>
      <c r="C344" s="35" t="s">
        <v>508</v>
      </c>
      <c r="D344" s="10" t="s">
        <v>508</v>
      </c>
      <c r="E344" s="11" t="s">
        <v>195</v>
      </c>
      <c r="F344" s="12" t="s">
        <v>195</v>
      </c>
      <c r="G344" s="13" t="str">
        <f>IF(LEN(TRIM(D344))=0,"",IFNA(VLOOKUP(UPPER(TRIM(D344)),'CLIENT DIRECTORY'!A:B,2,FALSE),""))</f>
        <v/>
      </c>
      <c r="H344" s="14" t="s">
        <v>508</v>
      </c>
      <c r="I344" s="15"/>
      <c r="J344" s="37" t="s">
        <v>140</v>
      </c>
      <c r="K344" s="17"/>
      <c r="L344" s="6" t="s">
        <v>868</v>
      </c>
      <c r="M344" s="6"/>
      <c r="N344" s="6"/>
      <c r="O344" s="6"/>
      <c r="P344" s="6"/>
      <c r="Q344" s="6"/>
      <c r="R344" s="6"/>
    </row>
    <row r="345" ht="22.5" customHeight="1">
      <c r="A345" s="49"/>
      <c r="B345" s="36"/>
      <c r="C345" s="35" t="s">
        <v>508</v>
      </c>
      <c r="D345" s="10" t="s">
        <v>508</v>
      </c>
      <c r="E345" s="11" t="s">
        <v>195</v>
      </c>
      <c r="F345" s="12" t="s">
        <v>195</v>
      </c>
      <c r="G345" s="13" t="str">
        <f>IF(LEN(TRIM(D345))=0,"",IFNA(VLOOKUP(UPPER(TRIM(D345)),'CLIENT DIRECTORY'!A:B,2,FALSE),""))</f>
        <v/>
      </c>
      <c r="H345" s="14" t="s">
        <v>508</v>
      </c>
      <c r="I345" s="15"/>
      <c r="J345" s="37" t="s">
        <v>140</v>
      </c>
      <c r="K345" s="17"/>
      <c r="L345" s="6" t="s">
        <v>869</v>
      </c>
      <c r="M345" s="6"/>
      <c r="N345" s="6"/>
      <c r="O345" s="6"/>
      <c r="P345" s="6"/>
      <c r="Q345" s="6"/>
      <c r="R345" s="6"/>
    </row>
    <row r="346" ht="22.5" customHeight="1">
      <c r="A346" s="49"/>
      <c r="B346" s="36"/>
      <c r="C346" s="35" t="s">
        <v>508</v>
      </c>
      <c r="D346" s="10" t="s">
        <v>508</v>
      </c>
      <c r="E346" s="11" t="s">
        <v>195</v>
      </c>
      <c r="F346" s="12" t="s">
        <v>195</v>
      </c>
      <c r="G346" s="13" t="str">
        <f>IF(LEN(TRIM(D346))=0,"",IFNA(VLOOKUP(UPPER(TRIM(D346)),'CLIENT DIRECTORY'!A:B,2,FALSE),""))</f>
        <v/>
      </c>
      <c r="H346" s="14" t="s">
        <v>508</v>
      </c>
      <c r="I346" s="15"/>
      <c r="J346" s="37" t="s">
        <v>140</v>
      </c>
      <c r="K346" s="17"/>
      <c r="L346" s="6" t="s">
        <v>870</v>
      </c>
      <c r="M346" s="6"/>
      <c r="N346" s="6"/>
      <c r="O346" s="6"/>
      <c r="P346" s="6"/>
      <c r="Q346" s="6"/>
      <c r="R346" s="6"/>
    </row>
    <row r="347" ht="22.5" customHeight="1">
      <c r="A347" s="49"/>
      <c r="B347" s="36"/>
      <c r="C347" s="9">
        <v>46094.0</v>
      </c>
      <c r="D347" s="10" t="s">
        <v>871</v>
      </c>
      <c r="E347" s="11" t="s">
        <v>263</v>
      </c>
      <c r="F347" s="43"/>
      <c r="G347" s="13" t="str">
        <f>IF(LEN(TRIM(D347))=0,"",IFNA(VLOOKUP(UPPER(TRIM(D347)),'CLIENT DIRECTORY'!A:B,2,FALSE),""))</f>
        <v/>
      </c>
      <c r="H347" s="14">
        <v>2500.0</v>
      </c>
      <c r="I347" s="15">
        <v>2500.0</v>
      </c>
      <c r="J347" s="37" t="s">
        <v>26</v>
      </c>
      <c r="K347" s="17"/>
      <c r="L347" s="6" t="s">
        <v>872</v>
      </c>
      <c r="M347" s="6"/>
      <c r="N347" s="6"/>
      <c r="O347" s="6"/>
      <c r="P347" s="6"/>
      <c r="Q347" s="6"/>
      <c r="R347" s="6"/>
    </row>
    <row r="348" ht="22.5" customHeight="1">
      <c r="A348" s="49"/>
      <c r="B348" s="56"/>
      <c r="C348" s="9">
        <v>46094.0</v>
      </c>
      <c r="D348" s="10" t="s">
        <v>473</v>
      </c>
      <c r="E348" s="11" t="s">
        <v>786</v>
      </c>
      <c r="F348" s="43"/>
      <c r="G348" s="13" t="s">
        <v>475</v>
      </c>
      <c r="H348" s="14">
        <v>2500.0</v>
      </c>
      <c r="I348" s="15">
        <v>0.0</v>
      </c>
      <c r="J348" s="37" t="s">
        <v>26</v>
      </c>
      <c r="K348" s="17"/>
      <c r="L348" s="6" t="s">
        <v>873</v>
      </c>
      <c r="M348" s="6"/>
      <c r="N348" s="6"/>
      <c r="O348" s="6"/>
      <c r="P348" s="6"/>
      <c r="Q348" s="6"/>
      <c r="R348" s="6"/>
    </row>
    <row r="349" ht="22.5" customHeight="1">
      <c r="A349" s="49"/>
      <c r="B349" s="36"/>
      <c r="C349" s="9">
        <v>46094.0</v>
      </c>
      <c r="D349" s="10" t="s">
        <v>874</v>
      </c>
      <c r="E349" s="11" t="s">
        <v>875</v>
      </c>
      <c r="F349" s="43"/>
      <c r="G349" s="14" t="s">
        <v>876</v>
      </c>
      <c r="H349" s="14">
        <v>700000.0</v>
      </c>
      <c r="I349" s="15">
        <v>0.0</v>
      </c>
      <c r="J349" s="37" t="s">
        <v>103</v>
      </c>
      <c r="K349" s="17"/>
      <c r="L349" s="6" t="s">
        <v>877</v>
      </c>
      <c r="M349" s="6"/>
      <c r="N349" s="6"/>
      <c r="O349" s="6"/>
      <c r="P349" s="6"/>
      <c r="Q349" s="6"/>
      <c r="R349" s="6"/>
    </row>
    <row r="350" ht="22.5" customHeight="1">
      <c r="A350" s="49"/>
      <c r="B350" s="36"/>
      <c r="C350" s="9">
        <v>46094.0</v>
      </c>
      <c r="D350" s="10" t="s">
        <v>878</v>
      </c>
      <c r="E350" s="11" t="s">
        <v>879</v>
      </c>
      <c r="F350" s="43"/>
      <c r="G350" s="13" t="s">
        <v>880</v>
      </c>
      <c r="H350" s="14">
        <v>2500.0</v>
      </c>
      <c r="I350" s="15">
        <v>2500.0</v>
      </c>
      <c r="J350" s="37" t="s">
        <v>26</v>
      </c>
      <c r="K350" s="17"/>
      <c r="L350" s="6" t="s">
        <v>881</v>
      </c>
      <c r="M350" s="6"/>
      <c r="N350" s="6"/>
      <c r="O350" s="6"/>
      <c r="P350" s="6"/>
      <c r="Q350" s="6"/>
      <c r="R350" s="6"/>
    </row>
    <row r="351" ht="22.5" customHeight="1">
      <c r="A351" s="49"/>
      <c r="B351" s="36"/>
      <c r="C351" s="9">
        <v>46094.0</v>
      </c>
      <c r="D351" s="10" t="s">
        <v>874</v>
      </c>
      <c r="E351" s="11" t="s">
        <v>882</v>
      </c>
      <c r="F351" s="12" t="s">
        <v>883</v>
      </c>
      <c r="G351" s="14" t="s">
        <v>876</v>
      </c>
      <c r="H351" s="14">
        <v>810000.0</v>
      </c>
      <c r="I351" s="15">
        <v>0.0</v>
      </c>
      <c r="J351" s="37" t="s">
        <v>103</v>
      </c>
      <c r="K351" s="17"/>
      <c r="L351" s="6" t="s">
        <v>884</v>
      </c>
      <c r="M351" s="6"/>
      <c r="N351" s="6"/>
      <c r="O351" s="6"/>
      <c r="P351" s="6"/>
      <c r="Q351" s="6"/>
      <c r="R351" s="6"/>
    </row>
    <row r="352" ht="22.5" customHeight="1">
      <c r="A352" s="49"/>
      <c r="B352" s="36"/>
      <c r="C352" s="9">
        <v>46094.0</v>
      </c>
      <c r="D352" s="10" t="s">
        <v>54</v>
      </c>
      <c r="E352" s="11" t="s">
        <v>885</v>
      </c>
      <c r="F352" s="43"/>
      <c r="G352" s="13" t="s">
        <v>56</v>
      </c>
      <c r="H352" s="14">
        <v>2500.0</v>
      </c>
      <c r="I352" s="15">
        <v>2500.0</v>
      </c>
      <c r="J352" s="37" t="s">
        <v>26</v>
      </c>
      <c r="K352" s="17"/>
      <c r="L352" s="6" t="s">
        <v>886</v>
      </c>
      <c r="M352" s="6"/>
      <c r="N352" s="6"/>
      <c r="O352" s="6"/>
      <c r="P352" s="6"/>
      <c r="Q352" s="6"/>
      <c r="R352" s="6"/>
    </row>
    <row r="353" ht="22.5" customHeight="1">
      <c r="A353" s="49"/>
      <c r="B353" s="36"/>
      <c r="C353" s="9">
        <v>46094.0</v>
      </c>
      <c r="D353" s="10" t="s">
        <v>887</v>
      </c>
      <c r="E353" s="11" t="s">
        <v>888</v>
      </c>
      <c r="F353" s="43"/>
      <c r="G353" s="13" t="s">
        <v>889</v>
      </c>
      <c r="H353" s="14">
        <v>2500.0</v>
      </c>
      <c r="I353" s="15">
        <v>2500.0</v>
      </c>
      <c r="J353" s="37" t="s">
        <v>26</v>
      </c>
      <c r="K353" s="17"/>
      <c r="L353" s="6" t="s">
        <v>890</v>
      </c>
      <c r="M353" s="6"/>
      <c r="N353" s="6"/>
      <c r="O353" s="6"/>
      <c r="P353" s="6"/>
      <c r="Q353" s="6"/>
      <c r="R353" s="6"/>
    </row>
    <row r="354" ht="22.5" customHeight="1">
      <c r="A354" s="49"/>
      <c r="B354" s="36"/>
      <c r="C354" s="9">
        <v>46094.0</v>
      </c>
      <c r="D354" s="10" t="s">
        <v>891</v>
      </c>
      <c r="E354" s="11" t="s">
        <v>892</v>
      </c>
      <c r="F354" s="43"/>
      <c r="G354" s="13" t="str">
        <f>IF(LEN(TRIM(D354))=0,"",IFNA(VLOOKUP(UPPER(TRIM(D354)),'CLIENT DIRECTORY'!A:B,2,FALSE),""))</f>
        <v/>
      </c>
      <c r="H354" s="14">
        <v>5000.0</v>
      </c>
      <c r="I354" s="15">
        <v>0.0</v>
      </c>
      <c r="J354" s="37" t="s">
        <v>26</v>
      </c>
      <c r="K354" s="17"/>
      <c r="L354" s="6" t="s">
        <v>893</v>
      </c>
      <c r="M354" s="6"/>
      <c r="N354" s="6"/>
      <c r="O354" s="6"/>
      <c r="P354" s="6"/>
      <c r="Q354" s="6"/>
      <c r="R354" s="6"/>
    </row>
    <row r="355" ht="22.5" customHeight="1">
      <c r="A355" s="49"/>
      <c r="B355" s="36"/>
      <c r="C355" s="9">
        <v>46094.0</v>
      </c>
      <c r="D355" s="10" t="s">
        <v>887</v>
      </c>
      <c r="E355" s="11" t="s">
        <v>894</v>
      </c>
      <c r="F355" s="43"/>
      <c r="G355" s="13" t="s">
        <v>889</v>
      </c>
      <c r="H355" s="14">
        <v>2500.0</v>
      </c>
      <c r="I355" s="15">
        <v>2500.0</v>
      </c>
      <c r="J355" s="37" t="s">
        <v>26</v>
      </c>
      <c r="K355" s="17"/>
      <c r="L355" s="6" t="s">
        <v>895</v>
      </c>
      <c r="M355" s="6"/>
      <c r="N355" s="6"/>
      <c r="O355" s="6"/>
      <c r="P355" s="6"/>
      <c r="Q355" s="6"/>
      <c r="R355" s="6"/>
    </row>
    <row r="356" ht="22.5" customHeight="1">
      <c r="A356" s="49"/>
      <c r="B356" s="36"/>
      <c r="C356" s="9">
        <v>46094.0</v>
      </c>
      <c r="D356" s="10" t="s">
        <v>89</v>
      </c>
      <c r="E356" s="11" t="s">
        <v>896</v>
      </c>
      <c r="F356" s="55" t="s">
        <v>897</v>
      </c>
      <c r="G356" s="27" t="s">
        <v>91</v>
      </c>
      <c r="H356" s="14">
        <v>695000.0</v>
      </c>
      <c r="I356" s="15">
        <v>0.0</v>
      </c>
      <c r="J356" s="37" t="s">
        <v>103</v>
      </c>
      <c r="K356" s="17"/>
      <c r="L356" s="6" t="s">
        <v>898</v>
      </c>
      <c r="M356" s="6"/>
      <c r="N356" s="6"/>
      <c r="O356" s="6"/>
      <c r="P356" s="6"/>
      <c r="Q356" s="6"/>
      <c r="R356" s="6"/>
    </row>
    <row r="357" ht="22.5" customHeight="1">
      <c r="A357" s="49"/>
      <c r="B357" s="36"/>
      <c r="C357" s="9">
        <v>46094.0</v>
      </c>
      <c r="D357" s="10" t="s">
        <v>23</v>
      </c>
      <c r="E357" s="11" t="s">
        <v>899</v>
      </c>
      <c r="F357" s="55" t="s">
        <v>900</v>
      </c>
      <c r="G357" s="27" t="s">
        <v>25</v>
      </c>
      <c r="H357" s="14">
        <v>810000.0</v>
      </c>
      <c r="I357" s="15">
        <v>0.0</v>
      </c>
      <c r="J357" s="37" t="s">
        <v>103</v>
      </c>
      <c r="K357" s="17"/>
      <c r="L357" s="6" t="s">
        <v>901</v>
      </c>
      <c r="M357" s="6"/>
      <c r="N357" s="6"/>
      <c r="O357" s="6"/>
      <c r="P357" s="6"/>
      <c r="Q357" s="6"/>
      <c r="R357" s="6"/>
    </row>
    <row r="358" ht="22.5" customHeight="1">
      <c r="A358" s="49"/>
      <c r="B358" s="36"/>
      <c r="C358" s="9">
        <v>46100.0</v>
      </c>
      <c r="D358" s="10" t="s">
        <v>173</v>
      </c>
      <c r="E358" s="11" t="s">
        <v>902</v>
      </c>
      <c r="F358" s="26"/>
      <c r="G358" s="28" t="s">
        <v>175</v>
      </c>
      <c r="H358" s="14">
        <v>12500.0</v>
      </c>
      <c r="I358" s="38"/>
      <c r="J358" s="37" t="s">
        <v>121</v>
      </c>
      <c r="K358" s="17"/>
      <c r="L358" s="6" t="s">
        <v>903</v>
      </c>
      <c r="M358" s="6"/>
      <c r="N358" s="6"/>
      <c r="O358" s="6"/>
      <c r="P358" s="6"/>
      <c r="Q358" s="6"/>
      <c r="R358" s="6"/>
    </row>
    <row r="359" ht="22.5" customHeight="1">
      <c r="A359" s="49"/>
      <c r="B359" s="36"/>
      <c r="C359" s="9">
        <v>46094.0</v>
      </c>
      <c r="D359" s="10" t="s">
        <v>904</v>
      </c>
      <c r="E359" s="11" t="s">
        <v>82</v>
      </c>
      <c r="F359" s="43"/>
      <c r="G359" s="13" t="str">
        <f>IF(LEN(TRIM(D359))=0,"",IFNA(VLOOKUP(UPPER(TRIM(D359)),'CLIENT DIRECTORY'!A:B,2,FALSE),""))</f>
        <v/>
      </c>
      <c r="H359" s="14">
        <v>2500.0</v>
      </c>
      <c r="I359" s="38"/>
      <c r="J359" s="37" t="s">
        <v>26</v>
      </c>
      <c r="K359" s="17"/>
      <c r="L359" s="6" t="s">
        <v>905</v>
      </c>
      <c r="M359" s="6"/>
      <c r="N359" s="6"/>
      <c r="O359" s="6"/>
      <c r="P359" s="6"/>
      <c r="Q359" s="6"/>
      <c r="R359" s="6"/>
    </row>
    <row r="360" ht="22.5" customHeight="1">
      <c r="A360" s="49"/>
      <c r="B360" s="36"/>
      <c r="C360" s="35" t="s">
        <v>508</v>
      </c>
      <c r="D360" s="10" t="s">
        <v>508</v>
      </c>
      <c r="E360" s="11" t="s">
        <v>195</v>
      </c>
      <c r="F360" s="12" t="s">
        <v>195</v>
      </c>
      <c r="G360" s="13" t="str">
        <f>IF(LEN(TRIM(D360))=0,"",IFNA(VLOOKUP(UPPER(TRIM(D360)),'CLIENT DIRECTORY'!A:B,2,FALSE),""))</f>
        <v/>
      </c>
      <c r="H360" s="14" t="s">
        <v>508</v>
      </c>
      <c r="I360" s="15"/>
      <c r="J360" s="37" t="s">
        <v>140</v>
      </c>
      <c r="K360" s="17"/>
      <c r="L360" s="6" t="s">
        <v>906</v>
      </c>
      <c r="M360" s="6"/>
      <c r="N360" s="6"/>
      <c r="O360" s="6"/>
      <c r="P360" s="6"/>
      <c r="Q360" s="6"/>
      <c r="R360" s="6"/>
    </row>
    <row r="361" ht="22.5" customHeight="1">
      <c r="A361" s="49"/>
      <c r="B361" s="36"/>
      <c r="C361" s="35" t="s">
        <v>508</v>
      </c>
      <c r="D361" s="10" t="s">
        <v>508</v>
      </c>
      <c r="E361" s="11" t="s">
        <v>195</v>
      </c>
      <c r="F361" s="12" t="s">
        <v>195</v>
      </c>
      <c r="G361" s="13" t="str">
        <f>IF(LEN(TRIM(D361))=0,"",IFNA(VLOOKUP(UPPER(TRIM(D361)),'CLIENT DIRECTORY'!A:B,2,FALSE),""))</f>
        <v/>
      </c>
      <c r="H361" s="14" t="s">
        <v>508</v>
      </c>
      <c r="I361" s="15"/>
      <c r="J361" s="37" t="s">
        <v>140</v>
      </c>
      <c r="K361" s="17"/>
      <c r="L361" s="6" t="s">
        <v>907</v>
      </c>
      <c r="M361" s="6"/>
      <c r="N361" s="6"/>
      <c r="O361" s="6"/>
      <c r="P361" s="6"/>
      <c r="Q361" s="6"/>
      <c r="R361" s="6"/>
    </row>
    <row r="362" ht="22.5" customHeight="1">
      <c r="A362" s="49"/>
      <c r="B362" s="36"/>
      <c r="C362" s="35" t="s">
        <v>508</v>
      </c>
      <c r="D362" s="10" t="s">
        <v>508</v>
      </c>
      <c r="E362" s="11" t="s">
        <v>195</v>
      </c>
      <c r="F362" s="12" t="s">
        <v>195</v>
      </c>
      <c r="G362" s="13" t="str">
        <f>IF(LEN(TRIM(D362))=0,"",IFNA(VLOOKUP(UPPER(TRIM(D362)),'CLIENT DIRECTORY'!A:B,2,FALSE),""))</f>
        <v/>
      </c>
      <c r="H362" s="14" t="s">
        <v>508</v>
      </c>
      <c r="I362" s="15"/>
      <c r="J362" s="37" t="s">
        <v>140</v>
      </c>
      <c r="K362" s="17"/>
      <c r="L362" s="6" t="s">
        <v>908</v>
      </c>
      <c r="M362" s="6"/>
      <c r="N362" s="6"/>
      <c r="O362" s="6"/>
      <c r="P362" s="6"/>
      <c r="Q362" s="6"/>
      <c r="R362" s="6"/>
    </row>
    <row r="363" ht="22.5" customHeight="1">
      <c r="A363" s="49"/>
      <c r="B363" s="36"/>
      <c r="C363" s="35" t="s">
        <v>508</v>
      </c>
      <c r="D363" s="10" t="s">
        <v>508</v>
      </c>
      <c r="E363" s="11" t="s">
        <v>195</v>
      </c>
      <c r="F363" s="12" t="s">
        <v>195</v>
      </c>
      <c r="G363" s="13" t="str">
        <f>IF(LEN(TRIM(D363))=0,"",IFNA(VLOOKUP(UPPER(TRIM(D363)),'CLIENT DIRECTORY'!A:B,2,FALSE),""))</f>
        <v/>
      </c>
      <c r="H363" s="14" t="s">
        <v>508</v>
      </c>
      <c r="I363" s="15"/>
      <c r="J363" s="37" t="s">
        <v>140</v>
      </c>
      <c r="K363" s="17"/>
      <c r="L363" s="6" t="s">
        <v>909</v>
      </c>
      <c r="M363" s="6"/>
      <c r="N363" s="6"/>
      <c r="O363" s="6"/>
      <c r="P363" s="6"/>
      <c r="Q363" s="6"/>
      <c r="R363" s="6"/>
    </row>
    <row r="364" ht="22.5" customHeight="1">
      <c r="A364" s="49"/>
      <c r="B364" s="36"/>
      <c r="C364" s="35" t="s">
        <v>910</v>
      </c>
      <c r="D364" s="10" t="s">
        <v>911</v>
      </c>
      <c r="E364" s="11" t="s">
        <v>896</v>
      </c>
      <c r="F364" s="55" t="s">
        <v>897</v>
      </c>
      <c r="G364" s="27" t="str">
        <f>IF(LEN(TRIM(D364))=0,"",IFNA(VLOOKUP(UPPER(TRIM(D364)),'CLIENT DIRECTORY'!A:B,2,FALSE),""))</f>
        <v/>
      </c>
      <c r="H364" s="14">
        <v>700000.0</v>
      </c>
      <c r="I364" s="15">
        <v>700000.0</v>
      </c>
      <c r="J364" s="37" t="s">
        <v>26</v>
      </c>
      <c r="K364" s="17"/>
      <c r="L364" s="6" t="s">
        <v>912</v>
      </c>
      <c r="M364" s="6"/>
      <c r="N364" s="6"/>
      <c r="O364" s="6"/>
      <c r="P364" s="6"/>
      <c r="Q364" s="6"/>
      <c r="R364" s="6"/>
    </row>
    <row r="365" ht="22.5" customHeight="1">
      <c r="A365" s="49"/>
      <c r="B365" s="36"/>
      <c r="C365" s="9">
        <v>46095.0</v>
      </c>
      <c r="D365" s="10" t="s">
        <v>70</v>
      </c>
      <c r="E365" s="11" t="s">
        <v>913</v>
      </c>
      <c r="F365" s="43"/>
      <c r="G365" s="13" t="s">
        <v>72</v>
      </c>
      <c r="H365" s="14">
        <v>2500.0</v>
      </c>
      <c r="I365" s="15">
        <v>2500.0</v>
      </c>
      <c r="J365" s="37" t="s">
        <v>21</v>
      </c>
      <c r="K365" s="17"/>
      <c r="L365" s="6" t="s">
        <v>914</v>
      </c>
      <c r="M365" s="6"/>
      <c r="N365" s="6"/>
      <c r="O365" s="6"/>
      <c r="P365" s="6"/>
      <c r="Q365" s="6"/>
      <c r="R365" s="6"/>
    </row>
    <row r="366" ht="22.5" customHeight="1">
      <c r="A366" s="49"/>
      <c r="B366" s="36"/>
      <c r="C366" s="9">
        <v>46095.0</v>
      </c>
      <c r="D366" s="10" t="s">
        <v>358</v>
      </c>
      <c r="E366" s="11" t="s">
        <v>915</v>
      </c>
      <c r="F366" s="43"/>
      <c r="G366" s="13" t="s">
        <v>360</v>
      </c>
      <c r="H366" s="14">
        <v>2500.0</v>
      </c>
      <c r="I366" s="38"/>
      <c r="J366" s="37" t="s">
        <v>26</v>
      </c>
      <c r="K366" s="17"/>
      <c r="L366" s="6" t="s">
        <v>916</v>
      </c>
      <c r="M366" s="6"/>
      <c r="N366" s="6"/>
      <c r="O366" s="6"/>
      <c r="P366" s="6"/>
      <c r="Q366" s="6"/>
      <c r="R366" s="6"/>
    </row>
    <row r="367" ht="22.5" customHeight="1">
      <c r="A367" s="49"/>
      <c r="B367" s="36"/>
      <c r="C367" s="9">
        <v>46095.0</v>
      </c>
      <c r="D367" s="10" t="s">
        <v>788</v>
      </c>
      <c r="E367" s="11" t="s">
        <v>917</v>
      </c>
      <c r="F367" s="43"/>
      <c r="G367" s="13" t="str">
        <f>IF(LEN(TRIM(D367))=0,"",IFNA(VLOOKUP(UPPER(TRIM(D367)),'CLIENT DIRECTORY'!A:B,2,FALSE),""))</f>
        <v/>
      </c>
      <c r="H367" s="14">
        <v>3000.0</v>
      </c>
      <c r="I367" s="38"/>
      <c r="J367" s="37" t="s">
        <v>26</v>
      </c>
      <c r="K367" s="17"/>
      <c r="L367" s="6" t="s">
        <v>918</v>
      </c>
      <c r="M367" s="6"/>
      <c r="N367" s="6"/>
      <c r="O367" s="6"/>
      <c r="P367" s="6"/>
      <c r="Q367" s="6"/>
      <c r="R367" s="6"/>
    </row>
    <row r="368" ht="22.5" customHeight="1">
      <c r="A368" s="49"/>
      <c r="B368" s="36"/>
      <c r="C368" s="39">
        <v>46095.0</v>
      </c>
      <c r="D368" s="10" t="s">
        <v>473</v>
      </c>
      <c r="E368" s="11" t="s">
        <v>919</v>
      </c>
      <c r="F368" s="43"/>
      <c r="G368" s="13" t="s">
        <v>475</v>
      </c>
      <c r="H368" s="14">
        <v>2500.0</v>
      </c>
      <c r="I368" s="38"/>
      <c r="J368" s="37" t="s">
        <v>26</v>
      </c>
      <c r="K368" s="17"/>
      <c r="L368" s="6" t="s">
        <v>920</v>
      </c>
      <c r="M368" s="6"/>
      <c r="N368" s="6"/>
      <c r="O368" s="6"/>
      <c r="P368" s="6"/>
      <c r="Q368" s="6"/>
      <c r="R368" s="6"/>
    </row>
    <row r="369" ht="22.5" customHeight="1">
      <c r="A369" s="49"/>
      <c r="B369" s="36"/>
      <c r="C369" s="9">
        <v>46095.0</v>
      </c>
      <c r="D369" s="10" t="s">
        <v>74</v>
      </c>
      <c r="E369" s="11" t="s">
        <v>921</v>
      </c>
      <c r="F369" s="43"/>
      <c r="G369" s="13" t="s">
        <v>76</v>
      </c>
      <c r="H369" s="14">
        <v>5000.0</v>
      </c>
      <c r="I369" s="15">
        <v>5000.0</v>
      </c>
      <c r="J369" s="37" t="s">
        <v>26</v>
      </c>
      <c r="K369" s="17"/>
      <c r="L369" s="6" t="s">
        <v>922</v>
      </c>
      <c r="M369" s="6"/>
      <c r="N369" s="6"/>
      <c r="O369" s="6"/>
      <c r="P369" s="6"/>
      <c r="Q369" s="6"/>
      <c r="R369" s="6"/>
    </row>
    <row r="370" ht="22.5" customHeight="1">
      <c r="A370" s="49"/>
      <c r="B370" s="36"/>
      <c r="C370" s="39">
        <v>46095.0</v>
      </c>
      <c r="D370" s="10" t="s">
        <v>686</v>
      </c>
      <c r="E370" s="11" t="s">
        <v>923</v>
      </c>
      <c r="F370" s="12" t="s">
        <v>924</v>
      </c>
      <c r="G370" s="13" t="s">
        <v>687</v>
      </c>
      <c r="H370" s="14">
        <v>68000.0</v>
      </c>
      <c r="I370" s="38"/>
      <c r="J370" s="37" t="s">
        <v>26</v>
      </c>
      <c r="K370" s="17"/>
      <c r="L370" s="6" t="s">
        <v>925</v>
      </c>
      <c r="M370" s="6"/>
      <c r="N370" s="6"/>
      <c r="O370" s="6"/>
      <c r="P370" s="6"/>
      <c r="Q370" s="6"/>
      <c r="R370" s="6"/>
    </row>
    <row r="371" ht="22.5" customHeight="1">
      <c r="A371" s="49"/>
      <c r="B371" s="36"/>
      <c r="C371" s="39">
        <v>46095.0</v>
      </c>
      <c r="D371" s="10" t="s">
        <v>741</v>
      </c>
      <c r="E371" s="11" t="s">
        <v>926</v>
      </c>
      <c r="F371" s="12" t="s">
        <v>927</v>
      </c>
      <c r="G371" s="13" t="s">
        <v>743</v>
      </c>
      <c r="H371" s="14">
        <v>140000.0</v>
      </c>
      <c r="I371" s="15">
        <v>140000.0</v>
      </c>
      <c r="J371" s="37" t="s">
        <v>26</v>
      </c>
      <c r="K371" s="17"/>
      <c r="L371" s="6" t="s">
        <v>928</v>
      </c>
      <c r="M371" s="6"/>
      <c r="N371" s="6"/>
      <c r="O371" s="6"/>
      <c r="P371" s="6"/>
      <c r="Q371" s="6"/>
      <c r="R371" s="6"/>
    </row>
    <row r="372" ht="22.5" customHeight="1">
      <c r="A372" s="49"/>
      <c r="B372" s="36"/>
      <c r="C372" s="39">
        <v>46095.0</v>
      </c>
      <c r="D372" s="10" t="s">
        <v>442</v>
      </c>
      <c r="E372" s="11" t="s">
        <v>929</v>
      </c>
      <c r="F372" s="12" t="s">
        <v>781</v>
      </c>
      <c r="G372" s="13" t="s">
        <v>210</v>
      </c>
      <c r="H372" s="14">
        <v>950000.0</v>
      </c>
      <c r="I372" s="38"/>
      <c r="J372" s="37" t="s">
        <v>26</v>
      </c>
      <c r="K372" s="17"/>
      <c r="L372" s="6" t="s">
        <v>930</v>
      </c>
      <c r="M372" s="6"/>
      <c r="N372" s="6"/>
      <c r="O372" s="6"/>
      <c r="P372" s="6"/>
      <c r="Q372" s="6"/>
      <c r="R372" s="6"/>
    </row>
    <row r="373" ht="22.5" customHeight="1">
      <c r="A373" s="49"/>
      <c r="B373" s="36"/>
      <c r="C373" s="39">
        <v>46095.0</v>
      </c>
      <c r="D373" s="10" t="s">
        <v>54</v>
      </c>
      <c r="E373" s="11" t="s">
        <v>931</v>
      </c>
      <c r="F373" s="43"/>
      <c r="G373" s="13" t="s">
        <v>56</v>
      </c>
      <c r="H373" s="14">
        <v>2500.0</v>
      </c>
      <c r="I373" s="15">
        <v>2500.0</v>
      </c>
      <c r="J373" s="37" t="s">
        <v>26</v>
      </c>
      <c r="K373" s="17"/>
      <c r="L373" s="6" t="s">
        <v>932</v>
      </c>
      <c r="M373" s="6"/>
      <c r="N373" s="6"/>
      <c r="O373" s="6"/>
      <c r="P373" s="6"/>
      <c r="Q373" s="6"/>
      <c r="R373" s="6"/>
    </row>
    <row r="374" ht="22.5" customHeight="1">
      <c r="A374" s="49"/>
      <c r="B374" s="36"/>
      <c r="C374" s="39">
        <v>46095.0</v>
      </c>
      <c r="D374" s="10" t="s">
        <v>442</v>
      </c>
      <c r="E374" s="11" t="s">
        <v>933</v>
      </c>
      <c r="F374" s="43"/>
      <c r="G374" s="13" t="s">
        <v>210</v>
      </c>
      <c r="H374" s="14">
        <v>8000.0</v>
      </c>
      <c r="I374" s="38"/>
      <c r="J374" s="37" t="s">
        <v>26</v>
      </c>
      <c r="K374" s="17"/>
      <c r="L374" s="6" t="s">
        <v>934</v>
      </c>
      <c r="M374" s="6"/>
      <c r="N374" s="6"/>
      <c r="O374" s="6"/>
      <c r="P374" s="6"/>
      <c r="Q374" s="6"/>
      <c r="R374" s="6"/>
    </row>
    <row r="375" ht="22.5" customHeight="1">
      <c r="A375" s="49"/>
      <c r="B375" s="36"/>
      <c r="C375" s="35" t="s">
        <v>508</v>
      </c>
      <c r="D375" s="10" t="s">
        <v>508</v>
      </c>
      <c r="E375" s="11" t="s">
        <v>195</v>
      </c>
      <c r="F375" s="12" t="s">
        <v>195</v>
      </c>
      <c r="G375" s="13" t="str">
        <f>IF(LEN(TRIM(D375))=0,"",IFNA(VLOOKUP(UPPER(TRIM(D375)),'CLIENT DIRECTORY'!A:B,2,FALSE),""))</f>
        <v/>
      </c>
      <c r="H375" s="14" t="s">
        <v>508</v>
      </c>
      <c r="I375" s="15"/>
      <c r="J375" s="37" t="s">
        <v>140</v>
      </c>
      <c r="K375" s="17"/>
      <c r="L375" s="6" t="s">
        <v>935</v>
      </c>
      <c r="M375" s="6"/>
      <c r="N375" s="6"/>
      <c r="O375" s="6"/>
      <c r="P375" s="6"/>
      <c r="Q375" s="6"/>
      <c r="R375" s="6"/>
    </row>
    <row r="376" ht="22.5" customHeight="1">
      <c r="A376" s="49"/>
      <c r="B376" s="36"/>
      <c r="C376" s="35" t="s">
        <v>508</v>
      </c>
      <c r="D376" s="10" t="s">
        <v>508</v>
      </c>
      <c r="E376" s="11" t="s">
        <v>195</v>
      </c>
      <c r="F376" s="12" t="s">
        <v>195</v>
      </c>
      <c r="G376" s="13" t="str">
        <f>IF(LEN(TRIM(D376))=0,"",IFNA(VLOOKUP(UPPER(TRIM(D376)),'CLIENT DIRECTORY'!A:B,2,FALSE),""))</f>
        <v/>
      </c>
      <c r="H376" s="14" t="s">
        <v>508</v>
      </c>
      <c r="I376" s="15"/>
      <c r="J376" s="37" t="s">
        <v>140</v>
      </c>
      <c r="K376" s="17"/>
      <c r="L376" s="6" t="s">
        <v>936</v>
      </c>
      <c r="M376" s="6"/>
      <c r="N376" s="6"/>
      <c r="O376" s="6"/>
      <c r="P376" s="6"/>
      <c r="Q376" s="6"/>
      <c r="R376" s="6"/>
    </row>
    <row r="377" ht="22.5" customHeight="1">
      <c r="A377" s="49"/>
      <c r="B377" s="36"/>
      <c r="C377" s="35" t="s">
        <v>508</v>
      </c>
      <c r="D377" s="10" t="s">
        <v>508</v>
      </c>
      <c r="E377" s="11" t="s">
        <v>195</v>
      </c>
      <c r="F377" s="12" t="s">
        <v>195</v>
      </c>
      <c r="G377" s="13" t="str">
        <f>IF(LEN(TRIM(D377))=0,"",IFNA(VLOOKUP(UPPER(TRIM(D377)),'CLIENT DIRECTORY'!A:B,2,FALSE),""))</f>
        <v/>
      </c>
      <c r="H377" s="14" t="s">
        <v>508</v>
      </c>
      <c r="I377" s="15"/>
      <c r="J377" s="37" t="s">
        <v>140</v>
      </c>
      <c r="K377" s="17"/>
      <c r="L377" s="6" t="s">
        <v>937</v>
      </c>
      <c r="M377" s="6"/>
      <c r="N377" s="6"/>
      <c r="O377" s="6"/>
      <c r="P377" s="6"/>
      <c r="Q377" s="6"/>
      <c r="R377" s="6"/>
    </row>
    <row r="378" ht="22.5" customHeight="1">
      <c r="A378" s="49"/>
      <c r="B378" s="36"/>
      <c r="C378" s="35" t="s">
        <v>508</v>
      </c>
      <c r="D378" s="10" t="s">
        <v>508</v>
      </c>
      <c r="E378" s="11" t="s">
        <v>195</v>
      </c>
      <c r="F378" s="12" t="s">
        <v>195</v>
      </c>
      <c r="G378" s="13" t="str">
        <f>IF(LEN(TRIM(D378))=0,"",IFNA(VLOOKUP(UPPER(TRIM(D378)),'CLIENT DIRECTORY'!A:B,2,FALSE),""))</f>
        <v/>
      </c>
      <c r="H378" s="14" t="s">
        <v>508</v>
      </c>
      <c r="I378" s="15"/>
      <c r="J378" s="37" t="s">
        <v>140</v>
      </c>
      <c r="K378" s="17"/>
      <c r="L378" s="6" t="s">
        <v>938</v>
      </c>
      <c r="M378" s="6"/>
      <c r="N378" s="6"/>
      <c r="O378" s="6"/>
      <c r="P378" s="6"/>
      <c r="Q378" s="6"/>
      <c r="R378" s="6"/>
    </row>
    <row r="379" ht="22.5" customHeight="1">
      <c r="A379" s="49"/>
      <c r="B379" s="36"/>
      <c r="C379" s="39">
        <v>46098.0</v>
      </c>
      <c r="D379" s="10" t="s">
        <v>70</v>
      </c>
      <c r="E379" s="11" t="s">
        <v>939</v>
      </c>
      <c r="F379" s="55" t="s">
        <v>940</v>
      </c>
      <c r="G379" s="27" t="s">
        <v>72</v>
      </c>
      <c r="H379" s="14">
        <v>600000.0</v>
      </c>
      <c r="I379" s="15">
        <v>600000.0</v>
      </c>
      <c r="J379" s="37" t="s">
        <v>21</v>
      </c>
      <c r="K379" s="17"/>
      <c r="L379" s="6" t="s">
        <v>941</v>
      </c>
      <c r="M379" s="6"/>
      <c r="N379" s="6"/>
      <c r="O379" s="6"/>
      <c r="P379" s="6"/>
      <c r="Q379" s="6"/>
      <c r="R379" s="6"/>
    </row>
    <row r="380" ht="22.5" customHeight="1">
      <c r="A380" s="49"/>
      <c r="B380" s="36"/>
      <c r="C380" s="39">
        <v>46099.0</v>
      </c>
      <c r="D380" s="10" t="s">
        <v>54</v>
      </c>
      <c r="E380" s="11" t="s">
        <v>836</v>
      </c>
      <c r="F380" s="12" t="s">
        <v>942</v>
      </c>
      <c r="G380" s="13" t="s">
        <v>56</v>
      </c>
      <c r="H380" s="14">
        <v>195000.0</v>
      </c>
      <c r="I380" s="15">
        <v>195000.0</v>
      </c>
      <c r="J380" s="37" t="s">
        <v>26</v>
      </c>
      <c r="K380" s="17"/>
      <c r="L380" s="6" t="s">
        <v>943</v>
      </c>
      <c r="M380" s="6"/>
      <c r="N380" s="6"/>
      <c r="O380" s="6"/>
      <c r="P380" s="6"/>
      <c r="Q380" s="6"/>
      <c r="R380" s="6"/>
    </row>
    <row r="381" ht="22.5" customHeight="1">
      <c r="A381" s="49"/>
      <c r="B381" s="36"/>
      <c r="C381" s="39">
        <v>46100.0</v>
      </c>
      <c r="D381" s="10" t="s">
        <v>89</v>
      </c>
      <c r="E381" s="11" t="s">
        <v>944</v>
      </c>
      <c r="F381" s="43"/>
      <c r="G381" s="13" t="s">
        <v>91</v>
      </c>
      <c r="H381" s="14">
        <v>2500.0</v>
      </c>
      <c r="I381" s="15">
        <v>2500.0</v>
      </c>
      <c r="J381" s="37" t="s">
        <v>26</v>
      </c>
      <c r="K381" s="17"/>
      <c r="L381" s="6" t="s">
        <v>945</v>
      </c>
      <c r="M381" s="6"/>
      <c r="N381" s="6"/>
      <c r="O381" s="6"/>
      <c r="P381" s="6"/>
      <c r="Q381" s="6"/>
      <c r="R381" s="6"/>
    </row>
    <row r="382" ht="22.5" customHeight="1">
      <c r="A382" s="49"/>
      <c r="B382" s="36"/>
      <c r="C382" s="39">
        <v>46101.0</v>
      </c>
      <c r="D382" s="10" t="s">
        <v>18</v>
      </c>
      <c r="E382" s="11" t="s">
        <v>946</v>
      </c>
      <c r="F382" s="43"/>
      <c r="G382" s="13" t="s">
        <v>20</v>
      </c>
      <c r="H382" s="14">
        <v>2500.0</v>
      </c>
      <c r="I382" s="15">
        <v>2500.0</v>
      </c>
      <c r="J382" s="37" t="s">
        <v>21</v>
      </c>
      <c r="K382" s="17"/>
      <c r="L382" s="6" t="s">
        <v>947</v>
      </c>
      <c r="M382" s="6"/>
      <c r="N382" s="6"/>
      <c r="O382" s="6"/>
      <c r="P382" s="6"/>
      <c r="Q382" s="6"/>
      <c r="R382" s="6"/>
    </row>
    <row r="383" ht="22.5" customHeight="1">
      <c r="A383" s="49"/>
      <c r="B383" s="36"/>
      <c r="C383" s="9">
        <v>46097.0</v>
      </c>
      <c r="D383" s="10" t="s">
        <v>948</v>
      </c>
      <c r="E383" s="11" t="s">
        <v>949</v>
      </c>
      <c r="F383" s="57" t="s">
        <v>900</v>
      </c>
      <c r="G383" s="13" t="str">
        <f>IF(LEN(TRIM(D383))=0,"",IFNA(VLOOKUP(UPPER(TRIM(D383)),'CLIENT DIRECTORY'!A:B,2,FALSE),""))</f>
        <v/>
      </c>
      <c r="H383" s="14">
        <v>810000.0</v>
      </c>
      <c r="I383" s="15">
        <v>0.0</v>
      </c>
      <c r="J383" s="37" t="s">
        <v>26</v>
      </c>
      <c r="K383" s="17"/>
      <c r="L383" s="6" t="s">
        <v>950</v>
      </c>
      <c r="M383" s="6"/>
      <c r="N383" s="6"/>
      <c r="O383" s="6"/>
      <c r="P383" s="6"/>
      <c r="Q383" s="6"/>
      <c r="R383" s="6"/>
    </row>
    <row r="384" ht="22.5" customHeight="1">
      <c r="A384" s="49"/>
      <c r="B384" s="36"/>
      <c r="C384" s="9">
        <v>46097.0</v>
      </c>
      <c r="D384" s="10" t="s">
        <v>358</v>
      </c>
      <c r="E384" s="11" t="s">
        <v>951</v>
      </c>
      <c r="F384" s="55" t="s">
        <v>952</v>
      </c>
      <c r="G384" s="27" t="s">
        <v>360</v>
      </c>
      <c r="H384" s="14">
        <v>330000.0</v>
      </c>
      <c r="I384" s="38"/>
      <c r="J384" s="37" t="s">
        <v>26</v>
      </c>
      <c r="K384" s="17"/>
      <c r="L384" s="6" t="s">
        <v>953</v>
      </c>
      <c r="M384" s="6"/>
      <c r="N384" s="6"/>
      <c r="O384" s="6"/>
      <c r="P384" s="6"/>
      <c r="Q384" s="6"/>
      <c r="R384" s="6"/>
    </row>
    <row r="385" ht="22.5" customHeight="1">
      <c r="A385" s="49"/>
      <c r="B385" s="36"/>
      <c r="C385" s="9">
        <v>46097.0</v>
      </c>
      <c r="D385" s="10" t="s">
        <v>358</v>
      </c>
      <c r="E385" s="11" t="s">
        <v>954</v>
      </c>
      <c r="F385" s="43"/>
      <c r="G385" s="13" t="s">
        <v>360</v>
      </c>
      <c r="H385" s="14">
        <v>2500.0</v>
      </c>
      <c r="I385" s="38"/>
      <c r="J385" s="37" t="s">
        <v>26</v>
      </c>
      <c r="K385" s="17"/>
      <c r="L385" s="6" t="s">
        <v>955</v>
      </c>
      <c r="M385" s="6"/>
      <c r="N385" s="6"/>
      <c r="O385" s="6"/>
      <c r="P385" s="6"/>
      <c r="Q385" s="6"/>
      <c r="R385" s="6"/>
    </row>
    <row r="386" ht="22.5" customHeight="1">
      <c r="A386" s="49"/>
      <c r="B386" s="36"/>
      <c r="C386" s="9">
        <v>46097.0</v>
      </c>
      <c r="D386" s="10" t="s">
        <v>89</v>
      </c>
      <c r="E386" s="11" t="s">
        <v>956</v>
      </c>
      <c r="F386" s="43"/>
      <c r="G386" s="13" t="s">
        <v>91</v>
      </c>
      <c r="H386" s="14">
        <v>2500.0</v>
      </c>
      <c r="I386" s="15">
        <v>2500.0</v>
      </c>
      <c r="J386" s="37" t="s">
        <v>26</v>
      </c>
      <c r="K386" s="17"/>
      <c r="L386" s="6" t="s">
        <v>957</v>
      </c>
      <c r="M386" s="6"/>
      <c r="N386" s="6"/>
      <c r="O386" s="6"/>
      <c r="P386" s="6"/>
      <c r="Q386" s="6"/>
      <c r="R386" s="6"/>
    </row>
    <row r="387" ht="22.5" customHeight="1">
      <c r="A387" s="49"/>
      <c r="B387" s="36"/>
      <c r="C387" s="35" t="s">
        <v>508</v>
      </c>
      <c r="D387" s="10" t="s">
        <v>508</v>
      </c>
      <c r="E387" s="11" t="s">
        <v>195</v>
      </c>
      <c r="F387" s="12" t="s">
        <v>195</v>
      </c>
      <c r="G387" s="13" t="str">
        <f>IF(LEN(TRIM(D387))=0,"",IFNA(VLOOKUP(UPPER(TRIM(D387)),'CLIENT DIRECTORY'!A:B,2,FALSE),""))</f>
        <v/>
      </c>
      <c r="H387" s="14" t="s">
        <v>508</v>
      </c>
      <c r="I387" s="15"/>
      <c r="J387" s="37" t="s">
        <v>140</v>
      </c>
      <c r="K387" s="17"/>
      <c r="L387" s="6" t="s">
        <v>958</v>
      </c>
      <c r="M387" s="6"/>
      <c r="N387" s="6"/>
      <c r="O387" s="6"/>
      <c r="P387" s="6"/>
      <c r="Q387" s="6"/>
      <c r="R387" s="6"/>
    </row>
    <row r="388" ht="22.5" customHeight="1">
      <c r="A388" s="49"/>
      <c r="B388" s="36"/>
      <c r="C388" s="35" t="s">
        <v>508</v>
      </c>
      <c r="D388" s="10" t="s">
        <v>508</v>
      </c>
      <c r="E388" s="11" t="s">
        <v>195</v>
      </c>
      <c r="F388" s="12" t="s">
        <v>195</v>
      </c>
      <c r="G388" s="13" t="str">
        <f>IF(LEN(TRIM(D388))=0,"",IFNA(VLOOKUP(UPPER(TRIM(D388)),'CLIENT DIRECTORY'!A:B,2,FALSE),""))</f>
        <v/>
      </c>
      <c r="H388" s="14" t="s">
        <v>508</v>
      </c>
      <c r="I388" s="15"/>
      <c r="J388" s="37" t="s">
        <v>140</v>
      </c>
      <c r="K388" s="17"/>
      <c r="L388" s="6" t="s">
        <v>959</v>
      </c>
      <c r="M388" s="6"/>
      <c r="N388" s="6"/>
      <c r="O388" s="6"/>
      <c r="P388" s="6"/>
      <c r="Q388" s="6"/>
      <c r="R388" s="6"/>
    </row>
    <row r="389" ht="22.5" customHeight="1">
      <c r="A389" s="49"/>
      <c r="B389" s="36"/>
      <c r="C389" s="35" t="s">
        <v>508</v>
      </c>
      <c r="D389" s="10" t="s">
        <v>508</v>
      </c>
      <c r="E389" s="11" t="s">
        <v>195</v>
      </c>
      <c r="F389" s="12" t="s">
        <v>195</v>
      </c>
      <c r="G389" s="13" t="str">
        <f>IF(LEN(TRIM(D389))=0,"",IFNA(VLOOKUP(UPPER(TRIM(D389)),'CLIENT DIRECTORY'!A:B,2,FALSE),""))</f>
        <v/>
      </c>
      <c r="H389" s="14" t="s">
        <v>508</v>
      </c>
      <c r="I389" s="15"/>
      <c r="J389" s="37" t="s">
        <v>140</v>
      </c>
      <c r="K389" s="17"/>
      <c r="L389" s="6" t="s">
        <v>960</v>
      </c>
      <c r="M389" s="6"/>
      <c r="N389" s="6"/>
      <c r="O389" s="6"/>
      <c r="P389" s="6"/>
      <c r="Q389" s="6"/>
      <c r="R389" s="6"/>
    </row>
    <row r="390" ht="22.5" customHeight="1">
      <c r="A390" s="49"/>
      <c r="B390" s="36"/>
      <c r="C390" s="35" t="s">
        <v>508</v>
      </c>
      <c r="D390" s="10" t="s">
        <v>508</v>
      </c>
      <c r="E390" s="11" t="s">
        <v>195</v>
      </c>
      <c r="F390" s="12" t="s">
        <v>195</v>
      </c>
      <c r="G390" s="13" t="str">
        <f>IF(LEN(TRIM(D390))=0,"",IFNA(VLOOKUP(UPPER(TRIM(D390)),'CLIENT DIRECTORY'!A:B,2,FALSE),""))</f>
        <v/>
      </c>
      <c r="H390" s="14" t="s">
        <v>508</v>
      </c>
      <c r="I390" s="15"/>
      <c r="J390" s="37" t="s">
        <v>140</v>
      </c>
      <c r="K390" s="17"/>
      <c r="L390" s="6" t="s">
        <v>961</v>
      </c>
      <c r="M390" s="6"/>
      <c r="N390" s="6"/>
      <c r="O390" s="6"/>
      <c r="P390" s="6"/>
      <c r="Q390" s="6"/>
      <c r="R390" s="6"/>
    </row>
    <row r="391" ht="22.5" customHeight="1">
      <c r="A391" s="49"/>
      <c r="B391" s="36"/>
      <c r="C391" s="9">
        <v>46098.0</v>
      </c>
      <c r="D391" s="10" t="s">
        <v>871</v>
      </c>
      <c r="E391" s="11" t="s">
        <v>962</v>
      </c>
      <c r="F391" s="43"/>
      <c r="G391" s="13" t="str">
        <f>IF(LEN(TRIM(D391))=0,"",IFNA(VLOOKUP(UPPER(TRIM(D391)),'CLIENT DIRECTORY'!A:B,2,FALSE),""))</f>
        <v/>
      </c>
      <c r="H391" s="14">
        <v>2000.0</v>
      </c>
      <c r="I391" s="15">
        <v>2000.0</v>
      </c>
      <c r="J391" s="37" t="s">
        <v>26</v>
      </c>
      <c r="K391" s="17"/>
      <c r="L391" s="6" t="s">
        <v>963</v>
      </c>
      <c r="M391" s="6"/>
      <c r="N391" s="6"/>
      <c r="O391" s="6"/>
      <c r="P391" s="6"/>
      <c r="Q391" s="6"/>
      <c r="R391" s="6"/>
    </row>
    <row r="392" ht="22.5" customHeight="1">
      <c r="A392" s="49"/>
      <c r="B392" s="36"/>
      <c r="C392" s="9">
        <v>46098.0</v>
      </c>
      <c r="D392" s="10" t="s">
        <v>54</v>
      </c>
      <c r="E392" s="11" t="s">
        <v>964</v>
      </c>
      <c r="F392" s="43"/>
      <c r="G392" s="13" t="s">
        <v>56</v>
      </c>
      <c r="H392" s="14">
        <v>2500.0</v>
      </c>
      <c r="I392" s="15">
        <v>2500.0</v>
      </c>
      <c r="J392" s="37" t="s">
        <v>26</v>
      </c>
      <c r="K392" s="17"/>
      <c r="L392" s="6" t="s">
        <v>965</v>
      </c>
      <c r="M392" s="6"/>
      <c r="N392" s="6"/>
      <c r="O392" s="6"/>
      <c r="P392" s="6"/>
      <c r="Q392" s="6"/>
      <c r="R392" s="6"/>
    </row>
    <row r="393" ht="22.5" customHeight="1">
      <c r="A393" s="49"/>
      <c r="B393" s="36"/>
      <c r="C393" s="9">
        <v>46098.0</v>
      </c>
      <c r="D393" s="10" t="s">
        <v>442</v>
      </c>
      <c r="E393" s="11" t="s">
        <v>263</v>
      </c>
      <c r="F393" s="43"/>
      <c r="G393" s="13" t="s">
        <v>210</v>
      </c>
      <c r="H393" s="14">
        <v>2500.0</v>
      </c>
      <c r="I393" s="15">
        <v>2500.0</v>
      </c>
      <c r="J393" s="37" t="s">
        <v>26</v>
      </c>
      <c r="K393" s="17"/>
      <c r="L393" s="6" t="s">
        <v>966</v>
      </c>
      <c r="M393" s="6"/>
      <c r="N393" s="6"/>
      <c r="O393" s="6"/>
      <c r="P393" s="6"/>
      <c r="Q393" s="6"/>
      <c r="R393" s="6"/>
    </row>
    <row r="394" ht="22.5" customHeight="1">
      <c r="A394" s="49"/>
      <c r="B394" s="36"/>
      <c r="C394" s="9">
        <v>46098.0</v>
      </c>
      <c r="D394" s="10" t="s">
        <v>424</v>
      </c>
      <c r="E394" s="11" t="s">
        <v>967</v>
      </c>
      <c r="F394" s="43"/>
      <c r="G394" s="13" t="s">
        <v>426</v>
      </c>
      <c r="H394" s="14">
        <v>3500.0</v>
      </c>
      <c r="I394" s="15">
        <v>3500.0</v>
      </c>
      <c r="J394" s="37" t="s">
        <v>26</v>
      </c>
      <c r="K394" s="17"/>
      <c r="L394" s="6" t="s">
        <v>968</v>
      </c>
      <c r="M394" s="6"/>
      <c r="N394" s="6"/>
      <c r="O394" s="6"/>
      <c r="P394" s="6"/>
      <c r="Q394" s="6"/>
      <c r="R394" s="6"/>
    </row>
    <row r="395" ht="22.5" customHeight="1">
      <c r="A395" s="49"/>
      <c r="B395" s="36"/>
      <c r="C395" s="9">
        <v>46098.0</v>
      </c>
      <c r="D395" s="10" t="s">
        <v>969</v>
      </c>
      <c r="E395" s="11" t="s">
        <v>970</v>
      </c>
      <c r="F395" s="43"/>
      <c r="G395" s="13" t="str">
        <f>IF(LEN(TRIM(D395))=0,"",IFNA(VLOOKUP(UPPER(TRIM(D395)),'CLIENT DIRECTORY'!A:B,2,FALSE),""))</f>
        <v/>
      </c>
      <c r="H395" s="14">
        <v>25000.0</v>
      </c>
      <c r="I395" s="15">
        <v>25000.0</v>
      </c>
      <c r="J395" s="37" t="s">
        <v>26</v>
      </c>
      <c r="K395" s="17"/>
      <c r="L395" s="6" t="s">
        <v>971</v>
      </c>
      <c r="M395" s="6"/>
      <c r="N395" s="6"/>
      <c r="O395" s="6"/>
      <c r="P395" s="6"/>
      <c r="Q395" s="6"/>
      <c r="R395" s="6"/>
    </row>
    <row r="396" ht="22.5" customHeight="1">
      <c r="A396" s="49"/>
      <c r="B396" s="36"/>
      <c r="C396" s="9">
        <v>46098.0</v>
      </c>
      <c r="D396" s="10" t="s">
        <v>485</v>
      </c>
      <c r="E396" s="11" t="s">
        <v>972</v>
      </c>
      <c r="F396" s="43"/>
      <c r="G396" s="13" t="s">
        <v>486</v>
      </c>
      <c r="H396" s="14">
        <v>5000.0</v>
      </c>
      <c r="I396" s="15">
        <v>5000.0</v>
      </c>
      <c r="J396" s="37" t="s">
        <v>26</v>
      </c>
      <c r="K396" s="17"/>
      <c r="L396" s="6" t="s">
        <v>973</v>
      </c>
      <c r="M396" s="6"/>
      <c r="N396" s="6"/>
      <c r="O396" s="6"/>
      <c r="P396" s="6"/>
      <c r="Q396" s="6"/>
      <c r="R396" s="6"/>
    </row>
    <row r="397" ht="22.5" customHeight="1">
      <c r="A397" s="49"/>
      <c r="B397" s="36"/>
      <c r="C397" s="9">
        <v>46098.0</v>
      </c>
      <c r="D397" s="10" t="s">
        <v>974</v>
      </c>
      <c r="E397" s="11" t="s">
        <v>975</v>
      </c>
      <c r="F397" s="43"/>
      <c r="G397" s="13" t="str">
        <f>IF(LEN(TRIM(D397))=0,"",IFNA(VLOOKUP(UPPER(TRIM(D397)),'CLIENT DIRECTORY'!A:B,2,FALSE),""))</f>
        <v/>
      </c>
      <c r="H397" s="14">
        <v>2500.0</v>
      </c>
      <c r="I397" s="15">
        <v>2500.0</v>
      </c>
      <c r="J397" s="37" t="s">
        <v>26</v>
      </c>
      <c r="K397" s="17"/>
      <c r="L397" s="6" t="s">
        <v>976</v>
      </c>
      <c r="M397" s="6"/>
      <c r="N397" s="6"/>
      <c r="O397" s="6"/>
      <c r="P397" s="6"/>
      <c r="Q397" s="6"/>
      <c r="R397" s="6"/>
    </row>
    <row r="398" ht="22.5" customHeight="1">
      <c r="A398" s="49"/>
      <c r="B398" s="36"/>
      <c r="C398" s="9">
        <v>46098.0</v>
      </c>
      <c r="D398" s="58" t="s">
        <v>18</v>
      </c>
      <c r="E398" s="11" t="s">
        <v>977</v>
      </c>
      <c r="F398" s="55" t="s">
        <v>978</v>
      </c>
      <c r="G398" s="27" t="s">
        <v>20</v>
      </c>
      <c r="H398" s="14">
        <v>1180000.0</v>
      </c>
      <c r="I398" s="15">
        <v>1175000.0</v>
      </c>
      <c r="J398" s="37" t="s">
        <v>103</v>
      </c>
      <c r="K398" s="17"/>
      <c r="L398" s="6" t="s">
        <v>979</v>
      </c>
      <c r="M398" s="6"/>
      <c r="N398" s="6"/>
      <c r="O398" s="6"/>
      <c r="P398" s="6"/>
      <c r="Q398" s="6"/>
      <c r="R398" s="6"/>
    </row>
    <row r="399" ht="22.5" customHeight="1">
      <c r="A399" s="49"/>
      <c r="B399" s="36"/>
      <c r="C399" s="35" t="s">
        <v>508</v>
      </c>
      <c r="D399" s="10" t="s">
        <v>508</v>
      </c>
      <c r="E399" s="11" t="s">
        <v>195</v>
      </c>
      <c r="F399" s="12" t="s">
        <v>195</v>
      </c>
      <c r="G399" s="13" t="str">
        <f>IF(LEN(TRIM(D399))=0,"",IFNA(VLOOKUP(UPPER(TRIM(D399)),'CLIENT DIRECTORY'!A:B,2,FALSE),""))</f>
        <v/>
      </c>
      <c r="H399" s="14" t="s">
        <v>508</v>
      </c>
      <c r="I399" s="15"/>
      <c r="J399" s="37" t="s">
        <v>140</v>
      </c>
      <c r="K399" s="17"/>
      <c r="L399" s="6" t="s">
        <v>980</v>
      </c>
      <c r="M399" s="6"/>
      <c r="N399" s="6"/>
      <c r="O399" s="6"/>
      <c r="P399" s="6"/>
      <c r="Q399" s="6"/>
      <c r="R399" s="6"/>
    </row>
    <row r="400" ht="22.5" customHeight="1">
      <c r="A400" s="49"/>
      <c r="B400" s="36"/>
      <c r="C400" s="35" t="s">
        <v>508</v>
      </c>
      <c r="D400" s="10" t="s">
        <v>508</v>
      </c>
      <c r="E400" s="11" t="s">
        <v>195</v>
      </c>
      <c r="F400" s="12" t="s">
        <v>195</v>
      </c>
      <c r="G400" s="13" t="str">
        <f>IF(LEN(TRIM(D400))=0,"",IFNA(VLOOKUP(UPPER(TRIM(D400)),'CLIENT DIRECTORY'!A:B,2,FALSE),""))</f>
        <v/>
      </c>
      <c r="H400" s="14" t="s">
        <v>508</v>
      </c>
      <c r="I400" s="15"/>
      <c r="J400" s="37" t="s">
        <v>140</v>
      </c>
      <c r="K400" s="17"/>
      <c r="L400" s="6" t="s">
        <v>981</v>
      </c>
      <c r="M400" s="6"/>
      <c r="N400" s="6"/>
      <c r="O400" s="6"/>
      <c r="P400" s="6"/>
      <c r="Q400" s="6"/>
      <c r="R400" s="6"/>
    </row>
    <row r="401" ht="22.5" customHeight="1">
      <c r="A401" s="49"/>
      <c r="B401" s="36"/>
      <c r="C401" s="35" t="s">
        <v>508</v>
      </c>
      <c r="D401" s="10" t="s">
        <v>508</v>
      </c>
      <c r="E401" s="11" t="s">
        <v>195</v>
      </c>
      <c r="F401" s="12" t="s">
        <v>195</v>
      </c>
      <c r="G401" s="13" t="str">
        <f>IF(LEN(TRIM(D401))=0,"",IFNA(VLOOKUP(UPPER(TRIM(D401)),'CLIENT DIRECTORY'!A:B,2,FALSE),""))</f>
        <v/>
      </c>
      <c r="H401" s="14" t="s">
        <v>508</v>
      </c>
      <c r="I401" s="15"/>
      <c r="J401" s="37" t="s">
        <v>140</v>
      </c>
      <c r="K401" s="17"/>
      <c r="L401" s="6" t="s">
        <v>982</v>
      </c>
      <c r="M401" s="6"/>
      <c r="N401" s="6"/>
      <c r="O401" s="6"/>
      <c r="P401" s="6"/>
      <c r="Q401" s="6"/>
      <c r="R401" s="6"/>
    </row>
    <row r="402" ht="22.5" customHeight="1">
      <c r="A402" s="49"/>
      <c r="B402" s="36"/>
      <c r="C402" s="35" t="s">
        <v>508</v>
      </c>
      <c r="D402" s="10" t="s">
        <v>508</v>
      </c>
      <c r="E402" s="11" t="s">
        <v>195</v>
      </c>
      <c r="F402" s="12" t="s">
        <v>195</v>
      </c>
      <c r="G402" s="13" t="str">
        <f>IF(LEN(TRIM(D402))=0,"",IFNA(VLOOKUP(UPPER(TRIM(D402)),'CLIENT DIRECTORY'!A:B,2,FALSE),""))</f>
        <v/>
      </c>
      <c r="H402" s="14" t="s">
        <v>508</v>
      </c>
      <c r="I402" s="15"/>
      <c r="J402" s="37" t="s">
        <v>140</v>
      </c>
      <c r="K402" s="17"/>
      <c r="L402" s="6" t="s">
        <v>983</v>
      </c>
      <c r="M402" s="6"/>
      <c r="N402" s="6"/>
      <c r="O402" s="6"/>
      <c r="P402" s="6"/>
      <c r="Q402" s="6"/>
      <c r="R402" s="6"/>
    </row>
    <row r="403" ht="22.5" customHeight="1">
      <c r="A403" s="49"/>
      <c r="B403" s="36"/>
      <c r="C403" s="9">
        <v>46099.0</v>
      </c>
      <c r="D403" s="10" t="s">
        <v>984</v>
      </c>
      <c r="E403" s="11" t="s">
        <v>985</v>
      </c>
      <c r="F403" s="55" t="s">
        <v>986</v>
      </c>
      <c r="G403" s="27" t="s">
        <v>987</v>
      </c>
      <c r="H403" s="14">
        <v>820000.0</v>
      </c>
      <c r="I403" s="38"/>
      <c r="J403" s="37" t="s">
        <v>988</v>
      </c>
      <c r="K403" s="17"/>
      <c r="L403" s="6" t="s">
        <v>989</v>
      </c>
      <c r="M403" s="6"/>
      <c r="N403" s="6"/>
      <c r="O403" s="6"/>
      <c r="P403" s="6"/>
      <c r="Q403" s="6"/>
      <c r="R403" s="6"/>
    </row>
    <row r="404" ht="22.5" customHeight="1">
      <c r="A404" s="49"/>
      <c r="B404" s="36"/>
      <c r="C404" s="9">
        <v>46100.0</v>
      </c>
      <c r="D404" s="10" t="s">
        <v>990</v>
      </c>
      <c r="E404" s="11" t="s">
        <v>991</v>
      </c>
      <c r="F404" s="43"/>
      <c r="G404" s="13" t="str">
        <f>IF(LEN(TRIM(D404))=0,"",IFNA(VLOOKUP(UPPER(TRIM(D404)),'CLIENT DIRECTORY'!A:B,2,FALSE),""))</f>
        <v/>
      </c>
      <c r="H404" s="14">
        <v>2500.0</v>
      </c>
      <c r="I404" s="15">
        <v>2500.0</v>
      </c>
      <c r="J404" s="37" t="s">
        <v>26</v>
      </c>
      <c r="K404" s="17"/>
      <c r="L404" s="6" t="s">
        <v>992</v>
      </c>
      <c r="M404" s="6"/>
      <c r="N404" s="6"/>
      <c r="O404" s="6"/>
      <c r="P404" s="6"/>
      <c r="Q404" s="6"/>
      <c r="R404" s="6"/>
    </row>
    <row r="405" ht="22.5" customHeight="1">
      <c r="A405" s="49"/>
      <c r="B405" s="36"/>
      <c r="C405" s="9">
        <v>46099.0</v>
      </c>
      <c r="D405" s="10" t="s">
        <v>993</v>
      </c>
      <c r="E405" s="11" t="s">
        <v>994</v>
      </c>
      <c r="F405" s="43"/>
      <c r="G405" s="13" t="s">
        <v>995</v>
      </c>
      <c r="H405" s="14">
        <v>2500.0</v>
      </c>
      <c r="I405" s="38"/>
      <c r="J405" s="37" t="s">
        <v>26</v>
      </c>
      <c r="K405" s="17"/>
      <c r="L405" s="6" t="s">
        <v>996</v>
      </c>
      <c r="M405" s="6"/>
      <c r="N405" s="6"/>
      <c r="O405" s="6"/>
      <c r="P405" s="6"/>
      <c r="Q405" s="6"/>
      <c r="R405" s="6"/>
    </row>
    <row r="406" ht="22.5" customHeight="1">
      <c r="A406" s="49"/>
      <c r="B406" s="36"/>
      <c r="C406" s="9">
        <v>46099.0</v>
      </c>
      <c r="D406" s="10" t="s">
        <v>997</v>
      </c>
      <c r="E406" s="11" t="s">
        <v>998</v>
      </c>
      <c r="F406" s="55" t="s">
        <v>524</v>
      </c>
      <c r="G406" s="27" t="s">
        <v>999</v>
      </c>
      <c r="H406" s="14">
        <v>700000.0</v>
      </c>
      <c r="I406" s="38"/>
      <c r="J406" s="37" t="s">
        <v>26</v>
      </c>
      <c r="K406" s="17"/>
      <c r="L406" s="6" t="s">
        <v>1000</v>
      </c>
      <c r="M406" s="6"/>
      <c r="N406" s="6"/>
      <c r="O406" s="6"/>
      <c r="P406" s="6"/>
      <c r="Q406" s="6"/>
      <c r="R406" s="6"/>
    </row>
    <row r="407" ht="22.5" customHeight="1">
      <c r="A407" s="49"/>
      <c r="B407" s="36"/>
      <c r="C407" s="35" t="s">
        <v>140</v>
      </c>
      <c r="D407" s="10" t="s">
        <v>140</v>
      </c>
      <c r="E407" s="11" t="s">
        <v>195</v>
      </c>
      <c r="F407" s="12" t="s">
        <v>140</v>
      </c>
      <c r="G407" s="13" t="str">
        <f>IF(LEN(TRIM(D407))=0,"",IFNA(VLOOKUP(UPPER(TRIM(D407)),'CLIENT DIRECTORY'!A:B,2,FALSE),""))</f>
        <v/>
      </c>
      <c r="H407" s="14" t="s">
        <v>140</v>
      </c>
      <c r="I407" s="15" t="s">
        <v>140</v>
      </c>
      <c r="J407" s="37" t="s">
        <v>140</v>
      </c>
      <c r="K407" s="17"/>
      <c r="L407" s="6" t="s">
        <v>1001</v>
      </c>
      <c r="M407" s="6"/>
      <c r="N407" s="6"/>
      <c r="O407" s="6"/>
      <c r="P407" s="6"/>
      <c r="Q407" s="6"/>
      <c r="R407" s="6"/>
    </row>
    <row r="408" ht="22.5" customHeight="1">
      <c r="A408" s="49"/>
      <c r="B408" s="36"/>
      <c r="C408" s="35" t="s">
        <v>140</v>
      </c>
      <c r="D408" s="10" t="s">
        <v>140</v>
      </c>
      <c r="E408" s="11" t="s">
        <v>195</v>
      </c>
      <c r="F408" s="12" t="s">
        <v>140</v>
      </c>
      <c r="G408" s="13" t="str">
        <f>IF(LEN(TRIM(D408))=0,"",IFNA(VLOOKUP(UPPER(TRIM(D408)),'CLIENT DIRECTORY'!A:B,2,FALSE),""))</f>
        <v/>
      </c>
      <c r="H408" s="14" t="s">
        <v>140</v>
      </c>
      <c r="I408" s="15" t="s">
        <v>140</v>
      </c>
      <c r="J408" s="37" t="s">
        <v>140</v>
      </c>
      <c r="K408" s="17"/>
      <c r="L408" s="6" t="s">
        <v>1002</v>
      </c>
      <c r="M408" s="6"/>
      <c r="N408" s="6"/>
      <c r="O408" s="6"/>
      <c r="P408" s="6"/>
      <c r="Q408" s="6"/>
      <c r="R408" s="6"/>
    </row>
    <row r="409" ht="22.5" customHeight="1">
      <c r="A409" s="49"/>
      <c r="B409" s="36"/>
      <c r="C409" s="35" t="s">
        <v>140</v>
      </c>
      <c r="D409" s="10" t="s">
        <v>140</v>
      </c>
      <c r="E409" s="11" t="s">
        <v>195</v>
      </c>
      <c r="F409" s="12" t="s">
        <v>140</v>
      </c>
      <c r="G409" s="13" t="str">
        <f>IF(LEN(TRIM(D409))=0,"",IFNA(VLOOKUP(UPPER(TRIM(D409)),'CLIENT DIRECTORY'!A:B,2,FALSE),""))</f>
        <v/>
      </c>
      <c r="H409" s="14" t="s">
        <v>140</v>
      </c>
      <c r="I409" s="15" t="s">
        <v>140</v>
      </c>
      <c r="J409" s="37" t="s">
        <v>140</v>
      </c>
      <c r="K409" s="17"/>
      <c r="L409" s="6" t="s">
        <v>1003</v>
      </c>
      <c r="M409" s="6"/>
      <c r="N409" s="6"/>
      <c r="O409" s="6"/>
      <c r="P409" s="6"/>
      <c r="Q409" s="6"/>
      <c r="R409" s="6"/>
    </row>
    <row r="410" ht="22.5" customHeight="1">
      <c r="A410" s="49"/>
      <c r="B410" s="36"/>
      <c r="C410" s="35" t="s">
        <v>140</v>
      </c>
      <c r="D410" s="10" t="s">
        <v>140</v>
      </c>
      <c r="E410" s="11" t="s">
        <v>195</v>
      </c>
      <c r="F410" s="12" t="s">
        <v>140</v>
      </c>
      <c r="G410" s="13" t="str">
        <f>IF(LEN(TRIM(D410))=0,"",IFNA(VLOOKUP(UPPER(TRIM(D410)),'CLIENT DIRECTORY'!A:B,2,FALSE),""))</f>
        <v/>
      </c>
      <c r="H410" s="14" t="s">
        <v>140</v>
      </c>
      <c r="I410" s="15" t="s">
        <v>140</v>
      </c>
      <c r="J410" s="37" t="s">
        <v>140</v>
      </c>
      <c r="K410" s="17"/>
      <c r="L410" s="6" t="s">
        <v>1004</v>
      </c>
      <c r="M410" s="6"/>
      <c r="N410" s="6"/>
      <c r="O410" s="6"/>
      <c r="P410" s="6"/>
      <c r="Q410" s="6"/>
      <c r="R410" s="6"/>
    </row>
    <row r="411" ht="22.5" customHeight="1">
      <c r="A411" s="49"/>
      <c r="B411" s="36"/>
      <c r="C411" s="35" t="s">
        <v>140</v>
      </c>
      <c r="D411" s="10" t="s">
        <v>140</v>
      </c>
      <c r="E411" s="11" t="s">
        <v>195</v>
      </c>
      <c r="F411" s="12" t="s">
        <v>140</v>
      </c>
      <c r="G411" s="13" t="str">
        <f>IF(LEN(TRIM(D411))=0,"",IFNA(VLOOKUP(UPPER(TRIM(D411)),'CLIENT DIRECTORY'!A:B,2,FALSE),""))</f>
        <v/>
      </c>
      <c r="H411" s="14" t="s">
        <v>140</v>
      </c>
      <c r="I411" s="15" t="s">
        <v>140</v>
      </c>
      <c r="J411" s="37" t="s">
        <v>140</v>
      </c>
      <c r="K411" s="17"/>
      <c r="L411" s="6" t="s">
        <v>1005</v>
      </c>
      <c r="M411" s="6"/>
      <c r="N411" s="6"/>
      <c r="O411" s="6"/>
      <c r="P411" s="6"/>
      <c r="Q411" s="6"/>
      <c r="R411" s="6"/>
    </row>
    <row r="412" ht="22.5" customHeight="1">
      <c r="A412" s="49"/>
      <c r="B412" s="36"/>
      <c r="C412" s="35" t="s">
        <v>140</v>
      </c>
      <c r="D412" s="10" t="s">
        <v>140</v>
      </c>
      <c r="E412" s="11" t="s">
        <v>195</v>
      </c>
      <c r="F412" s="12" t="s">
        <v>140</v>
      </c>
      <c r="G412" s="13" t="str">
        <f>IF(LEN(TRIM(D412))=0,"",IFNA(VLOOKUP(UPPER(TRIM(D412)),'CLIENT DIRECTORY'!A:B,2,FALSE),""))</f>
        <v/>
      </c>
      <c r="H412" s="14" t="s">
        <v>140</v>
      </c>
      <c r="I412" s="15" t="s">
        <v>140</v>
      </c>
      <c r="J412" s="37" t="s">
        <v>140</v>
      </c>
      <c r="K412" s="17"/>
      <c r="L412" s="6" t="s">
        <v>1006</v>
      </c>
      <c r="M412" s="6"/>
      <c r="N412" s="6"/>
      <c r="O412" s="6"/>
      <c r="P412" s="6"/>
      <c r="Q412" s="6"/>
      <c r="R412" s="6"/>
    </row>
    <row r="413" ht="22.5" customHeight="1">
      <c r="A413" s="49"/>
      <c r="B413" s="36"/>
      <c r="C413" s="9">
        <v>46099.0</v>
      </c>
      <c r="D413" s="10" t="s">
        <v>445</v>
      </c>
      <c r="E413" s="11" t="s">
        <v>1007</v>
      </c>
      <c r="F413" s="43"/>
      <c r="G413" s="13" t="s">
        <v>447</v>
      </c>
      <c r="H413" s="14">
        <v>2500.0</v>
      </c>
      <c r="I413" s="15">
        <v>2500.0</v>
      </c>
      <c r="J413" s="37" t="s">
        <v>26</v>
      </c>
      <c r="K413" s="17"/>
      <c r="L413" s="6" t="s">
        <v>1008</v>
      </c>
      <c r="M413" s="6"/>
      <c r="N413" s="6"/>
      <c r="O413" s="6"/>
      <c r="P413" s="6"/>
      <c r="Q413" s="6"/>
      <c r="R413" s="6"/>
    </row>
    <row r="414" ht="22.5" customHeight="1">
      <c r="A414" s="49"/>
      <c r="B414" s="36"/>
      <c r="C414" s="9">
        <v>46100.0</v>
      </c>
      <c r="D414" s="10" t="s">
        <v>54</v>
      </c>
      <c r="E414" s="11" t="s">
        <v>1009</v>
      </c>
      <c r="F414" s="43"/>
      <c r="G414" s="13" t="s">
        <v>56</v>
      </c>
      <c r="H414" s="14">
        <v>2500.0</v>
      </c>
      <c r="I414" s="15">
        <v>2500.0</v>
      </c>
      <c r="J414" s="37" t="s">
        <v>26</v>
      </c>
      <c r="K414" s="17"/>
      <c r="L414" s="6" t="s">
        <v>1010</v>
      </c>
      <c r="M414" s="6"/>
      <c r="N414" s="6"/>
      <c r="O414" s="6"/>
      <c r="P414" s="6"/>
      <c r="Q414" s="6"/>
      <c r="R414" s="6"/>
    </row>
    <row r="415" ht="22.5" customHeight="1">
      <c r="A415" s="49"/>
      <c r="B415" s="36"/>
      <c r="C415" s="9">
        <v>46100.0</v>
      </c>
      <c r="D415" s="10" t="s">
        <v>54</v>
      </c>
      <c r="E415" s="11" t="s">
        <v>1009</v>
      </c>
      <c r="F415" s="43"/>
      <c r="G415" s="13" t="s">
        <v>56</v>
      </c>
      <c r="H415" s="14">
        <v>2500.0</v>
      </c>
      <c r="I415" s="15">
        <v>2500.0</v>
      </c>
      <c r="J415" s="37" t="s">
        <v>26</v>
      </c>
      <c r="K415" s="17"/>
      <c r="L415" s="6" t="s">
        <v>1011</v>
      </c>
      <c r="M415" s="6"/>
      <c r="N415" s="6"/>
      <c r="O415" s="6"/>
      <c r="P415" s="6"/>
      <c r="Q415" s="6"/>
      <c r="R415" s="6"/>
    </row>
    <row r="416" ht="22.5" customHeight="1">
      <c r="A416" s="49"/>
      <c r="B416" s="36"/>
      <c r="C416" s="9">
        <v>46100.0</v>
      </c>
      <c r="D416" s="10" t="s">
        <v>70</v>
      </c>
      <c r="E416" s="11" t="s">
        <v>1012</v>
      </c>
      <c r="F416" s="43"/>
      <c r="G416" s="13" t="s">
        <v>72</v>
      </c>
      <c r="H416" s="14">
        <v>5000.0</v>
      </c>
      <c r="I416" s="15">
        <v>5000.0</v>
      </c>
      <c r="J416" s="37" t="s">
        <v>21</v>
      </c>
      <c r="K416" s="17"/>
      <c r="L416" s="6" t="s">
        <v>1013</v>
      </c>
      <c r="M416" s="6"/>
      <c r="N416" s="6"/>
      <c r="O416" s="6"/>
      <c r="P416" s="6"/>
      <c r="Q416" s="6"/>
      <c r="R416" s="6"/>
    </row>
    <row r="417" ht="22.5" customHeight="1">
      <c r="A417" s="49"/>
      <c r="B417" s="36"/>
      <c r="C417" s="9">
        <v>46100.0</v>
      </c>
      <c r="D417" s="10" t="s">
        <v>306</v>
      </c>
      <c r="E417" s="11" t="s">
        <v>1014</v>
      </c>
      <c r="F417" s="43"/>
      <c r="G417" s="13" t="s">
        <v>307</v>
      </c>
      <c r="H417" s="14">
        <v>200001.0</v>
      </c>
      <c r="I417" s="15">
        <v>200001.0</v>
      </c>
      <c r="J417" s="37" t="s">
        <v>26</v>
      </c>
      <c r="K417" s="17"/>
      <c r="L417" s="6" t="s">
        <v>1015</v>
      </c>
      <c r="M417" s="6"/>
      <c r="N417" s="6"/>
      <c r="O417" s="6"/>
      <c r="P417" s="6"/>
      <c r="Q417" s="6"/>
      <c r="R417" s="6"/>
    </row>
    <row r="418" ht="22.5" customHeight="1">
      <c r="A418" s="49"/>
      <c r="B418" s="36"/>
      <c r="C418" s="9">
        <v>46100.0</v>
      </c>
      <c r="D418" s="10" t="s">
        <v>855</v>
      </c>
      <c r="E418" s="11" t="s">
        <v>1016</v>
      </c>
      <c r="F418" s="55"/>
      <c r="G418" s="27" t="s">
        <v>857</v>
      </c>
      <c r="H418" s="14">
        <v>100000.0</v>
      </c>
      <c r="I418" s="15">
        <v>100000.0</v>
      </c>
      <c r="J418" s="37" t="s">
        <v>26</v>
      </c>
      <c r="K418" s="17"/>
      <c r="L418" s="6" t="s">
        <v>1017</v>
      </c>
      <c r="M418" s="6"/>
      <c r="N418" s="6"/>
      <c r="O418" s="6"/>
      <c r="P418" s="6"/>
      <c r="Q418" s="6"/>
      <c r="R418" s="6"/>
    </row>
    <row r="419" ht="22.5" customHeight="1">
      <c r="A419" s="49"/>
      <c r="B419" s="36"/>
      <c r="C419" s="9">
        <v>46100.0</v>
      </c>
      <c r="D419" s="10" t="s">
        <v>855</v>
      </c>
      <c r="E419" s="11" t="s">
        <v>1018</v>
      </c>
      <c r="F419" s="55" t="s">
        <v>1019</v>
      </c>
      <c r="G419" s="27" t="s">
        <v>857</v>
      </c>
      <c r="H419" s="14">
        <v>400000.0</v>
      </c>
      <c r="I419" s="15">
        <v>400000.0</v>
      </c>
      <c r="J419" s="37" t="s">
        <v>26</v>
      </c>
      <c r="K419" s="17"/>
      <c r="L419" s="6" t="s">
        <v>1020</v>
      </c>
      <c r="M419" s="6"/>
      <c r="N419" s="6"/>
      <c r="O419" s="6"/>
      <c r="P419" s="6"/>
      <c r="Q419" s="6"/>
      <c r="R419" s="6"/>
    </row>
    <row r="420" ht="22.5" customHeight="1">
      <c r="A420" s="49"/>
      <c r="B420" s="36"/>
      <c r="C420" s="9">
        <v>46100.0</v>
      </c>
      <c r="D420" s="10" t="s">
        <v>715</v>
      </c>
      <c r="E420" s="11" t="s">
        <v>917</v>
      </c>
      <c r="F420" s="43"/>
      <c r="G420" s="13" t="str">
        <f>IF(LEN(TRIM(D420))=0,"",IFNA(VLOOKUP(UPPER(TRIM(D420)),'CLIENT DIRECTORY'!A:B,2,FALSE),""))</f>
        <v/>
      </c>
      <c r="H420" s="14">
        <v>3000.0</v>
      </c>
      <c r="I420" s="38"/>
      <c r="J420" s="37" t="s">
        <v>26</v>
      </c>
      <c r="K420" s="17"/>
      <c r="L420" s="6" t="s">
        <v>1021</v>
      </c>
      <c r="M420" s="6"/>
      <c r="N420" s="6"/>
      <c r="O420" s="6"/>
      <c r="P420" s="6"/>
      <c r="Q420" s="6"/>
      <c r="R420" s="6"/>
    </row>
    <row r="421" ht="22.5" customHeight="1">
      <c r="A421" s="49"/>
      <c r="B421" s="36"/>
      <c r="C421" s="35" t="s">
        <v>508</v>
      </c>
      <c r="D421" s="10" t="s">
        <v>508</v>
      </c>
      <c r="E421" s="11" t="s">
        <v>195</v>
      </c>
      <c r="F421" s="12" t="s">
        <v>195</v>
      </c>
      <c r="G421" s="13" t="str">
        <f>IF(LEN(TRIM(D421))=0,"",IFNA(VLOOKUP(UPPER(TRIM(D421)),'CLIENT DIRECTORY'!A:B,2,FALSE),""))</f>
        <v/>
      </c>
      <c r="H421" s="14" t="s">
        <v>508</v>
      </c>
      <c r="I421" s="15"/>
      <c r="J421" s="37" t="s">
        <v>140</v>
      </c>
      <c r="K421" s="17"/>
      <c r="L421" s="6" t="s">
        <v>1022</v>
      </c>
      <c r="M421" s="6"/>
      <c r="N421" s="6"/>
      <c r="O421" s="6"/>
      <c r="P421" s="6"/>
      <c r="Q421" s="6"/>
      <c r="R421" s="6"/>
    </row>
    <row r="422" ht="22.5" customHeight="1">
      <c r="A422" s="49"/>
      <c r="B422" s="36"/>
      <c r="C422" s="35" t="s">
        <v>508</v>
      </c>
      <c r="D422" s="10" t="s">
        <v>508</v>
      </c>
      <c r="E422" s="11" t="s">
        <v>195</v>
      </c>
      <c r="F422" s="12" t="s">
        <v>195</v>
      </c>
      <c r="G422" s="13" t="str">
        <f>IF(LEN(TRIM(D422))=0,"",IFNA(VLOOKUP(UPPER(TRIM(D422)),'CLIENT DIRECTORY'!A:B,2,FALSE),""))</f>
        <v/>
      </c>
      <c r="H422" s="14" t="s">
        <v>508</v>
      </c>
      <c r="I422" s="15"/>
      <c r="J422" s="37" t="s">
        <v>140</v>
      </c>
      <c r="K422" s="17"/>
      <c r="L422" s="6" t="s">
        <v>1023</v>
      </c>
      <c r="M422" s="6"/>
      <c r="N422" s="6"/>
      <c r="O422" s="6"/>
      <c r="P422" s="6"/>
      <c r="Q422" s="6"/>
      <c r="R422" s="6"/>
    </row>
    <row r="423" ht="22.5" customHeight="1">
      <c r="A423" s="49"/>
      <c r="B423" s="36"/>
      <c r="C423" s="35" t="s">
        <v>508</v>
      </c>
      <c r="D423" s="10" t="s">
        <v>508</v>
      </c>
      <c r="E423" s="11" t="s">
        <v>195</v>
      </c>
      <c r="F423" s="12" t="s">
        <v>195</v>
      </c>
      <c r="G423" s="13" t="str">
        <f>IF(LEN(TRIM(D423))=0,"",IFNA(VLOOKUP(UPPER(TRIM(D423)),'CLIENT DIRECTORY'!A:B,2,FALSE),""))</f>
        <v/>
      </c>
      <c r="H423" s="14" t="s">
        <v>508</v>
      </c>
      <c r="I423" s="15"/>
      <c r="J423" s="37" t="s">
        <v>140</v>
      </c>
      <c r="K423" s="17"/>
      <c r="L423" s="6" t="s">
        <v>1024</v>
      </c>
      <c r="M423" s="6"/>
      <c r="N423" s="6"/>
      <c r="O423" s="6"/>
      <c r="P423" s="6"/>
      <c r="Q423" s="6"/>
      <c r="R423" s="6"/>
    </row>
    <row r="424" ht="22.5" customHeight="1">
      <c r="A424" s="49"/>
      <c r="B424" s="36"/>
      <c r="C424" s="35" t="s">
        <v>508</v>
      </c>
      <c r="D424" s="10" t="s">
        <v>508</v>
      </c>
      <c r="E424" s="11" t="s">
        <v>195</v>
      </c>
      <c r="F424" s="12" t="s">
        <v>195</v>
      </c>
      <c r="G424" s="13" t="str">
        <f>IF(LEN(TRIM(D424))=0,"",IFNA(VLOOKUP(UPPER(TRIM(D424)),'CLIENT DIRECTORY'!A:B,2,FALSE),""))</f>
        <v/>
      </c>
      <c r="H424" s="14" t="s">
        <v>508</v>
      </c>
      <c r="I424" s="15"/>
      <c r="J424" s="37" t="s">
        <v>140</v>
      </c>
      <c r="K424" s="17"/>
      <c r="L424" s="6" t="s">
        <v>1025</v>
      </c>
      <c r="M424" s="6"/>
      <c r="N424" s="6"/>
      <c r="O424" s="6"/>
      <c r="P424" s="6"/>
      <c r="Q424" s="6"/>
      <c r="R424" s="6"/>
    </row>
    <row r="425" ht="22.5" customHeight="1">
      <c r="A425" s="49"/>
      <c r="B425" s="36"/>
      <c r="C425" s="39">
        <v>46101.0</v>
      </c>
      <c r="D425" s="10" t="s">
        <v>70</v>
      </c>
      <c r="E425" s="11" t="s">
        <v>1026</v>
      </c>
      <c r="F425" s="12" t="s">
        <v>1027</v>
      </c>
      <c r="G425" s="13" t="s">
        <v>72</v>
      </c>
      <c r="H425" s="14">
        <v>280000.0</v>
      </c>
      <c r="I425" s="15">
        <v>280000.0</v>
      </c>
      <c r="J425" s="37" t="s">
        <v>26</v>
      </c>
      <c r="K425" s="17"/>
      <c r="L425" s="6" t="s">
        <v>1028</v>
      </c>
      <c r="M425" s="6"/>
      <c r="N425" s="6"/>
      <c r="O425" s="6"/>
      <c r="P425" s="6"/>
      <c r="Q425" s="6"/>
      <c r="R425" s="6"/>
    </row>
    <row r="426" ht="22.5" customHeight="1">
      <c r="A426" s="49"/>
      <c r="B426" s="36"/>
      <c r="C426" s="39">
        <v>46101.0</v>
      </c>
      <c r="D426" s="10" t="s">
        <v>855</v>
      </c>
      <c r="E426" s="11" t="s">
        <v>1029</v>
      </c>
      <c r="F426" s="43"/>
      <c r="G426" s="13" t="s">
        <v>857</v>
      </c>
      <c r="H426" s="14">
        <v>500000.0</v>
      </c>
      <c r="I426" s="15">
        <v>500000.0</v>
      </c>
      <c r="J426" s="37" t="s">
        <v>26</v>
      </c>
      <c r="K426" s="17"/>
      <c r="L426" s="6" t="s">
        <v>1030</v>
      </c>
      <c r="M426" s="6"/>
      <c r="N426" s="6"/>
      <c r="O426" s="6"/>
      <c r="P426" s="6"/>
      <c r="Q426" s="6"/>
      <c r="R426" s="6"/>
    </row>
    <row r="427" ht="22.5" customHeight="1">
      <c r="A427" s="49"/>
      <c r="B427" s="36"/>
      <c r="C427" s="39">
        <v>46101.0</v>
      </c>
      <c r="D427" s="10" t="s">
        <v>1031</v>
      </c>
      <c r="E427" s="11" t="s">
        <v>263</v>
      </c>
      <c r="F427" s="43"/>
      <c r="G427" s="13" t="str">
        <f>IF(LEN(TRIM(D427))=0,"",IFNA(VLOOKUP(UPPER(TRIM(D427)),'CLIENT DIRECTORY'!A:B,2,FALSE),""))</f>
        <v/>
      </c>
      <c r="H427" s="14">
        <v>2500.0</v>
      </c>
      <c r="I427" s="38"/>
      <c r="J427" s="37" t="s">
        <v>26</v>
      </c>
      <c r="K427" s="17"/>
      <c r="L427" s="6" t="s">
        <v>1032</v>
      </c>
      <c r="M427" s="6"/>
      <c r="N427" s="6"/>
      <c r="O427" s="6"/>
      <c r="P427" s="6"/>
      <c r="Q427" s="6"/>
      <c r="R427" s="6"/>
    </row>
    <row r="428" ht="22.5" customHeight="1">
      <c r="A428" s="49"/>
      <c r="B428" s="36"/>
      <c r="C428" s="51" t="s">
        <v>140</v>
      </c>
      <c r="D428" s="45" t="s">
        <v>508</v>
      </c>
      <c r="E428" s="46" t="s">
        <v>140</v>
      </c>
      <c r="F428" s="52" t="s">
        <v>140</v>
      </c>
      <c r="G428" s="47" t="str">
        <f>IF(LEN(TRIM(D428))=0,"",IFNA(VLOOKUP(UPPER(TRIM(D428)),'CLIENT DIRECTORY'!A:B,2,FALSE),""))</f>
        <v/>
      </c>
      <c r="H428" s="48" t="s">
        <v>140</v>
      </c>
      <c r="I428" s="32"/>
      <c r="J428" s="44" t="s">
        <v>285</v>
      </c>
      <c r="K428" s="17"/>
      <c r="L428" s="6" t="s">
        <v>1033</v>
      </c>
      <c r="M428" s="6"/>
      <c r="N428" s="6"/>
      <c r="O428" s="6"/>
      <c r="P428" s="6"/>
      <c r="Q428" s="6"/>
      <c r="R428" s="6"/>
    </row>
    <row r="429" ht="22.5" customHeight="1">
      <c r="A429" s="49"/>
      <c r="B429" s="36"/>
      <c r="C429" s="51" t="s">
        <v>140</v>
      </c>
      <c r="D429" s="45" t="s">
        <v>508</v>
      </c>
      <c r="E429" s="46" t="s">
        <v>140</v>
      </c>
      <c r="F429" s="52" t="s">
        <v>140</v>
      </c>
      <c r="G429" s="47" t="str">
        <f>IF(LEN(TRIM(D429))=0,"",IFNA(VLOOKUP(UPPER(TRIM(D429)),'CLIENT DIRECTORY'!A:B,2,FALSE),""))</f>
        <v/>
      </c>
      <c r="H429" s="48" t="s">
        <v>140</v>
      </c>
      <c r="I429" s="32"/>
      <c r="J429" s="44" t="s">
        <v>285</v>
      </c>
      <c r="K429" s="17"/>
      <c r="L429" s="6" t="s">
        <v>1034</v>
      </c>
      <c r="M429" s="6"/>
      <c r="N429" s="6"/>
      <c r="O429" s="6"/>
      <c r="P429" s="6"/>
      <c r="Q429" s="6"/>
      <c r="R429" s="6"/>
    </row>
    <row r="430" ht="22.5" customHeight="1">
      <c r="A430" s="49"/>
      <c r="B430" s="36"/>
      <c r="C430" s="51" t="s">
        <v>140</v>
      </c>
      <c r="D430" s="45" t="s">
        <v>508</v>
      </c>
      <c r="E430" s="46" t="s">
        <v>140</v>
      </c>
      <c r="F430" s="52" t="s">
        <v>140</v>
      </c>
      <c r="G430" s="47" t="str">
        <f>IF(LEN(TRIM(D430))=0,"",IFNA(VLOOKUP(UPPER(TRIM(D430)),'CLIENT DIRECTORY'!A:B,2,FALSE),""))</f>
        <v/>
      </c>
      <c r="H430" s="48" t="s">
        <v>140</v>
      </c>
      <c r="I430" s="32"/>
      <c r="J430" s="44" t="s">
        <v>285</v>
      </c>
      <c r="K430" s="17"/>
      <c r="L430" s="6" t="s">
        <v>1035</v>
      </c>
      <c r="M430" s="6"/>
      <c r="N430" s="6"/>
      <c r="O430" s="6"/>
      <c r="P430" s="6"/>
      <c r="Q430" s="6"/>
      <c r="R430" s="6"/>
    </row>
    <row r="431" ht="22.5" customHeight="1">
      <c r="A431" s="49"/>
      <c r="B431" s="36"/>
      <c r="C431" s="39">
        <v>46102.0</v>
      </c>
      <c r="D431" s="10" t="s">
        <v>64</v>
      </c>
      <c r="E431" s="11" t="s">
        <v>1036</v>
      </c>
      <c r="F431" s="43"/>
      <c r="G431" s="13" t="s">
        <v>66</v>
      </c>
      <c r="H431" s="14">
        <v>2500.0</v>
      </c>
      <c r="I431" s="15">
        <v>2500.0</v>
      </c>
      <c r="J431" s="37" t="s">
        <v>26</v>
      </c>
      <c r="K431" s="17"/>
      <c r="L431" s="6" t="s">
        <v>1037</v>
      </c>
      <c r="M431" s="6"/>
      <c r="N431" s="6"/>
      <c r="O431" s="6"/>
      <c r="P431" s="6"/>
      <c r="Q431" s="6"/>
      <c r="R431" s="6"/>
    </row>
    <row r="432" ht="22.5" customHeight="1">
      <c r="A432" s="49"/>
      <c r="B432" s="36"/>
      <c r="C432" s="39">
        <v>46103.0</v>
      </c>
      <c r="D432" s="10" t="s">
        <v>78</v>
      </c>
      <c r="E432" s="11" t="s">
        <v>1038</v>
      </c>
      <c r="F432" s="43"/>
      <c r="G432" s="13" t="s">
        <v>80</v>
      </c>
      <c r="H432" s="14">
        <v>2500.0</v>
      </c>
      <c r="I432" s="15">
        <v>2500.0</v>
      </c>
      <c r="J432" s="37" t="s">
        <v>26</v>
      </c>
      <c r="K432" s="17"/>
      <c r="L432" s="6" t="s">
        <v>1039</v>
      </c>
      <c r="M432" s="6"/>
      <c r="N432" s="6"/>
      <c r="O432" s="6"/>
      <c r="P432" s="6"/>
      <c r="Q432" s="6"/>
      <c r="R432" s="6"/>
    </row>
    <row r="433" ht="22.5" customHeight="1">
      <c r="A433" s="49"/>
      <c r="B433" s="36"/>
      <c r="C433" s="9">
        <v>46102.0</v>
      </c>
      <c r="D433" s="10" t="s">
        <v>1040</v>
      </c>
      <c r="E433" s="11" t="s">
        <v>1041</v>
      </c>
      <c r="F433" s="12" t="s">
        <v>986</v>
      </c>
      <c r="G433" s="13" t="s">
        <v>1042</v>
      </c>
      <c r="H433" s="14">
        <v>830000.0</v>
      </c>
      <c r="I433" s="15">
        <v>830000.0</v>
      </c>
      <c r="J433" s="37" t="s">
        <v>26</v>
      </c>
      <c r="K433" s="17"/>
      <c r="L433" s="6" t="s">
        <v>1043</v>
      </c>
      <c r="M433" s="6"/>
      <c r="N433" s="6"/>
      <c r="O433" s="6"/>
      <c r="P433" s="6"/>
      <c r="Q433" s="6"/>
      <c r="R433" s="6"/>
    </row>
    <row r="434" ht="22.5" customHeight="1">
      <c r="A434" s="49"/>
      <c r="B434" s="36"/>
      <c r="C434" s="9">
        <v>46102.0</v>
      </c>
      <c r="D434" s="10" t="s">
        <v>1044</v>
      </c>
      <c r="E434" s="11" t="s">
        <v>1045</v>
      </c>
      <c r="F434" s="43"/>
      <c r="G434" s="13" t="str">
        <f>IF(LEN(TRIM(D434))=0,"",IFNA(VLOOKUP(UPPER(TRIM(D434)),'CLIENT DIRECTORY'!A:B,2,FALSE),""))</f>
        <v/>
      </c>
      <c r="H434" s="14">
        <v>15000.0</v>
      </c>
      <c r="I434" s="38"/>
      <c r="J434" s="37" t="s">
        <v>26</v>
      </c>
      <c r="K434" s="17"/>
      <c r="L434" s="6" t="s">
        <v>1046</v>
      </c>
      <c r="M434" s="6"/>
      <c r="N434" s="6"/>
      <c r="O434" s="6"/>
      <c r="P434" s="6"/>
      <c r="Q434" s="6"/>
      <c r="R434" s="6"/>
    </row>
    <row r="435" ht="22.5" customHeight="1">
      <c r="A435" s="49"/>
      <c r="B435" s="36"/>
      <c r="C435" s="9">
        <v>46102.0</v>
      </c>
      <c r="D435" s="10" t="s">
        <v>1047</v>
      </c>
      <c r="E435" s="11" t="s">
        <v>1048</v>
      </c>
      <c r="F435" s="43"/>
      <c r="G435" s="13" t="str">
        <f>IF(LEN(TRIM(D435))=0,"",IFNA(VLOOKUP(UPPER(TRIM(D435)),'CLIENT DIRECTORY'!A:B,2,FALSE),""))</f>
        <v/>
      </c>
      <c r="H435" s="14">
        <v>200000.0</v>
      </c>
      <c r="I435" s="38"/>
      <c r="J435" s="37" t="s">
        <v>26</v>
      </c>
      <c r="K435" s="17"/>
      <c r="L435" s="6" t="s">
        <v>1049</v>
      </c>
      <c r="M435" s="6"/>
      <c r="N435" s="6"/>
      <c r="O435" s="6"/>
      <c r="P435" s="6"/>
      <c r="Q435" s="6"/>
      <c r="R435" s="6"/>
    </row>
    <row r="436" ht="22.5" customHeight="1">
      <c r="A436" s="49"/>
      <c r="B436" s="36"/>
      <c r="C436" s="9">
        <v>46102.0</v>
      </c>
      <c r="D436" s="10" t="s">
        <v>1050</v>
      </c>
      <c r="E436" s="11" t="s">
        <v>1051</v>
      </c>
      <c r="F436" s="43"/>
      <c r="G436" s="13" t="str">
        <f>IF(LEN(TRIM(D436))=0,"",IFNA(VLOOKUP(UPPER(TRIM(D436)),'CLIENT DIRECTORY'!A:B,2,FALSE),""))</f>
        <v/>
      </c>
      <c r="H436" s="14">
        <v>8000.0</v>
      </c>
      <c r="I436" s="15">
        <v>8000.0</v>
      </c>
      <c r="J436" s="37" t="s">
        <v>26</v>
      </c>
      <c r="K436" s="17"/>
      <c r="L436" s="6" t="s">
        <v>1052</v>
      </c>
      <c r="M436" s="6"/>
      <c r="N436" s="6"/>
      <c r="O436" s="6"/>
      <c r="P436" s="6"/>
      <c r="Q436" s="6"/>
      <c r="R436" s="6"/>
    </row>
    <row r="437" ht="22.5" customHeight="1">
      <c r="A437" s="49"/>
      <c r="B437" s="36"/>
      <c r="C437" s="9">
        <v>46102.0</v>
      </c>
      <c r="D437" s="10" t="s">
        <v>1053</v>
      </c>
      <c r="E437" s="11" t="s">
        <v>1054</v>
      </c>
      <c r="F437" s="43"/>
      <c r="G437" s="13" t="str">
        <f>IF(LEN(TRIM(D437))=0,"",IFNA(VLOOKUP(UPPER(TRIM(D437)),'CLIENT DIRECTORY'!A:B,2,FALSE),""))</f>
        <v/>
      </c>
      <c r="H437" s="14">
        <v>15000.0</v>
      </c>
      <c r="I437" s="38"/>
      <c r="J437" s="37" t="s">
        <v>26</v>
      </c>
      <c r="K437" s="17"/>
      <c r="L437" s="6" t="s">
        <v>1055</v>
      </c>
      <c r="M437" s="6"/>
      <c r="N437" s="6"/>
      <c r="O437" s="6"/>
      <c r="P437" s="6"/>
      <c r="Q437" s="6"/>
      <c r="R437" s="6"/>
    </row>
    <row r="438" ht="22.5" customHeight="1">
      <c r="A438" s="49"/>
      <c r="B438" s="36"/>
      <c r="C438" s="9">
        <v>46102.0</v>
      </c>
      <c r="D438" s="10" t="s">
        <v>1056</v>
      </c>
      <c r="E438" s="11" t="s">
        <v>1057</v>
      </c>
      <c r="F438" s="43"/>
      <c r="G438" s="13" t="str">
        <f>IF(LEN(TRIM(D438))=0,"",IFNA(VLOOKUP(UPPER(TRIM(D438)),'CLIENT DIRECTORY'!A:B,2,FALSE),""))</f>
        <v/>
      </c>
      <c r="H438" s="14">
        <v>10000.0</v>
      </c>
      <c r="I438" s="15">
        <v>10000.0</v>
      </c>
      <c r="J438" s="37" t="s">
        <v>26</v>
      </c>
      <c r="K438" s="17"/>
      <c r="L438" s="6" t="s">
        <v>1058</v>
      </c>
      <c r="M438" s="6"/>
      <c r="N438" s="6"/>
      <c r="O438" s="6"/>
      <c r="P438" s="6"/>
      <c r="Q438" s="6"/>
      <c r="R438" s="6"/>
    </row>
    <row r="439" ht="22.5" customHeight="1">
      <c r="A439" s="49"/>
      <c r="B439" s="36"/>
      <c r="C439" s="9">
        <v>46102.0</v>
      </c>
      <c r="D439" s="10" t="s">
        <v>364</v>
      </c>
      <c r="E439" s="11" t="s">
        <v>1059</v>
      </c>
      <c r="F439" s="43"/>
      <c r="G439" s="13" t="s">
        <v>366</v>
      </c>
      <c r="H439" s="14">
        <v>2500.0</v>
      </c>
      <c r="I439" s="15">
        <v>2500.0</v>
      </c>
      <c r="J439" s="37" t="s">
        <v>21</v>
      </c>
      <c r="K439" s="17"/>
      <c r="L439" s="6" t="s">
        <v>1060</v>
      </c>
      <c r="M439" s="6"/>
      <c r="N439" s="6"/>
      <c r="O439" s="6"/>
      <c r="P439" s="6"/>
      <c r="Q439" s="6"/>
      <c r="R439" s="6"/>
    </row>
    <row r="440" ht="22.5" customHeight="1">
      <c r="A440" s="49"/>
      <c r="B440" s="36"/>
      <c r="C440" s="35" t="s">
        <v>508</v>
      </c>
      <c r="D440" s="10" t="s">
        <v>508</v>
      </c>
      <c r="E440" s="11" t="s">
        <v>195</v>
      </c>
      <c r="F440" s="12" t="s">
        <v>195</v>
      </c>
      <c r="G440" s="13" t="str">
        <f>IF(LEN(TRIM(D440))=0,"",IFNA(VLOOKUP(UPPER(TRIM(D440)),'CLIENT DIRECTORY'!A:B,2,FALSE),""))</f>
        <v/>
      </c>
      <c r="H440" s="14" t="s">
        <v>508</v>
      </c>
      <c r="I440" s="15"/>
      <c r="J440" s="37" t="s">
        <v>140</v>
      </c>
      <c r="K440" s="31" t="s">
        <v>140</v>
      </c>
      <c r="L440" s="6" t="s">
        <v>1061</v>
      </c>
      <c r="M440" s="6"/>
      <c r="N440" s="6"/>
      <c r="O440" s="6"/>
      <c r="P440" s="6"/>
      <c r="Q440" s="6"/>
      <c r="R440" s="6"/>
    </row>
    <row r="441" ht="22.5" customHeight="1">
      <c r="A441" s="49"/>
      <c r="B441" s="36"/>
      <c r="C441" s="35" t="s">
        <v>508</v>
      </c>
      <c r="D441" s="10" t="s">
        <v>508</v>
      </c>
      <c r="E441" s="11" t="s">
        <v>195</v>
      </c>
      <c r="F441" s="12" t="s">
        <v>195</v>
      </c>
      <c r="G441" s="13" t="str">
        <f>IF(LEN(TRIM(D441))=0,"",IFNA(VLOOKUP(UPPER(TRIM(D441)),'CLIENT DIRECTORY'!A:B,2,FALSE),""))</f>
        <v/>
      </c>
      <c r="H441" s="14" t="s">
        <v>508</v>
      </c>
      <c r="I441" s="15"/>
      <c r="J441" s="37" t="s">
        <v>140</v>
      </c>
      <c r="K441" s="31" t="s">
        <v>140</v>
      </c>
      <c r="L441" s="6" t="s">
        <v>1062</v>
      </c>
      <c r="M441" s="6"/>
      <c r="N441" s="6"/>
      <c r="O441" s="6"/>
      <c r="P441" s="6"/>
      <c r="Q441" s="6"/>
      <c r="R441" s="6"/>
    </row>
    <row r="442" ht="22.5" customHeight="1">
      <c r="A442" s="49"/>
      <c r="B442" s="36"/>
      <c r="C442" s="35" t="s">
        <v>508</v>
      </c>
      <c r="D442" s="10" t="s">
        <v>508</v>
      </c>
      <c r="E442" s="11" t="s">
        <v>195</v>
      </c>
      <c r="F442" s="12" t="s">
        <v>195</v>
      </c>
      <c r="G442" s="13" t="str">
        <f>IF(LEN(TRIM(D442))=0,"",IFNA(VLOOKUP(UPPER(TRIM(D442)),'CLIENT DIRECTORY'!A:B,2,FALSE),""))</f>
        <v/>
      </c>
      <c r="H442" s="14" t="s">
        <v>508</v>
      </c>
      <c r="I442" s="15"/>
      <c r="J442" s="37" t="s">
        <v>140</v>
      </c>
      <c r="K442" s="31" t="s">
        <v>140</v>
      </c>
      <c r="L442" s="6" t="s">
        <v>1063</v>
      </c>
      <c r="M442" s="6"/>
      <c r="N442" s="6"/>
      <c r="O442" s="6"/>
      <c r="P442" s="6"/>
      <c r="Q442" s="6"/>
      <c r="R442" s="6"/>
    </row>
    <row r="443" ht="22.5" customHeight="1">
      <c r="A443" s="49"/>
      <c r="B443" s="36"/>
      <c r="C443" s="39">
        <v>46104.0</v>
      </c>
      <c r="D443" s="10" t="s">
        <v>23</v>
      </c>
      <c r="E443" s="11" t="s">
        <v>1064</v>
      </c>
      <c r="F443" s="43"/>
      <c r="G443" s="13" t="s">
        <v>25</v>
      </c>
      <c r="H443" s="14">
        <v>2500.0</v>
      </c>
      <c r="I443" s="15">
        <v>2500.0</v>
      </c>
      <c r="J443" s="37" t="s">
        <v>26</v>
      </c>
      <c r="K443" s="17"/>
      <c r="L443" s="6" t="s">
        <v>1065</v>
      </c>
      <c r="M443" s="6"/>
      <c r="N443" s="6"/>
      <c r="O443" s="6"/>
      <c r="P443" s="6"/>
      <c r="Q443" s="6"/>
      <c r="R443" s="6"/>
    </row>
    <row r="444" ht="22.5" customHeight="1">
      <c r="A444" s="49"/>
      <c r="B444" s="36"/>
      <c r="C444" s="39">
        <v>46105.0</v>
      </c>
      <c r="D444" s="10" t="s">
        <v>248</v>
      </c>
      <c r="E444" s="11" t="s">
        <v>1066</v>
      </c>
      <c r="F444" s="43"/>
      <c r="G444" s="13" t="s">
        <v>250</v>
      </c>
      <c r="H444" s="14">
        <v>5000.0</v>
      </c>
      <c r="I444" s="15">
        <v>5000.0</v>
      </c>
      <c r="J444" s="37" t="s">
        <v>26</v>
      </c>
      <c r="K444" s="17"/>
      <c r="L444" s="6" t="s">
        <v>1067</v>
      </c>
      <c r="M444" s="6"/>
      <c r="N444" s="6"/>
      <c r="O444" s="6"/>
      <c r="P444" s="6"/>
      <c r="Q444" s="6"/>
      <c r="R444" s="6"/>
    </row>
    <row r="445" ht="22.5" customHeight="1">
      <c r="A445" s="49"/>
      <c r="B445" s="36"/>
      <c r="C445" s="9">
        <v>46104.0</v>
      </c>
      <c r="D445" s="10" t="s">
        <v>306</v>
      </c>
      <c r="E445" s="11" t="s">
        <v>1068</v>
      </c>
      <c r="F445" s="43"/>
      <c r="G445" s="13" t="s">
        <v>307</v>
      </c>
      <c r="H445" s="14">
        <v>300000.0</v>
      </c>
      <c r="I445" s="15">
        <v>300000.0</v>
      </c>
      <c r="J445" s="37" t="s">
        <v>26</v>
      </c>
      <c r="K445" s="17"/>
      <c r="L445" s="6" t="s">
        <v>1069</v>
      </c>
      <c r="M445" s="6"/>
      <c r="N445" s="6"/>
      <c r="O445" s="6"/>
      <c r="P445" s="6"/>
      <c r="Q445" s="6"/>
      <c r="R445" s="6"/>
    </row>
    <row r="446" ht="22.5" customHeight="1">
      <c r="A446" s="49"/>
      <c r="B446" s="36"/>
      <c r="C446" s="9">
        <v>46104.0</v>
      </c>
      <c r="D446" s="10" t="s">
        <v>445</v>
      </c>
      <c r="E446" s="11" t="s">
        <v>1070</v>
      </c>
      <c r="F446" s="43"/>
      <c r="G446" s="13" t="s">
        <v>447</v>
      </c>
      <c r="H446" s="14">
        <v>2500.0</v>
      </c>
      <c r="I446" s="15">
        <v>2500.0</v>
      </c>
      <c r="J446" s="37" t="s">
        <v>26</v>
      </c>
      <c r="K446" s="17"/>
      <c r="L446" s="6" t="s">
        <v>1071</v>
      </c>
      <c r="M446" s="6"/>
      <c r="N446" s="6"/>
      <c r="O446" s="6"/>
      <c r="P446" s="6"/>
      <c r="Q446" s="6"/>
      <c r="R446" s="6"/>
    </row>
    <row r="447" ht="22.5" customHeight="1">
      <c r="A447" s="49"/>
      <c r="B447" s="36"/>
      <c r="C447" s="9">
        <v>46104.0</v>
      </c>
      <c r="D447" s="10" t="s">
        <v>105</v>
      </c>
      <c r="E447" s="11" t="s">
        <v>1072</v>
      </c>
      <c r="F447" s="55" t="s">
        <v>1073</v>
      </c>
      <c r="G447" s="27" t="str">
        <f>IF(LEN(TRIM(D447))=0,"",IFNA(VLOOKUP(UPPER(TRIM(D447)),'CLIENT DIRECTORY'!A:B,2,FALSE),""))</f>
        <v/>
      </c>
      <c r="H447" s="14">
        <v>180000.0</v>
      </c>
      <c r="I447" s="38"/>
      <c r="J447" s="37" t="s">
        <v>988</v>
      </c>
      <c r="K447" s="17"/>
      <c r="L447" s="6" t="s">
        <v>1074</v>
      </c>
      <c r="M447" s="6"/>
      <c r="N447" s="6"/>
      <c r="O447" s="6"/>
      <c r="P447" s="6"/>
      <c r="Q447" s="6"/>
      <c r="R447" s="6"/>
    </row>
    <row r="448" ht="22.5" customHeight="1">
      <c r="A448" s="49"/>
      <c r="B448" s="36"/>
      <c r="C448" s="9">
        <v>46104.0</v>
      </c>
      <c r="D448" s="10" t="s">
        <v>445</v>
      </c>
      <c r="E448" s="11" t="s">
        <v>1075</v>
      </c>
      <c r="F448" s="43"/>
      <c r="G448" s="13" t="s">
        <v>447</v>
      </c>
      <c r="H448" s="14">
        <v>5000.0</v>
      </c>
      <c r="I448" s="15">
        <v>5000.0</v>
      </c>
      <c r="J448" s="37" t="s">
        <v>26</v>
      </c>
      <c r="K448" s="17"/>
      <c r="L448" s="6" t="s">
        <v>1076</v>
      </c>
      <c r="M448" s="6"/>
      <c r="N448" s="6"/>
      <c r="O448" s="6"/>
      <c r="P448" s="6"/>
      <c r="Q448" s="6"/>
      <c r="R448" s="6"/>
    </row>
    <row r="449" ht="22.5" customHeight="1">
      <c r="A449" s="49"/>
      <c r="B449" s="36"/>
      <c r="C449" s="9">
        <v>46104.0</v>
      </c>
      <c r="D449" s="10" t="s">
        <v>400</v>
      </c>
      <c r="E449" s="11" t="s">
        <v>1077</v>
      </c>
      <c r="F449" s="12" t="s">
        <v>1078</v>
      </c>
      <c r="G449" s="13" t="s">
        <v>402</v>
      </c>
      <c r="H449" s="14">
        <v>135000.0</v>
      </c>
      <c r="I449" s="38"/>
      <c r="J449" s="37" t="s">
        <v>988</v>
      </c>
      <c r="K449" s="17"/>
      <c r="L449" s="6" t="s">
        <v>1079</v>
      </c>
      <c r="M449" s="6"/>
      <c r="N449" s="6"/>
      <c r="O449" s="6"/>
      <c r="P449" s="6"/>
      <c r="Q449" s="6"/>
      <c r="R449" s="6"/>
    </row>
    <row r="450" ht="22.5" customHeight="1">
      <c r="A450" s="49"/>
      <c r="B450" s="36"/>
      <c r="C450" s="35" t="s">
        <v>508</v>
      </c>
      <c r="D450" s="10" t="s">
        <v>508</v>
      </c>
      <c r="E450" s="11" t="s">
        <v>195</v>
      </c>
      <c r="F450" s="12" t="s">
        <v>195</v>
      </c>
      <c r="G450" s="13" t="str">
        <f>IF(LEN(TRIM(D450))=0,"",IFNA(VLOOKUP(UPPER(TRIM(D450)),'CLIENT DIRECTORY'!A:B,2,FALSE),""))</f>
        <v/>
      </c>
      <c r="H450" s="14" t="s">
        <v>508</v>
      </c>
      <c r="I450" s="15"/>
      <c r="J450" s="37" t="s">
        <v>140</v>
      </c>
      <c r="K450" s="31" t="s">
        <v>140</v>
      </c>
      <c r="L450" s="6" t="s">
        <v>1080</v>
      </c>
      <c r="M450" s="6"/>
      <c r="N450" s="6"/>
      <c r="O450" s="6"/>
      <c r="P450" s="6"/>
      <c r="Q450" s="6"/>
      <c r="R450" s="6"/>
    </row>
    <row r="451" ht="22.5" customHeight="1">
      <c r="A451" s="49"/>
      <c r="B451" s="36"/>
      <c r="C451" s="35" t="s">
        <v>508</v>
      </c>
      <c r="D451" s="10" t="s">
        <v>508</v>
      </c>
      <c r="E451" s="11" t="s">
        <v>195</v>
      </c>
      <c r="F451" s="12" t="s">
        <v>195</v>
      </c>
      <c r="G451" s="13" t="str">
        <f>IF(LEN(TRIM(D451))=0,"",IFNA(VLOOKUP(UPPER(TRIM(D451)),'CLIENT DIRECTORY'!A:B,2,FALSE),""))</f>
        <v/>
      </c>
      <c r="H451" s="14" t="s">
        <v>508</v>
      </c>
      <c r="I451" s="15"/>
      <c r="J451" s="37" t="s">
        <v>140</v>
      </c>
      <c r="K451" s="31" t="s">
        <v>140</v>
      </c>
      <c r="L451" s="6" t="s">
        <v>1081</v>
      </c>
      <c r="M451" s="6"/>
      <c r="N451" s="6"/>
      <c r="O451" s="6"/>
      <c r="P451" s="6"/>
      <c r="Q451" s="6"/>
      <c r="R451" s="6"/>
    </row>
    <row r="452" ht="22.5" customHeight="1">
      <c r="A452" s="49"/>
      <c r="B452" s="36"/>
      <c r="C452" s="35" t="s">
        <v>508</v>
      </c>
      <c r="D452" s="10" t="s">
        <v>508</v>
      </c>
      <c r="E452" s="11" t="s">
        <v>195</v>
      </c>
      <c r="F452" s="12" t="s">
        <v>195</v>
      </c>
      <c r="G452" s="13" t="str">
        <f>IF(LEN(TRIM(D452))=0,"",IFNA(VLOOKUP(UPPER(TRIM(D452)),'CLIENT DIRECTORY'!A:B,2,FALSE),""))</f>
        <v/>
      </c>
      <c r="H452" s="14" t="s">
        <v>508</v>
      </c>
      <c r="I452" s="15"/>
      <c r="J452" s="37" t="s">
        <v>140</v>
      </c>
      <c r="K452" s="31" t="s">
        <v>140</v>
      </c>
      <c r="L452" s="6" t="s">
        <v>1082</v>
      </c>
      <c r="M452" s="6"/>
      <c r="N452" s="6"/>
      <c r="O452" s="6"/>
      <c r="P452" s="6"/>
      <c r="Q452" s="6"/>
      <c r="R452" s="6"/>
    </row>
    <row r="453" ht="22.5" customHeight="1">
      <c r="A453" s="49"/>
      <c r="B453" s="36"/>
      <c r="C453" s="39">
        <v>46105.0</v>
      </c>
      <c r="D453" s="10" t="s">
        <v>319</v>
      </c>
      <c r="E453" s="11" t="s">
        <v>1083</v>
      </c>
      <c r="F453" s="43"/>
      <c r="G453" s="13" t="s">
        <v>321</v>
      </c>
      <c r="H453" s="14">
        <v>2500.0</v>
      </c>
      <c r="I453" s="15">
        <v>2500.0</v>
      </c>
      <c r="J453" s="37" t="s">
        <v>26</v>
      </c>
      <c r="K453" s="17"/>
      <c r="L453" s="6" t="s">
        <v>1084</v>
      </c>
      <c r="M453" s="6"/>
      <c r="N453" s="6"/>
      <c r="O453" s="6"/>
      <c r="P453" s="6"/>
      <c r="Q453" s="6"/>
      <c r="R453" s="6"/>
    </row>
    <row r="454" ht="22.5" customHeight="1">
      <c r="A454" s="49"/>
      <c r="B454" s="36"/>
      <c r="C454" s="39">
        <v>46106.0</v>
      </c>
      <c r="D454" s="10" t="s">
        <v>248</v>
      </c>
      <c r="E454" s="11" t="s">
        <v>1085</v>
      </c>
      <c r="F454" s="43"/>
      <c r="G454" s="13" t="s">
        <v>250</v>
      </c>
      <c r="H454" s="14">
        <v>10000.0</v>
      </c>
      <c r="I454" s="15">
        <v>10000.0</v>
      </c>
      <c r="J454" s="37" t="s">
        <v>26</v>
      </c>
      <c r="K454" s="17"/>
      <c r="L454" s="6" t="s">
        <v>1086</v>
      </c>
      <c r="M454" s="6"/>
      <c r="N454" s="6"/>
      <c r="O454" s="6"/>
      <c r="P454" s="6"/>
      <c r="Q454" s="6"/>
      <c r="R454" s="6"/>
    </row>
    <row r="455" ht="22.5" customHeight="1">
      <c r="A455" s="49"/>
      <c r="B455" s="36"/>
      <c r="C455" s="9">
        <v>46105.0</v>
      </c>
      <c r="D455" s="10" t="s">
        <v>400</v>
      </c>
      <c r="E455" s="11" t="s">
        <v>1087</v>
      </c>
      <c r="F455" s="43"/>
      <c r="G455" s="13" t="s">
        <v>402</v>
      </c>
      <c r="H455" s="14">
        <v>2500.0</v>
      </c>
      <c r="I455" s="38"/>
      <c r="J455" s="37" t="s">
        <v>26</v>
      </c>
      <c r="K455" s="17"/>
      <c r="L455" s="6" t="s">
        <v>1088</v>
      </c>
      <c r="M455" s="6"/>
      <c r="N455" s="6"/>
      <c r="O455" s="6"/>
      <c r="P455" s="6"/>
      <c r="Q455" s="6"/>
      <c r="R455" s="6"/>
    </row>
    <row r="456" ht="22.5" customHeight="1">
      <c r="A456" s="49"/>
      <c r="B456" s="36"/>
      <c r="C456" s="9">
        <v>46105.0</v>
      </c>
      <c r="D456" s="10" t="s">
        <v>46</v>
      </c>
      <c r="E456" s="11" t="s">
        <v>1089</v>
      </c>
      <c r="F456" s="43"/>
      <c r="G456" s="13" t="s">
        <v>48</v>
      </c>
      <c r="H456" s="14">
        <v>5000.0</v>
      </c>
      <c r="I456" s="38"/>
      <c r="J456" s="37" t="s">
        <v>26</v>
      </c>
      <c r="K456" s="17"/>
      <c r="L456" s="6" t="s">
        <v>1090</v>
      </c>
      <c r="M456" s="6"/>
      <c r="N456" s="6"/>
      <c r="O456" s="6"/>
      <c r="P456" s="6"/>
      <c r="Q456" s="6"/>
      <c r="R456" s="6"/>
    </row>
    <row r="457" ht="22.5" customHeight="1">
      <c r="A457" s="49"/>
      <c r="B457" s="36"/>
      <c r="C457" s="9">
        <v>46105.0</v>
      </c>
      <c r="D457" s="10" t="s">
        <v>54</v>
      </c>
      <c r="E457" s="11" t="s">
        <v>1091</v>
      </c>
      <c r="F457" s="43"/>
      <c r="G457" s="13" t="s">
        <v>56</v>
      </c>
      <c r="H457" s="14">
        <v>5000.0</v>
      </c>
      <c r="I457" s="15">
        <v>5000.0</v>
      </c>
      <c r="J457" s="37" t="s">
        <v>26</v>
      </c>
      <c r="K457" s="17"/>
      <c r="L457" s="6" t="s">
        <v>1092</v>
      </c>
      <c r="M457" s="6"/>
      <c r="N457" s="6"/>
      <c r="O457" s="6"/>
      <c r="P457" s="6"/>
      <c r="Q457" s="6"/>
      <c r="R457" s="6"/>
    </row>
    <row r="458" ht="22.5" customHeight="1">
      <c r="A458" s="49"/>
      <c r="B458" s="36"/>
      <c r="C458" s="9">
        <v>46105.0</v>
      </c>
      <c r="D458" s="10" t="s">
        <v>1093</v>
      </c>
      <c r="E458" s="11" t="s">
        <v>1094</v>
      </c>
      <c r="F458" s="43"/>
      <c r="G458" s="13" t="s">
        <v>1095</v>
      </c>
      <c r="H458" s="14">
        <v>8000.0</v>
      </c>
      <c r="I458" s="15">
        <v>8000.0</v>
      </c>
      <c r="J458" s="37" t="s">
        <v>26</v>
      </c>
      <c r="K458" s="17"/>
      <c r="L458" s="6" t="s">
        <v>1096</v>
      </c>
      <c r="M458" s="6"/>
      <c r="N458" s="6"/>
      <c r="O458" s="6"/>
      <c r="P458" s="6"/>
      <c r="Q458" s="6"/>
      <c r="R458" s="6"/>
    </row>
    <row r="459" ht="22.5" customHeight="1">
      <c r="A459" s="49"/>
      <c r="B459" s="36"/>
      <c r="C459" s="9">
        <v>46106.0</v>
      </c>
      <c r="D459" s="10" t="s">
        <v>535</v>
      </c>
      <c r="E459" s="11" t="s">
        <v>1097</v>
      </c>
      <c r="F459" s="43"/>
      <c r="G459" s="13" t="str">
        <f>IF(LEN(TRIM(D459))=0,"",IFNA(VLOOKUP(UPPER(TRIM(D459)),'CLIENT DIRECTORY'!A:B,2,FALSE),""))</f>
        <v/>
      </c>
      <c r="H459" s="14">
        <v>2500.0</v>
      </c>
      <c r="I459" s="38"/>
      <c r="J459" s="37" t="s">
        <v>26</v>
      </c>
      <c r="K459" s="17"/>
      <c r="L459" s="6" t="s">
        <v>1098</v>
      </c>
      <c r="M459" s="6"/>
      <c r="N459" s="6"/>
      <c r="O459" s="6"/>
      <c r="P459" s="6"/>
      <c r="Q459" s="6"/>
      <c r="R459" s="6"/>
    </row>
    <row r="460" ht="22.5" customHeight="1">
      <c r="A460" s="49"/>
      <c r="B460" s="36"/>
      <c r="C460" s="9">
        <v>46107.0</v>
      </c>
      <c r="D460" s="10" t="s">
        <v>267</v>
      </c>
      <c r="E460" s="11" t="s">
        <v>1099</v>
      </c>
      <c r="F460" s="43"/>
      <c r="G460" s="13" t="str">
        <f>IF(LEN(TRIM(D460))=0,"",IFNA(VLOOKUP(UPPER(TRIM(D460)),'CLIENT DIRECTORY'!A:B,2,FALSE),""))</f>
        <v/>
      </c>
      <c r="H460" s="14">
        <v>2500.0</v>
      </c>
      <c r="I460" s="15">
        <v>2500.0</v>
      </c>
      <c r="J460" s="37" t="s">
        <v>26</v>
      </c>
      <c r="K460" s="17"/>
      <c r="L460" s="6" t="s">
        <v>1100</v>
      </c>
      <c r="M460" s="6"/>
      <c r="N460" s="6"/>
      <c r="O460" s="6"/>
      <c r="P460" s="6"/>
      <c r="Q460" s="6"/>
      <c r="R460" s="6"/>
    </row>
    <row r="461" ht="22.5" customHeight="1">
      <c r="A461" s="49"/>
      <c r="B461" s="36"/>
      <c r="C461" s="9">
        <v>46105.0</v>
      </c>
      <c r="D461" s="10" t="s">
        <v>741</v>
      </c>
      <c r="E461" s="11" t="s">
        <v>1101</v>
      </c>
      <c r="F461" s="55" t="s">
        <v>725</v>
      </c>
      <c r="G461" s="27" t="s">
        <v>743</v>
      </c>
      <c r="H461" s="14">
        <v>730000.0</v>
      </c>
      <c r="I461" s="15">
        <v>725000.0</v>
      </c>
      <c r="J461" s="37" t="s">
        <v>481</v>
      </c>
      <c r="K461" s="17"/>
      <c r="L461" s="6" t="s">
        <v>1102</v>
      </c>
      <c r="M461" s="6"/>
      <c r="N461" s="6"/>
      <c r="O461" s="6"/>
      <c r="P461" s="6"/>
      <c r="Q461" s="6"/>
      <c r="R461" s="6"/>
    </row>
    <row r="462" ht="22.5" customHeight="1">
      <c r="A462" s="49"/>
      <c r="B462" s="36"/>
      <c r="C462" s="9">
        <v>46105.0</v>
      </c>
      <c r="D462" s="10" t="s">
        <v>874</v>
      </c>
      <c r="E462" s="11" t="s">
        <v>919</v>
      </c>
      <c r="F462" s="43"/>
      <c r="G462" s="14" t="s">
        <v>876</v>
      </c>
      <c r="H462" s="14">
        <v>2000.0</v>
      </c>
      <c r="I462" s="38"/>
      <c r="J462" s="37" t="s">
        <v>26</v>
      </c>
      <c r="K462" s="17"/>
      <c r="L462" s="6" t="s">
        <v>1103</v>
      </c>
      <c r="M462" s="6"/>
      <c r="N462" s="6"/>
      <c r="O462" s="6"/>
      <c r="P462" s="6"/>
      <c r="Q462" s="6"/>
      <c r="R462" s="6"/>
    </row>
    <row r="463" ht="22.5" customHeight="1">
      <c r="A463" s="49"/>
      <c r="B463" s="36"/>
      <c r="C463" s="9">
        <v>46105.0</v>
      </c>
      <c r="D463" s="10" t="s">
        <v>93</v>
      </c>
      <c r="E463" s="11" t="s">
        <v>313</v>
      </c>
      <c r="F463" s="43"/>
      <c r="G463" s="13" t="s">
        <v>95</v>
      </c>
      <c r="H463" s="14">
        <v>2500.0</v>
      </c>
      <c r="I463" s="15">
        <v>2500.0</v>
      </c>
      <c r="J463" s="37" t="s">
        <v>26</v>
      </c>
      <c r="K463" s="17"/>
      <c r="L463" s="6" t="s">
        <v>1104</v>
      </c>
      <c r="M463" s="6"/>
      <c r="N463" s="6"/>
      <c r="O463" s="6"/>
      <c r="P463" s="6"/>
      <c r="Q463" s="6"/>
      <c r="R463" s="6"/>
    </row>
    <row r="464" ht="22.5" customHeight="1">
      <c r="A464" s="49"/>
      <c r="B464" s="36"/>
      <c r="C464" s="35" t="s">
        <v>508</v>
      </c>
      <c r="D464" s="10" t="s">
        <v>508</v>
      </c>
      <c r="E464" s="11" t="s">
        <v>195</v>
      </c>
      <c r="F464" s="12" t="s">
        <v>195</v>
      </c>
      <c r="G464" s="13" t="str">
        <f>IF(LEN(TRIM(D464))=0,"",IFNA(VLOOKUP(UPPER(TRIM(D464)),'CLIENT DIRECTORY'!A:B,2,FALSE),""))</f>
        <v/>
      </c>
      <c r="H464" s="14" t="s">
        <v>508</v>
      </c>
      <c r="I464" s="15"/>
      <c r="J464" s="37" t="s">
        <v>140</v>
      </c>
      <c r="K464" s="17"/>
      <c r="L464" s="6" t="s">
        <v>1105</v>
      </c>
      <c r="M464" s="6"/>
      <c r="N464" s="6"/>
      <c r="O464" s="6"/>
      <c r="P464" s="6"/>
      <c r="Q464" s="6"/>
      <c r="R464" s="6"/>
    </row>
    <row r="465" ht="22.5" customHeight="1">
      <c r="A465" s="49"/>
      <c r="B465" s="36"/>
      <c r="C465" s="35" t="s">
        <v>508</v>
      </c>
      <c r="D465" s="10" t="s">
        <v>508</v>
      </c>
      <c r="E465" s="11" t="s">
        <v>195</v>
      </c>
      <c r="F465" s="12" t="s">
        <v>195</v>
      </c>
      <c r="G465" s="13" t="str">
        <f>IF(LEN(TRIM(D465))=0,"",IFNA(VLOOKUP(UPPER(TRIM(D465)),'CLIENT DIRECTORY'!A:B,2,FALSE),""))</f>
        <v/>
      </c>
      <c r="H465" s="14" t="s">
        <v>508</v>
      </c>
      <c r="I465" s="15"/>
      <c r="J465" s="37" t="s">
        <v>140</v>
      </c>
      <c r="K465" s="17"/>
      <c r="L465" s="6" t="s">
        <v>1106</v>
      </c>
      <c r="M465" s="6"/>
      <c r="N465" s="6"/>
      <c r="O465" s="6"/>
      <c r="P465" s="6"/>
      <c r="Q465" s="6"/>
      <c r="R465" s="6"/>
    </row>
    <row r="466" ht="22.5" customHeight="1">
      <c r="A466" s="49"/>
      <c r="B466" s="36"/>
      <c r="C466" s="35" t="s">
        <v>508</v>
      </c>
      <c r="D466" s="10" t="s">
        <v>508</v>
      </c>
      <c r="E466" s="11" t="s">
        <v>195</v>
      </c>
      <c r="F466" s="12" t="s">
        <v>195</v>
      </c>
      <c r="G466" s="13" t="str">
        <f>IF(LEN(TRIM(D466))=0,"",IFNA(VLOOKUP(UPPER(TRIM(D466)),'CLIENT DIRECTORY'!A:B,2,FALSE),""))</f>
        <v/>
      </c>
      <c r="H466" s="14" t="s">
        <v>508</v>
      </c>
      <c r="I466" s="15"/>
      <c r="J466" s="37" t="s">
        <v>140</v>
      </c>
      <c r="K466" s="17"/>
      <c r="L466" s="6" t="s">
        <v>1107</v>
      </c>
      <c r="M466" s="6"/>
      <c r="N466" s="6"/>
      <c r="O466" s="6"/>
      <c r="P466" s="6"/>
      <c r="Q466" s="6"/>
      <c r="R466" s="6"/>
    </row>
    <row r="467" ht="22.5" customHeight="1">
      <c r="A467" s="49"/>
      <c r="B467" s="36"/>
      <c r="C467" s="39">
        <v>46106.0</v>
      </c>
      <c r="D467" s="10" t="s">
        <v>1108</v>
      </c>
      <c r="E467" s="11" t="s">
        <v>1109</v>
      </c>
      <c r="F467" s="43"/>
      <c r="G467" s="13" t="s">
        <v>1110</v>
      </c>
      <c r="H467" s="14">
        <v>8000.0</v>
      </c>
      <c r="I467" s="15">
        <v>8000.0</v>
      </c>
      <c r="J467" s="37" t="s">
        <v>26</v>
      </c>
      <c r="K467" s="17"/>
      <c r="L467" s="6" t="s">
        <v>1111</v>
      </c>
      <c r="M467" s="6"/>
      <c r="N467" s="6"/>
      <c r="O467" s="6"/>
      <c r="P467" s="6"/>
      <c r="Q467" s="6"/>
      <c r="R467" s="6"/>
    </row>
    <row r="468" ht="22.5" customHeight="1">
      <c r="A468" s="49"/>
      <c r="B468" s="36"/>
      <c r="C468" s="9">
        <v>46106.0</v>
      </c>
      <c r="D468" s="10" t="s">
        <v>984</v>
      </c>
      <c r="E468" s="11" t="s">
        <v>846</v>
      </c>
      <c r="F468" s="43"/>
      <c r="G468" s="13" t="s">
        <v>987</v>
      </c>
      <c r="H468" s="14">
        <v>2500.0</v>
      </c>
      <c r="I468" s="15">
        <v>2500.0</v>
      </c>
      <c r="J468" s="37" t="s">
        <v>26</v>
      </c>
      <c r="K468" s="17"/>
      <c r="L468" s="6" t="s">
        <v>1112</v>
      </c>
      <c r="M468" s="6"/>
      <c r="N468" s="6"/>
      <c r="O468" s="6"/>
      <c r="P468" s="6"/>
      <c r="Q468" s="6"/>
      <c r="R468" s="6"/>
    </row>
    <row r="469" ht="22.5" customHeight="1">
      <c r="A469" s="49"/>
      <c r="B469" s="36"/>
      <c r="C469" s="9">
        <v>46106.0</v>
      </c>
      <c r="D469" s="10" t="s">
        <v>851</v>
      </c>
      <c r="E469" s="11" t="s">
        <v>956</v>
      </c>
      <c r="F469" s="43"/>
      <c r="G469" s="13" t="s">
        <v>853</v>
      </c>
      <c r="H469" s="14">
        <v>3000.0</v>
      </c>
      <c r="I469" s="38"/>
      <c r="J469" s="37" t="s">
        <v>26</v>
      </c>
      <c r="K469" s="17"/>
      <c r="L469" s="6" t="s">
        <v>1113</v>
      </c>
      <c r="M469" s="6"/>
      <c r="N469" s="6"/>
      <c r="O469" s="6"/>
      <c r="P469" s="6"/>
      <c r="Q469" s="6"/>
      <c r="R469" s="6"/>
    </row>
    <row r="470" ht="22.5" customHeight="1">
      <c r="A470" s="49"/>
      <c r="B470" s="36"/>
      <c r="C470" s="9">
        <v>46106.0</v>
      </c>
      <c r="D470" s="10" t="s">
        <v>1093</v>
      </c>
      <c r="E470" s="11" t="s">
        <v>1114</v>
      </c>
      <c r="F470" s="43"/>
      <c r="G470" s="13" t="s">
        <v>1095</v>
      </c>
      <c r="H470" s="14">
        <v>5000.0</v>
      </c>
      <c r="I470" s="38"/>
      <c r="J470" s="37" t="s">
        <v>26</v>
      </c>
      <c r="K470" s="17"/>
      <c r="L470" s="6" t="s">
        <v>1115</v>
      </c>
      <c r="M470" s="6"/>
      <c r="N470" s="6"/>
      <c r="O470" s="6"/>
      <c r="P470" s="6"/>
      <c r="Q470" s="6"/>
      <c r="R470" s="6"/>
    </row>
    <row r="471" ht="22.5" customHeight="1">
      <c r="A471" s="49"/>
      <c r="B471" s="36"/>
      <c r="C471" s="9">
        <v>46106.0</v>
      </c>
      <c r="D471" s="10" t="s">
        <v>1116</v>
      </c>
      <c r="E471" s="11" t="s">
        <v>1117</v>
      </c>
      <c r="F471" s="43"/>
      <c r="G471" s="13" t="str">
        <f>IF(LEN(TRIM(D471))=0,"",IFNA(VLOOKUP(UPPER(TRIM(D471)),'CLIENT DIRECTORY'!A:B,2,FALSE),""))</f>
        <v/>
      </c>
      <c r="H471" s="14">
        <v>2500.0</v>
      </c>
      <c r="I471" s="38"/>
      <c r="J471" s="37" t="s">
        <v>21</v>
      </c>
      <c r="K471" s="17"/>
      <c r="L471" s="6" t="s">
        <v>1118</v>
      </c>
      <c r="M471" s="6"/>
      <c r="N471" s="6"/>
      <c r="O471" s="6"/>
      <c r="P471" s="6"/>
      <c r="Q471" s="6"/>
      <c r="R471" s="6"/>
    </row>
    <row r="472" ht="22.5" customHeight="1">
      <c r="A472" s="49"/>
      <c r="B472" s="36"/>
      <c r="C472" s="9">
        <v>46106.0</v>
      </c>
      <c r="D472" s="10" t="s">
        <v>442</v>
      </c>
      <c r="E472" s="11" t="s">
        <v>1119</v>
      </c>
      <c r="F472" s="43"/>
      <c r="G472" s="13" t="s">
        <v>210</v>
      </c>
      <c r="H472" s="14">
        <v>2500.0</v>
      </c>
      <c r="I472" s="15">
        <v>2500.0</v>
      </c>
      <c r="J472" s="37" t="s">
        <v>26</v>
      </c>
      <c r="K472" s="17"/>
      <c r="L472" s="6" t="s">
        <v>1120</v>
      </c>
      <c r="M472" s="6"/>
      <c r="N472" s="6"/>
      <c r="O472" s="6"/>
      <c r="P472" s="6"/>
      <c r="Q472" s="6"/>
      <c r="R472" s="6"/>
    </row>
    <row r="473" ht="22.5" customHeight="1">
      <c r="A473" s="49"/>
      <c r="B473" s="36"/>
      <c r="C473" s="9">
        <v>46106.0</v>
      </c>
      <c r="D473" s="10" t="s">
        <v>254</v>
      </c>
      <c r="E473" s="11" t="s">
        <v>1121</v>
      </c>
      <c r="F473" s="43"/>
      <c r="G473" s="13" t="s">
        <v>256</v>
      </c>
      <c r="H473" s="14">
        <v>2500.0</v>
      </c>
      <c r="I473" s="15">
        <v>2500.0</v>
      </c>
      <c r="J473" s="37" t="s">
        <v>26</v>
      </c>
      <c r="K473" s="17"/>
      <c r="L473" s="6" t="s">
        <v>1122</v>
      </c>
      <c r="M473" s="6"/>
      <c r="N473" s="6"/>
      <c r="O473" s="6"/>
      <c r="P473" s="6"/>
      <c r="Q473" s="6"/>
      <c r="R473" s="6"/>
    </row>
    <row r="474" ht="22.5" customHeight="1">
      <c r="A474" s="49"/>
      <c r="B474" s="36"/>
      <c r="C474" s="9">
        <v>46106.0</v>
      </c>
      <c r="D474" s="10" t="s">
        <v>1123</v>
      </c>
      <c r="E474" s="11" t="s">
        <v>1124</v>
      </c>
      <c r="F474" s="43"/>
      <c r="G474" s="13" t="str">
        <f>IF(LEN(TRIM(D474))=0,"",IFNA(VLOOKUP(UPPER(TRIM(D474)),'CLIENT DIRECTORY'!A:B,2,FALSE),""))</f>
        <v/>
      </c>
      <c r="H474" s="14">
        <v>25000.0</v>
      </c>
      <c r="I474" s="38"/>
      <c r="J474" s="37" t="s">
        <v>26</v>
      </c>
      <c r="K474" s="17"/>
      <c r="L474" s="6" t="s">
        <v>1125</v>
      </c>
      <c r="M474" s="6"/>
      <c r="N474" s="6"/>
      <c r="O474" s="6"/>
      <c r="P474" s="6"/>
      <c r="Q474" s="6"/>
      <c r="R474" s="6"/>
    </row>
    <row r="475" ht="22.5" customHeight="1">
      <c r="A475" s="49"/>
      <c r="B475" s="36"/>
      <c r="C475" s="9">
        <v>46107.0</v>
      </c>
      <c r="D475" s="10" t="s">
        <v>1126</v>
      </c>
      <c r="E475" s="11" t="s">
        <v>1127</v>
      </c>
      <c r="F475" s="43"/>
      <c r="G475" s="13" t="str">
        <f>IF(LEN(TRIM(D475))=0,"",IFNA(VLOOKUP(UPPER(TRIM(D475)),'CLIENT DIRECTORY'!A:B,2,FALSE),""))</f>
        <v/>
      </c>
      <c r="H475" s="14">
        <v>15000.0</v>
      </c>
      <c r="I475" s="38"/>
      <c r="J475" s="37" t="s">
        <v>26</v>
      </c>
      <c r="K475" s="17"/>
      <c r="L475" s="6" t="s">
        <v>1128</v>
      </c>
      <c r="M475" s="6"/>
      <c r="N475" s="6"/>
      <c r="O475" s="6"/>
      <c r="P475" s="6"/>
      <c r="Q475" s="6"/>
      <c r="R475" s="6"/>
    </row>
    <row r="476" ht="22.5" customHeight="1">
      <c r="A476" s="49"/>
      <c r="B476" s="36"/>
      <c r="C476" s="9">
        <v>46106.0</v>
      </c>
      <c r="D476" s="10" t="s">
        <v>984</v>
      </c>
      <c r="E476" s="11" t="s">
        <v>1129</v>
      </c>
      <c r="F476" s="43"/>
      <c r="G476" s="13" t="s">
        <v>987</v>
      </c>
      <c r="H476" s="14">
        <v>5000.0</v>
      </c>
      <c r="I476" s="15">
        <v>5000.0</v>
      </c>
      <c r="J476" s="37" t="s">
        <v>26</v>
      </c>
      <c r="K476" s="17"/>
      <c r="L476" s="6" t="s">
        <v>1130</v>
      </c>
      <c r="M476" s="6"/>
      <c r="N476" s="6"/>
      <c r="O476" s="6"/>
      <c r="P476" s="6"/>
      <c r="Q476" s="6"/>
      <c r="R476" s="6"/>
    </row>
    <row r="477" ht="22.5" customHeight="1">
      <c r="A477" s="49"/>
      <c r="B477" s="36"/>
      <c r="C477" s="9">
        <v>46106.0</v>
      </c>
      <c r="D477" s="10" t="s">
        <v>97</v>
      </c>
      <c r="E477" s="11" t="s">
        <v>769</v>
      </c>
      <c r="F477" s="43"/>
      <c r="G477" s="13" t="s">
        <v>99</v>
      </c>
      <c r="H477" s="14">
        <v>3000.0</v>
      </c>
      <c r="I477" s="15">
        <v>3000.0</v>
      </c>
      <c r="J477" s="37" t="s">
        <v>26</v>
      </c>
      <c r="K477" s="17"/>
      <c r="L477" s="6" t="s">
        <v>1131</v>
      </c>
      <c r="M477" s="6"/>
      <c r="N477" s="6"/>
      <c r="O477" s="6"/>
      <c r="P477" s="6"/>
      <c r="Q477" s="6"/>
      <c r="R477" s="6"/>
    </row>
    <row r="478" ht="22.5" customHeight="1">
      <c r="A478" s="49"/>
      <c r="B478" s="36"/>
      <c r="C478" s="9">
        <v>46106.0</v>
      </c>
      <c r="D478" s="10" t="s">
        <v>855</v>
      </c>
      <c r="E478" s="11" t="s">
        <v>1132</v>
      </c>
      <c r="F478" s="43"/>
      <c r="G478" s="13" t="s">
        <v>857</v>
      </c>
      <c r="H478" s="14">
        <v>100000.0</v>
      </c>
      <c r="I478" s="15">
        <v>100000.0</v>
      </c>
      <c r="J478" s="37" t="s">
        <v>26</v>
      </c>
      <c r="K478" s="17"/>
      <c r="L478" s="6" t="s">
        <v>1133</v>
      </c>
      <c r="M478" s="6"/>
      <c r="N478" s="6"/>
      <c r="O478" s="6"/>
      <c r="P478" s="6"/>
      <c r="Q478" s="6"/>
      <c r="R478" s="6"/>
    </row>
    <row r="479" ht="22.5" customHeight="1">
      <c r="A479" s="49"/>
      <c r="B479" s="36"/>
      <c r="C479" s="9">
        <v>46106.0</v>
      </c>
      <c r="D479" s="10" t="s">
        <v>1134</v>
      </c>
      <c r="E479" s="11" t="s">
        <v>917</v>
      </c>
      <c r="F479" s="43"/>
      <c r="G479" s="13" t="str">
        <f>IF(LEN(TRIM(D479))=0,"",IFNA(VLOOKUP(UPPER(TRIM(D479)),'CLIENT DIRECTORY'!A:B,2,FALSE),""))</f>
        <v/>
      </c>
      <c r="H479" s="14">
        <v>5000.0</v>
      </c>
      <c r="I479" s="38"/>
      <c r="J479" s="37" t="s">
        <v>26</v>
      </c>
      <c r="K479" s="17"/>
      <c r="L479" s="6" t="s">
        <v>1135</v>
      </c>
      <c r="M479" s="6"/>
      <c r="N479" s="6"/>
      <c r="O479" s="6"/>
      <c r="P479" s="6"/>
      <c r="Q479" s="6"/>
      <c r="R479" s="6"/>
    </row>
    <row r="480" ht="22.5" customHeight="1">
      <c r="A480" s="49"/>
      <c r="B480" s="36"/>
      <c r="C480" s="9">
        <v>46106.0</v>
      </c>
      <c r="D480" s="10" t="s">
        <v>1136</v>
      </c>
      <c r="E480" s="11" t="s">
        <v>1137</v>
      </c>
      <c r="F480" s="55" t="s">
        <v>1138</v>
      </c>
      <c r="G480" s="27" t="str">
        <f>IF(LEN(TRIM(D480))=0,"",IFNA(VLOOKUP(UPPER(TRIM(D480)),'CLIENT DIRECTORY'!A:B,2,FALSE),""))</f>
        <v/>
      </c>
      <c r="H480" s="14">
        <v>760000.0</v>
      </c>
      <c r="I480" s="38"/>
      <c r="J480" s="37" t="s">
        <v>988</v>
      </c>
      <c r="K480" s="17"/>
      <c r="L480" s="6" t="s">
        <v>1139</v>
      </c>
      <c r="M480" s="6"/>
      <c r="N480" s="6"/>
      <c r="O480" s="6"/>
      <c r="P480" s="6"/>
      <c r="Q480" s="6"/>
      <c r="R480" s="6"/>
    </row>
    <row r="481" ht="22.5" customHeight="1">
      <c r="A481" s="49"/>
      <c r="B481" s="36"/>
      <c r="C481" s="35" t="s">
        <v>508</v>
      </c>
      <c r="D481" s="10" t="s">
        <v>508</v>
      </c>
      <c r="E481" s="11" t="s">
        <v>195</v>
      </c>
      <c r="F481" s="12" t="s">
        <v>195</v>
      </c>
      <c r="G481" s="13" t="str">
        <f>IF(LEN(TRIM(D481))=0,"",IFNA(VLOOKUP(UPPER(TRIM(D481)),'CLIENT DIRECTORY'!A:B,2,FALSE),""))</f>
        <v/>
      </c>
      <c r="H481" s="14" t="s">
        <v>508</v>
      </c>
      <c r="I481" s="15"/>
      <c r="J481" s="37" t="s">
        <v>140</v>
      </c>
      <c r="K481" s="17"/>
      <c r="L481" s="6" t="s">
        <v>1140</v>
      </c>
      <c r="M481" s="6"/>
      <c r="N481" s="6"/>
      <c r="O481" s="6"/>
      <c r="P481" s="6"/>
      <c r="Q481" s="6"/>
      <c r="R481" s="6"/>
    </row>
    <row r="482" ht="22.5" customHeight="1">
      <c r="A482" s="49"/>
      <c r="B482" s="36"/>
      <c r="C482" s="35" t="s">
        <v>508</v>
      </c>
      <c r="D482" s="10" t="s">
        <v>508</v>
      </c>
      <c r="E482" s="11" t="s">
        <v>195</v>
      </c>
      <c r="F482" s="12" t="s">
        <v>195</v>
      </c>
      <c r="G482" s="13" t="str">
        <f>IF(LEN(TRIM(D482))=0,"",IFNA(VLOOKUP(UPPER(TRIM(D482)),'CLIENT DIRECTORY'!A:B,2,FALSE),""))</f>
        <v/>
      </c>
      <c r="H482" s="14" t="s">
        <v>508</v>
      </c>
      <c r="I482" s="15"/>
      <c r="J482" s="37" t="s">
        <v>140</v>
      </c>
      <c r="K482" s="17"/>
      <c r="L482" s="6" t="s">
        <v>1141</v>
      </c>
      <c r="M482" s="6"/>
      <c r="N482" s="6"/>
      <c r="O482" s="6"/>
      <c r="P482" s="6"/>
      <c r="Q482" s="6"/>
      <c r="R482" s="6"/>
    </row>
    <row r="483" ht="22.5" customHeight="1">
      <c r="A483" s="49"/>
      <c r="B483" s="36"/>
      <c r="C483" s="35" t="s">
        <v>508</v>
      </c>
      <c r="D483" s="10" t="s">
        <v>508</v>
      </c>
      <c r="E483" s="11" t="s">
        <v>195</v>
      </c>
      <c r="F483" s="12" t="s">
        <v>195</v>
      </c>
      <c r="G483" s="13" t="str">
        <f>IF(LEN(TRIM(D483))=0,"",IFNA(VLOOKUP(UPPER(TRIM(D483)),'CLIENT DIRECTORY'!A:B,2,FALSE),""))</f>
        <v/>
      </c>
      <c r="H483" s="14" t="s">
        <v>508</v>
      </c>
      <c r="I483" s="15"/>
      <c r="J483" s="37" t="s">
        <v>140</v>
      </c>
      <c r="K483" s="17"/>
      <c r="L483" s="6" t="s">
        <v>1142</v>
      </c>
      <c r="M483" s="6"/>
      <c r="N483" s="6"/>
      <c r="O483" s="6"/>
      <c r="P483" s="6"/>
      <c r="Q483" s="6"/>
      <c r="R483" s="6"/>
    </row>
    <row r="484" ht="22.5" customHeight="1">
      <c r="A484" s="49"/>
      <c r="B484" s="36"/>
      <c r="C484" s="39">
        <v>45742.0</v>
      </c>
      <c r="D484" s="10" t="s">
        <v>306</v>
      </c>
      <c r="E484" s="11" t="s">
        <v>1143</v>
      </c>
      <c r="F484" s="43"/>
      <c r="G484" s="13" t="s">
        <v>307</v>
      </c>
      <c r="H484" s="14">
        <v>465000.0</v>
      </c>
      <c r="I484" s="15">
        <v>465000.0</v>
      </c>
      <c r="J484" s="37" t="s">
        <v>26</v>
      </c>
      <c r="K484" s="17"/>
      <c r="L484" s="6" t="s">
        <v>1144</v>
      </c>
      <c r="M484" s="6"/>
      <c r="N484" s="6"/>
      <c r="O484" s="6"/>
      <c r="P484" s="6"/>
      <c r="Q484" s="6"/>
      <c r="R484" s="6"/>
    </row>
    <row r="485" ht="22.5" customHeight="1">
      <c r="A485" s="49"/>
      <c r="B485" s="36"/>
      <c r="C485" s="9">
        <v>46107.0</v>
      </c>
      <c r="D485" s="10" t="s">
        <v>236</v>
      </c>
      <c r="E485" s="11" t="s">
        <v>1016</v>
      </c>
      <c r="F485" s="43"/>
      <c r="G485" s="13" t="s">
        <v>237</v>
      </c>
      <c r="H485" s="14">
        <v>100000.0</v>
      </c>
      <c r="I485" s="15">
        <v>100000.0</v>
      </c>
      <c r="J485" s="37" t="s">
        <v>26</v>
      </c>
      <c r="K485" s="17"/>
      <c r="L485" s="6" t="s">
        <v>1145</v>
      </c>
      <c r="M485" s="6"/>
      <c r="N485" s="6"/>
      <c r="O485" s="6"/>
      <c r="P485" s="6"/>
      <c r="Q485" s="6"/>
      <c r="R485" s="6"/>
    </row>
    <row r="486" ht="22.5" customHeight="1">
      <c r="A486" s="49"/>
      <c r="B486" s="36"/>
      <c r="C486" s="9">
        <v>46108.0</v>
      </c>
      <c r="D486" s="10" t="s">
        <v>248</v>
      </c>
      <c r="E486" s="11" t="s">
        <v>1146</v>
      </c>
      <c r="F486" s="43"/>
      <c r="G486" s="13" t="s">
        <v>250</v>
      </c>
      <c r="H486" s="14">
        <v>4000.0</v>
      </c>
      <c r="I486" s="38"/>
      <c r="J486" s="37" t="s">
        <v>1147</v>
      </c>
      <c r="K486" s="17"/>
      <c r="L486" s="6" t="s">
        <v>1148</v>
      </c>
      <c r="M486" s="6"/>
      <c r="N486" s="6"/>
      <c r="O486" s="6"/>
      <c r="P486" s="6"/>
      <c r="Q486" s="6"/>
      <c r="R486" s="6"/>
    </row>
    <row r="487" ht="22.5" customHeight="1">
      <c r="A487" s="49"/>
      <c r="B487" s="36"/>
      <c r="C487" s="9">
        <v>46107.0</v>
      </c>
      <c r="D487" s="10" t="s">
        <v>664</v>
      </c>
      <c r="E487" s="11" t="s">
        <v>1149</v>
      </c>
      <c r="F487" s="59" t="s">
        <v>1150</v>
      </c>
      <c r="G487" s="27" t="s">
        <v>666</v>
      </c>
      <c r="H487" s="14">
        <v>775000.0</v>
      </c>
      <c r="I487" s="15">
        <v>775000.0</v>
      </c>
      <c r="J487" s="37" t="s">
        <v>26</v>
      </c>
      <c r="K487" s="17"/>
      <c r="L487" s="6" t="s">
        <v>1151</v>
      </c>
      <c r="M487" s="6"/>
      <c r="N487" s="6"/>
      <c r="O487" s="6"/>
      <c r="P487" s="6"/>
      <c r="Q487" s="6"/>
      <c r="R487" s="6"/>
    </row>
    <row r="488" ht="22.5" customHeight="1">
      <c r="A488" s="49"/>
      <c r="B488" s="36"/>
      <c r="C488" s="9">
        <v>46107.0</v>
      </c>
      <c r="D488" s="10" t="s">
        <v>664</v>
      </c>
      <c r="E488" s="11" t="s">
        <v>1152</v>
      </c>
      <c r="F488" s="43"/>
      <c r="G488" s="13" t="s">
        <v>666</v>
      </c>
      <c r="H488" s="14">
        <v>3000.0</v>
      </c>
      <c r="I488" s="15">
        <v>3000.0</v>
      </c>
      <c r="J488" s="37" t="s">
        <v>26</v>
      </c>
      <c r="K488" s="17"/>
      <c r="L488" s="6" t="s">
        <v>1153</v>
      </c>
      <c r="M488" s="6"/>
      <c r="N488" s="6"/>
      <c r="O488" s="6"/>
      <c r="P488" s="6"/>
      <c r="Q488" s="6"/>
      <c r="R488" s="6"/>
    </row>
    <row r="489" ht="22.5" customHeight="1">
      <c r="A489" s="49"/>
      <c r="B489" s="36"/>
      <c r="C489" s="9">
        <v>46107.0</v>
      </c>
      <c r="D489" s="10" t="s">
        <v>1154</v>
      </c>
      <c r="E489" s="11" t="s">
        <v>1155</v>
      </c>
      <c r="F489" s="55" t="s">
        <v>1156</v>
      </c>
      <c r="G489" s="27" t="s">
        <v>1157</v>
      </c>
      <c r="H489" s="14">
        <v>340000.0</v>
      </c>
      <c r="I489" s="15">
        <v>340000.0</v>
      </c>
      <c r="J489" s="37" t="s">
        <v>26</v>
      </c>
      <c r="K489" s="17"/>
      <c r="L489" s="6" t="s">
        <v>1158</v>
      </c>
      <c r="M489" s="6"/>
      <c r="N489" s="6"/>
      <c r="O489" s="6"/>
      <c r="P489" s="6"/>
      <c r="Q489" s="6"/>
      <c r="R489" s="6"/>
    </row>
    <row r="490" ht="22.5" customHeight="1">
      <c r="A490" s="49"/>
      <c r="B490" s="36"/>
      <c r="C490" s="9">
        <v>46107.0</v>
      </c>
      <c r="D490" s="10" t="s">
        <v>1159</v>
      </c>
      <c r="E490" s="11" t="s">
        <v>1160</v>
      </c>
      <c r="F490" s="43"/>
      <c r="G490" s="13" t="s">
        <v>1161</v>
      </c>
      <c r="H490" s="14">
        <v>15000.0</v>
      </c>
      <c r="I490" s="15">
        <v>15000.0</v>
      </c>
      <c r="J490" s="37" t="s">
        <v>26</v>
      </c>
      <c r="K490" s="17"/>
      <c r="L490" s="6" t="s">
        <v>1162</v>
      </c>
      <c r="M490" s="6"/>
      <c r="N490" s="6"/>
      <c r="O490" s="6"/>
      <c r="P490" s="6"/>
      <c r="Q490" s="6"/>
      <c r="R490" s="6"/>
    </row>
    <row r="491" ht="22.5" customHeight="1">
      <c r="A491" s="49"/>
      <c r="B491" s="36"/>
      <c r="C491" s="9">
        <v>46107.0</v>
      </c>
      <c r="D491" s="10" t="s">
        <v>1163</v>
      </c>
      <c r="E491" s="11" t="s">
        <v>1164</v>
      </c>
      <c r="F491" s="43"/>
      <c r="G491" s="13" t="str">
        <f>IF(LEN(TRIM(D491))=0,"",IFNA(VLOOKUP(UPPER(TRIM(D491)),'CLIENT DIRECTORY'!A:B,2,FALSE),""))</f>
        <v/>
      </c>
      <c r="H491" s="14">
        <v>3000.0</v>
      </c>
      <c r="I491" s="15">
        <v>3000.0</v>
      </c>
      <c r="J491" s="37" t="s">
        <v>26</v>
      </c>
      <c r="K491" s="17"/>
      <c r="L491" s="6" t="s">
        <v>1165</v>
      </c>
      <c r="M491" s="6"/>
      <c r="N491" s="6"/>
      <c r="O491" s="6"/>
      <c r="P491" s="6"/>
      <c r="Q491" s="6"/>
      <c r="R491" s="6"/>
    </row>
    <row r="492" ht="22.5" customHeight="1">
      <c r="A492" s="49"/>
      <c r="B492" s="36"/>
      <c r="C492" s="9">
        <v>46107.0</v>
      </c>
      <c r="D492" s="10" t="s">
        <v>1136</v>
      </c>
      <c r="E492" s="11" t="s">
        <v>1166</v>
      </c>
      <c r="F492" s="55" t="s">
        <v>1167</v>
      </c>
      <c r="G492" s="27" t="str">
        <f>IF(LEN(TRIM(D492))=0,"",IFNA(VLOOKUP(UPPER(TRIM(D492)),'CLIENT DIRECTORY'!A:B,2,FALSE),""))</f>
        <v/>
      </c>
      <c r="H492" s="14">
        <v>140000.0</v>
      </c>
      <c r="I492" s="15">
        <v>140000.0</v>
      </c>
      <c r="J492" s="37" t="s">
        <v>26</v>
      </c>
      <c r="K492" s="17"/>
      <c r="L492" s="6" t="s">
        <v>1168</v>
      </c>
      <c r="M492" s="6"/>
      <c r="N492" s="6"/>
      <c r="O492" s="6"/>
      <c r="P492" s="6"/>
      <c r="Q492" s="6"/>
      <c r="R492" s="6"/>
    </row>
    <row r="493" ht="22.5" customHeight="1">
      <c r="A493" s="49"/>
      <c r="B493" s="36"/>
      <c r="C493" s="9">
        <v>46107.0</v>
      </c>
      <c r="D493" s="10" t="s">
        <v>1154</v>
      </c>
      <c r="E493" s="11" t="s">
        <v>1169</v>
      </c>
      <c r="F493" s="43"/>
      <c r="G493" s="13" t="s">
        <v>1157</v>
      </c>
      <c r="H493" s="14">
        <v>2500.0</v>
      </c>
      <c r="I493" s="15">
        <v>340000.0</v>
      </c>
      <c r="J493" s="37" t="s">
        <v>26</v>
      </c>
      <c r="K493" s="17"/>
      <c r="L493" s="6" t="s">
        <v>1170</v>
      </c>
      <c r="M493" s="6"/>
      <c r="N493" s="6"/>
      <c r="O493" s="6"/>
      <c r="P493" s="6"/>
      <c r="Q493" s="6"/>
      <c r="R493" s="6"/>
    </row>
    <row r="494" ht="22.5" customHeight="1">
      <c r="A494" s="49"/>
      <c r="B494" s="36"/>
      <c r="C494" s="9">
        <v>46107.0</v>
      </c>
      <c r="D494" s="10" t="s">
        <v>1163</v>
      </c>
      <c r="E494" s="11" t="s">
        <v>326</v>
      </c>
      <c r="F494" s="43"/>
      <c r="G494" s="13" t="str">
        <f>IF(LEN(TRIM(D494))=0,"",IFNA(VLOOKUP(UPPER(TRIM(D494)),'CLIENT DIRECTORY'!A:B,2,FALSE),""))</f>
        <v/>
      </c>
      <c r="H494" s="14">
        <v>3000.0</v>
      </c>
      <c r="I494" s="15">
        <v>3000.0</v>
      </c>
      <c r="J494" s="37" t="s">
        <v>26</v>
      </c>
      <c r="K494" s="17"/>
      <c r="L494" s="6" t="s">
        <v>1171</v>
      </c>
      <c r="M494" s="6"/>
      <c r="N494" s="6"/>
      <c r="O494" s="6"/>
      <c r="P494" s="6"/>
      <c r="Q494" s="6"/>
      <c r="R494" s="6"/>
    </row>
    <row r="495" ht="22.5" customHeight="1">
      <c r="A495" s="49"/>
      <c r="B495" s="36"/>
      <c r="C495" s="9">
        <v>46108.0</v>
      </c>
      <c r="D495" s="10" t="s">
        <v>1163</v>
      </c>
      <c r="E495" s="11" t="s">
        <v>1012</v>
      </c>
      <c r="F495" s="43"/>
      <c r="G495" s="13" t="str">
        <f>IF(LEN(TRIM(D495))=0,"",IFNA(VLOOKUP(UPPER(TRIM(D495)),'CLIENT DIRECTORY'!A:B,2,FALSE),""))</f>
        <v/>
      </c>
      <c r="H495" s="14">
        <v>5000.0</v>
      </c>
      <c r="I495" s="15">
        <v>5000.0</v>
      </c>
      <c r="J495" s="37" t="s">
        <v>26</v>
      </c>
      <c r="K495" s="17"/>
      <c r="L495" s="6" t="s">
        <v>1172</v>
      </c>
      <c r="M495" s="6"/>
      <c r="N495" s="6"/>
      <c r="O495" s="6"/>
      <c r="P495" s="6"/>
      <c r="Q495" s="6"/>
      <c r="R495" s="6"/>
    </row>
    <row r="496" ht="22.5" customHeight="1">
      <c r="A496" s="49"/>
      <c r="B496" s="36"/>
      <c r="C496" s="9">
        <v>46107.0</v>
      </c>
      <c r="D496" s="10" t="s">
        <v>620</v>
      </c>
      <c r="E496" s="11" t="s">
        <v>1173</v>
      </c>
      <c r="F496" s="43"/>
      <c r="G496" s="13" t="s">
        <v>622</v>
      </c>
      <c r="H496" s="14">
        <v>2500.0</v>
      </c>
      <c r="I496" s="15">
        <v>2500.0</v>
      </c>
      <c r="J496" s="37" t="s">
        <v>26</v>
      </c>
      <c r="K496" s="17"/>
      <c r="L496" s="6" t="s">
        <v>1174</v>
      </c>
      <c r="M496" s="6"/>
      <c r="N496" s="6"/>
      <c r="O496" s="6"/>
      <c r="P496" s="6"/>
      <c r="Q496" s="6"/>
      <c r="R496" s="6"/>
    </row>
    <row r="497" ht="22.5" customHeight="1">
      <c r="A497" s="49"/>
      <c r="B497" s="36"/>
      <c r="C497" s="9">
        <v>46107.0</v>
      </c>
      <c r="D497" s="10" t="s">
        <v>855</v>
      </c>
      <c r="E497" s="11" t="s">
        <v>1175</v>
      </c>
      <c r="F497" s="43"/>
      <c r="G497" s="13" t="s">
        <v>857</v>
      </c>
      <c r="H497" s="14">
        <v>75000.0</v>
      </c>
      <c r="I497" s="15">
        <v>75000.0</v>
      </c>
      <c r="J497" s="37" t="s">
        <v>26</v>
      </c>
      <c r="K497" s="17"/>
      <c r="L497" s="6" t="s">
        <v>1176</v>
      </c>
      <c r="M497" s="6"/>
      <c r="N497" s="6"/>
      <c r="O497" s="6"/>
      <c r="P497" s="6"/>
      <c r="Q497" s="6"/>
      <c r="R497" s="6"/>
    </row>
    <row r="498" ht="22.5" customHeight="1">
      <c r="A498" s="49"/>
      <c r="B498" s="36"/>
      <c r="C498" s="35" t="s">
        <v>508</v>
      </c>
      <c r="D498" s="10" t="s">
        <v>508</v>
      </c>
      <c r="E498" s="11" t="s">
        <v>195</v>
      </c>
      <c r="F498" s="12" t="s">
        <v>195</v>
      </c>
      <c r="G498" s="13" t="str">
        <f>IF(LEN(TRIM(D498))=0,"",IFNA(VLOOKUP(UPPER(TRIM(D498)),'CLIENT DIRECTORY'!A:B,2,FALSE),""))</f>
        <v/>
      </c>
      <c r="H498" s="14" t="s">
        <v>508</v>
      </c>
      <c r="I498" s="15"/>
      <c r="J498" s="37" t="s">
        <v>140</v>
      </c>
      <c r="K498" s="17"/>
      <c r="L498" s="6" t="s">
        <v>1177</v>
      </c>
      <c r="M498" s="6"/>
      <c r="N498" s="6"/>
      <c r="O498" s="6"/>
      <c r="P498" s="6"/>
      <c r="Q498" s="6"/>
      <c r="R498" s="6"/>
    </row>
    <row r="499" ht="22.5" customHeight="1">
      <c r="A499" s="49"/>
      <c r="B499" s="36"/>
      <c r="C499" s="35" t="s">
        <v>508</v>
      </c>
      <c r="D499" s="10" t="s">
        <v>508</v>
      </c>
      <c r="E499" s="11" t="s">
        <v>195</v>
      </c>
      <c r="F499" s="12" t="s">
        <v>195</v>
      </c>
      <c r="G499" s="13" t="str">
        <f>IF(LEN(TRIM(D499))=0,"",IFNA(VLOOKUP(UPPER(TRIM(D499)),'CLIENT DIRECTORY'!A:B,2,FALSE),""))</f>
        <v/>
      </c>
      <c r="H499" s="14" t="s">
        <v>508</v>
      </c>
      <c r="I499" s="15"/>
      <c r="J499" s="37" t="s">
        <v>140</v>
      </c>
      <c r="K499" s="17"/>
      <c r="L499" s="6" t="s">
        <v>1178</v>
      </c>
      <c r="M499" s="6"/>
      <c r="N499" s="6"/>
      <c r="O499" s="6"/>
      <c r="P499" s="6"/>
      <c r="Q499" s="6"/>
      <c r="R499" s="6"/>
    </row>
    <row r="500" ht="22.5" customHeight="1">
      <c r="A500" s="49"/>
      <c r="B500" s="36"/>
      <c r="C500" s="35" t="s">
        <v>508</v>
      </c>
      <c r="D500" s="10" t="s">
        <v>508</v>
      </c>
      <c r="E500" s="11" t="s">
        <v>195</v>
      </c>
      <c r="F500" s="12" t="s">
        <v>195</v>
      </c>
      <c r="G500" s="13" t="str">
        <f>IF(LEN(TRIM(D500))=0,"",IFNA(VLOOKUP(UPPER(TRIM(D500)),'CLIENT DIRECTORY'!A:B,2,FALSE),""))</f>
        <v/>
      </c>
      <c r="H500" s="14" t="s">
        <v>508</v>
      </c>
      <c r="I500" s="15"/>
      <c r="J500" s="37" t="s">
        <v>140</v>
      </c>
      <c r="K500" s="17"/>
      <c r="L500" s="6" t="s">
        <v>1179</v>
      </c>
      <c r="M500" s="6"/>
      <c r="N500" s="6"/>
      <c r="O500" s="6"/>
      <c r="P500" s="6"/>
      <c r="Q500" s="6"/>
      <c r="R500" s="6"/>
    </row>
    <row r="501" ht="22.5" customHeight="1">
      <c r="A501" s="49"/>
      <c r="B501" s="36"/>
      <c r="C501" s="39">
        <v>46108.0</v>
      </c>
      <c r="D501" s="10" t="s">
        <v>1180</v>
      </c>
      <c r="E501" s="11" t="s">
        <v>1181</v>
      </c>
      <c r="F501" s="12" t="s">
        <v>1073</v>
      </c>
      <c r="G501" s="13" t="str">
        <f>IF(LEN(TRIM(D501))=0,"",IFNA(VLOOKUP(UPPER(TRIM(D501)),'CLIENT DIRECTORY'!A:B,2,FALSE),""))</f>
        <v/>
      </c>
      <c r="H501" s="14">
        <v>180000.0</v>
      </c>
      <c r="I501" s="15">
        <v>180000.0</v>
      </c>
      <c r="J501" s="37" t="s">
        <v>26</v>
      </c>
      <c r="K501" s="17"/>
      <c r="L501" s="6" t="s">
        <v>1182</v>
      </c>
      <c r="M501" s="6"/>
      <c r="N501" s="6"/>
      <c r="O501" s="6"/>
      <c r="P501" s="6"/>
      <c r="Q501" s="6"/>
      <c r="R501" s="6"/>
    </row>
    <row r="502" ht="22.5" customHeight="1">
      <c r="A502" s="49"/>
      <c r="B502" s="36"/>
      <c r="C502" s="39">
        <v>46109.0</v>
      </c>
      <c r="D502" s="10" t="s">
        <v>46</v>
      </c>
      <c r="E502" s="11" t="s">
        <v>1183</v>
      </c>
      <c r="F502" s="43"/>
      <c r="G502" s="13" t="s">
        <v>48</v>
      </c>
      <c r="H502" s="14">
        <v>2500.0</v>
      </c>
      <c r="I502" s="15">
        <v>2500.0</v>
      </c>
      <c r="J502" s="37" t="s">
        <v>26</v>
      </c>
      <c r="K502" s="17"/>
      <c r="L502" s="6" t="s">
        <v>1184</v>
      </c>
      <c r="M502" s="6"/>
      <c r="N502" s="6"/>
      <c r="O502" s="6"/>
      <c r="P502" s="6"/>
      <c r="Q502" s="6"/>
      <c r="R502" s="6"/>
    </row>
    <row r="503" ht="22.5" customHeight="1">
      <c r="A503" s="49"/>
      <c r="B503" s="36"/>
      <c r="C503" s="9">
        <v>46108.0</v>
      </c>
      <c r="D503" s="10" t="s">
        <v>605</v>
      </c>
      <c r="E503" s="11" t="s">
        <v>1185</v>
      </c>
      <c r="F503" s="55" t="s">
        <v>1186</v>
      </c>
      <c r="G503" s="27" t="s">
        <v>608</v>
      </c>
      <c r="H503" s="14">
        <v>1100000.0</v>
      </c>
      <c r="I503" s="15">
        <v>1100000.0</v>
      </c>
      <c r="J503" s="37" t="s">
        <v>21</v>
      </c>
      <c r="K503" s="17"/>
      <c r="L503" s="6" t="s">
        <v>1187</v>
      </c>
      <c r="M503" s="6"/>
      <c r="N503" s="6"/>
      <c r="O503" s="6"/>
      <c r="P503" s="6"/>
      <c r="Q503" s="6"/>
      <c r="R503" s="6"/>
    </row>
    <row r="504" ht="22.5" customHeight="1">
      <c r="A504" s="49"/>
      <c r="B504" s="36"/>
      <c r="C504" s="9">
        <v>46108.0</v>
      </c>
      <c r="D504" s="10" t="s">
        <v>741</v>
      </c>
      <c r="E504" s="11" t="s">
        <v>1188</v>
      </c>
      <c r="F504" s="55" t="s">
        <v>1078</v>
      </c>
      <c r="G504" s="27" t="s">
        <v>743</v>
      </c>
      <c r="H504" s="14">
        <v>140000.0</v>
      </c>
      <c r="I504" s="38"/>
      <c r="J504" s="37" t="s">
        <v>988</v>
      </c>
      <c r="K504" s="17"/>
      <c r="L504" s="6" t="s">
        <v>1189</v>
      </c>
      <c r="M504" s="6"/>
      <c r="N504" s="6"/>
      <c r="O504" s="6"/>
      <c r="P504" s="6"/>
      <c r="Q504" s="6"/>
      <c r="R504" s="6"/>
    </row>
    <row r="505" ht="22.5" customHeight="1">
      <c r="A505" s="49"/>
      <c r="B505" s="36"/>
      <c r="C505" s="9">
        <v>46108.0</v>
      </c>
      <c r="D505" s="10" t="s">
        <v>1190</v>
      </c>
      <c r="E505" s="11" t="s">
        <v>1191</v>
      </c>
      <c r="F505" s="43"/>
      <c r="G505" s="13" t="str">
        <f>IF(LEN(TRIM(D505))=0,"",IFNA(VLOOKUP(UPPER(TRIM(D505)),'CLIENT DIRECTORY'!A:B,2,FALSE),""))</f>
        <v/>
      </c>
      <c r="H505" s="14">
        <v>5000.0</v>
      </c>
      <c r="I505" s="15">
        <v>5000.0</v>
      </c>
      <c r="J505" s="37" t="s">
        <v>26</v>
      </c>
      <c r="K505" s="17"/>
      <c r="L505" s="6" t="s">
        <v>1192</v>
      </c>
      <c r="M505" s="6"/>
      <c r="N505" s="6"/>
      <c r="O505" s="6"/>
      <c r="P505" s="6"/>
      <c r="Q505" s="6"/>
      <c r="R505" s="6"/>
    </row>
    <row r="506" ht="22.5" customHeight="1">
      <c r="A506" s="49"/>
      <c r="B506" s="36"/>
      <c r="C506" s="9">
        <v>46108.0</v>
      </c>
      <c r="D506" s="10" t="s">
        <v>358</v>
      </c>
      <c r="E506" s="11" t="s">
        <v>1193</v>
      </c>
      <c r="F506" s="43"/>
      <c r="G506" s="13" t="s">
        <v>360</v>
      </c>
      <c r="H506" s="14">
        <v>2500.0</v>
      </c>
      <c r="I506" s="15">
        <v>2500.0</v>
      </c>
      <c r="J506" s="37" t="s">
        <v>26</v>
      </c>
      <c r="K506" s="17"/>
      <c r="L506" s="6" t="s">
        <v>1194</v>
      </c>
      <c r="M506" s="6"/>
      <c r="N506" s="6"/>
      <c r="O506" s="6"/>
      <c r="P506" s="6"/>
      <c r="Q506" s="6"/>
      <c r="R506" s="6"/>
    </row>
    <row r="507" ht="22.5" customHeight="1">
      <c r="A507" s="49"/>
      <c r="B507" s="36"/>
      <c r="C507" s="9">
        <v>46108.0</v>
      </c>
      <c r="D507" s="10" t="s">
        <v>70</v>
      </c>
      <c r="E507" s="11" t="s">
        <v>1191</v>
      </c>
      <c r="F507" s="43"/>
      <c r="G507" s="13" t="s">
        <v>72</v>
      </c>
      <c r="H507" s="14">
        <v>5000.0</v>
      </c>
      <c r="I507" s="38"/>
      <c r="J507" s="37" t="s">
        <v>26</v>
      </c>
      <c r="K507" s="17"/>
      <c r="L507" s="6" t="s">
        <v>1195</v>
      </c>
      <c r="M507" s="6"/>
      <c r="N507" s="6"/>
      <c r="O507" s="6"/>
      <c r="P507" s="6"/>
      <c r="Q507" s="6"/>
      <c r="R507" s="6"/>
    </row>
    <row r="508" ht="22.5" customHeight="1">
      <c r="A508" s="49"/>
      <c r="B508" s="36"/>
      <c r="C508" s="9">
        <v>46108.0</v>
      </c>
      <c r="D508" s="10" t="s">
        <v>1196</v>
      </c>
      <c r="E508" s="11" t="s">
        <v>1197</v>
      </c>
      <c r="F508" s="55" t="s">
        <v>1198</v>
      </c>
      <c r="G508" s="27" t="str">
        <f>IF(LEN(TRIM(D508))=0,"",IFNA(VLOOKUP(UPPER(TRIM(D508)),'CLIENT DIRECTORY'!A:B,2,FALSE),""))</f>
        <v/>
      </c>
      <c r="H508" s="14">
        <v>230000.0</v>
      </c>
      <c r="I508" s="15">
        <v>230000.0</v>
      </c>
      <c r="J508" s="37" t="s">
        <v>26</v>
      </c>
      <c r="K508" s="17"/>
      <c r="L508" s="6" t="s">
        <v>1199</v>
      </c>
      <c r="M508" s="6"/>
      <c r="N508" s="6"/>
      <c r="O508" s="6"/>
      <c r="P508" s="6"/>
      <c r="Q508" s="6"/>
      <c r="R508" s="6"/>
    </row>
    <row r="509" ht="22.5" customHeight="1">
      <c r="A509" s="49"/>
      <c r="B509" s="36"/>
      <c r="C509" s="9">
        <v>46108.0</v>
      </c>
      <c r="D509" s="10" t="s">
        <v>236</v>
      </c>
      <c r="E509" s="11" t="s">
        <v>1191</v>
      </c>
      <c r="F509" s="43"/>
      <c r="G509" s="13" t="s">
        <v>237</v>
      </c>
      <c r="H509" s="14">
        <v>5000.0</v>
      </c>
      <c r="I509" s="15">
        <v>5000.0</v>
      </c>
      <c r="J509" s="37" t="s">
        <v>26</v>
      </c>
      <c r="K509" s="17"/>
      <c r="L509" s="6" t="s">
        <v>1200</v>
      </c>
      <c r="M509" s="6"/>
      <c r="N509" s="6"/>
      <c r="O509" s="6"/>
      <c r="P509" s="6"/>
      <c r="Q509" s="6"/>
      <c r="R509" s="6"/>
    </row>
    <row r="510" ht="22.5" customHeight="1">
      <c r="A510" s="49"/>
      <c r="B510" s="36"/>
      <c r="C510" s="9">
        <v>46108.0</v>
      </c>
      <c r="D510" s="10" t="s">
        <v>1201</v>
      </c>
      <c r="E510" s="11" t="s">
        <v>1191</v>
      </c>
      <c r="F510" s="43"/>
      <c r="G510" s="13" t="str">
        <f>IF(LEN(TRIM(D510))=0,"",IFNA(VLOOKUP(UPPER(TRIM(D510)),'CLIENT DIRECTORY'!A:B,2,FALSE),""))</f>
        <v/>
      </c>
      <c r="H510" s="14">
        <v>5000.0</v>
      </c>
      <c r="I510" s="38"/>
      <c r="J510" s="37" t="s">
        <v>26</v>
      </c>
      <c r="K510" s="17"/>
      <c r="L510" s="6" t="s">
        <v>1202</v>
      </c>
      <c r="M510" s="6"/>
      <c r="N510" s="6"/>
      <c r="O510" s="6"/>
      <c r="P510" s="6"/>
      <c r="Q510" s="6"/>
      <c r="R510" s="6"/>
    </row>
    <row r="511" ht="22.5" customHeight="1">
      <c r="A511" s="49"/>
      <c r="B511" s="36"/>
      <c r="C511" s="9">
        <v>46108.0</v>
      </c>
      <c r="D511" s="10" t="s">
        <v>605</v>
      </c>
      <c r="E511" s="11" t="s">
        <v>1203</v>
      </c>
      <c r="F511" s="43"/>
      <c r="G511" s="13" t="s">
        <v>608</v>
      </c>
      <c r="H511" s="14">
        <v>630000.0</v>
      </c>
      <c r="I511" s="15">
        <v>630000.0</v>
      </c>
      <c r="J511" s="37" t="s">
        <v>21</v>
      </c>
      <c r="K511" s="17"/>
      <c r="L511" s="6" t="s">
        <v>1204</v>
      </c>
      <c r="M511" s="6"/>
      <c r="N511" s="6"/>
      <c r="O511" s="6"/>
      <c r="P511" s="6"/>
      <c r="Q511" s="6"/>
      <c r="R511" s="6"/>
    </row>
    <row r="512" ht="22.5" customHeight="1">
      <c r="A512" s="49"/>
      <c r="B512" s="36"/>
      <c r="C512" s="9">
        <v>46108.0</v>
      </c>
      <c r="D512" s="10" t="s">
        <v>1205</v>
      </c>
      <c r="E512" s="11" t="s">
        <v>1206</v>
      </c>
      <c r="F512" s="43"/>
      <c r="G512" s="13" t="str">
        <f>IF(LEN(TRIM(D512))=0,"",IFNA(VLOOKUP(UPPER(TRIM(D512)),'CLIENT DIRECTORY'!A:B,2,FALSE),""))</f>
        <v/>
      </c>
      <c r="H512" s="14">
        <v>18000.0</v>
      </c>
      <c r="I512" s="38"/>
      <c r="J512" s="37" t="s">
        <v>26</v>
      </c>
      <c r="K512" s="17"/>
      <c r="L512" s="6" t="s">
        <v>1207</v>
      </c>
      <c r="M512" s="6"/>
      <c r="N512" s="6"/>
      <c r="O512" s="6"/>
      <c r="P512" s="6"/>
      <c r="Q512" s="6"/>
      <c r="R512" s="6"/>
    </row>
    <row r="513" ht="22.5" customHeight="1">
      <c r="A513" s="49"/>
      <c r="B513" s="36"/>
      <c r="C513" s="35" t="s">
        <v>508</v>
      </c>
      <c r="D513" s="10" t="s">
        <v>508</v>
      </c>
      <c r="E513" s="11" t="s">
        <v>195</v>
      </c>
      <c r="F513" s="12" t="s">
        <v>195</v>
      </c>
      <c r="G513" s="13" t="str">
        <f>IF(LEN(TRIM(D513))=0,"",IFNA(VLOOKUP(UPPER(TRIM(D513)),'CLIENT DIRECTORY'!A:B,2,FALSE),""))</f>
        <v/>
      </c>
      <c r="H513" s="14" t="s">
        <v>508</v>
      </c>
      <c r="I513" s="15"/>
      <c r="J513" s="37" t="s">
        <v>140</v>
      </c>
      <c r="K513" s="17"/>
      <c r="L513" s="6" t="s">
        <v>1208</v>
      </c>
      <c r="M513" s="6"/>
      <c r="N513" s="6"/>
      <c r="O513" s="6"/>
      <c r="P513" s="6"/>
      <c r="Q513" s="6"/>
      <c r="R513" s="6"/>
    </row>
    <row r="514" ht="22.5" customHeight="1">
      <c r="A514" s="49"/>
      <c r="B514" s="36"/>
      <c r="C514" s="35" t="s">
        <v>508</v>
      </c>
      <c r="D514" s="10" t="s">
        <v>508</v>
      </c>
      <c r="E514" s="11" t="s">
        <v>195</v>
      </c>
      <c r="F514" s="12" t="s">
        <v>195</v>
      </c>
      <c r="G514" s="13" t="str">
        <f>IF(LEN(TRIM(D514))=0,"",IFNA(VLOOKUP(UPPER(TRIM(D514)),'CLIENT DIRECTORY'!A:B,2,FALSE),""))</f>
        <v/>
      </c>
      <c r="H514" s="14" t="s">
        <v>508</v>
      </c>
      <c r="I514" s="15"/>
      <c r="J514" s="37" t="s">
        <v>140</v>
      </c>
      <c r="K514" s="17"/>
      <c r="L514" s="6" t="s">
        <v>1209</v>
      </c>
      <c r="M514" s="6"/>
      <c r="N514" s="6"/>
      <c r="O514" s="6"/>
      <c r="P514" s="6"/>
      <c r="Q514" s="6"/>
      <c r="R514" s="6"/>
    </row>
    <row r="515" ht="22.5" customHeight="1">
      <c r="A515" s="49"/>
      <c r="B515" s="36"/>
      <c r="C515" s="35" t="s">
        <v>508</v>
      </c>
      <c r="D515" s="10" t="s">
        <v>508</v>
      </c>
      <c r="E515" s="11" t="s">
        <v>195</v>
      </c>
      <c r="F515" s="12" t="s">
        <v>195</v>
      </c>
      <c r="G515" s="13" t="str">
        <f>IF(LEN(TRIM(D515))=0,"",IFNA(VLOOKUP(UPPER(TRIM(D515)),'CLIENT DIRECTORY'!A:B,2,FALSE),""))</f>
        <v/>
      </c>
      <c r="H515" s="14" t="s">
        <v>508</v>
      </c>
      <c r="I515" s="15"/>
      <c r="J515" s="37" t="s">
        <v>140</v>
      </c>
      <c r="K515" s="17"/>
      <c r="L515" s="6" t="s">
        <v>1210</v>
      </c>
      <c r="M515" s="6"/>
      <c r="N515" s="6"/>
      <c r="O515" s="6"/>
      <c r="P515" s="6"/>
      <c r="Q515" s="6"/>
      <c r="R515" s="6"/>
    </row>
    <row r="516" ht="22.5" customHeight="1">
      <c r="A516" s="49"/>
      <c r="B516" s="36"/>
      <c r="C516" s="39">
        <v>46109.0</v>
      </c>
      <c r="D516" s="10" t="s">
        <v>93</v>
      </c>
      <c r="E516" s="11" t="s">
        <v>1211</v>
      </c>
      <c r="F516" s="43"/>
      <c r="G516" s="13" t="s">
        <v>95</v>
      </c>
      <c r="H516" s="14">
        <v>2500.0</v>
      </c>
      <c r="I516" s="38"/>
      <c r="J516" s="37" t="s">
        <v>26</v>
      </c>
      <c r="K516" s="17"/>
      <c r="L516" s="6" t="s">
        <v>1212</v>
      </c>
      <c r="M516" s="6"/>
      <c r="N516" s="6"/>
      <c r="O516" s="6"/>
      <c r="P516" s="6"/>
      <c r="Q516" s="6"/>
      <c r="R516" s="6"/>
    </row>
    <row r="517" ht="22.5" customHeight="1">
      <c r="A517" s="49"/>
      <c r="B517" s="36"/>
      <c r="C517" s="39">
        <v>46110.0</v>
      </c>
      <c r="D517" s="10" t="s">
        <v>1213</v>
      </c>
      <c r="E517" s="11" t="s">
        <v>1214</v>
      </c>
      <c r="F517" s="12" t="s">
        <v>1215</v>
      </c>
      <c r="G517" s="13" t="str">
        <f>IF(LEN(TRIM(D517))=0,"",IFNA(VLOOKUP(UPPER(TRIM(D517)),'CLIENT DIRECTORY'!A:B,2,FALSE),""))</f>
        <v/>
      </c>
      <c r="H517" s="14">
        <v>170000.0</v>
      </c>
      <c r="I517" s="15">
        <v>170000.0</v>
      </c>
      <c r="J517" s="37" t="s">
        <v>26</v>
      </c>
      <c r="K517" s="17"/>
      <c r="L517" s="6" t="s">
        <v>1216</v>
      </c>
      <c r="M517" s="6"/>
      <c r="N517" s="6"/>
      <c r="O517" s="6"/>
      <c r="P517" s="6"/>
      <c r="Q517" s="6"/>
      <c r="R517" s="6"/>
    </row>
    <row r="518" ht="22.5" customHeight="1">
      <c r="A518" s="49"/>
      <c r="B518" s="36"/>
      <c r="C518" s="9">
        <v>46109.0</v>
      </c>
      <c r="D518" s="10" t="s">
        <v>23</v>
      </c>
      <c r="E518" s="11" t="s">
        <v>1217</v>
      </c>
      <c r="F518" s="43"/>
      <c r="G518" s="13" t="s">
        <v>25</v>
      </c>
      <c r="H518" s="14">
        <v>2500.0</v>
      </c>
      <c r="I518" s="15">
        <v>2500.0</v>
      </c>
      <c r="J518" s="37" t="s">
        <v>26</v>
      </c>
      <c r="K518" s="17"/>
      <c r="L518" s="6" t="s">
        <v>1218</v>
      </c>
      <c r="M518" s="6"/>
      <c r="N518" s="6"/>
      <c r="O518" s="6"/>
      <c r="P518" s="6"/>
      <c r="Q518" s="6"/>
      <c r="R518" s="6"/>
    </row>
    <row r="519" ht="22.5" customHeight="1">
      <c r="A519" s="49"/>
      <c r="B519" s="36"/>
      <c r="C519" s="9">
        <v>46109.0</v>
      </c>
      <c r="D519" s="10" t="s">
        <v>93</v>
      </c>
      <c r="E519" s="11" t="s">
        <v>1219</v>
      </c>
      <c r="F519" s="43"/>
      <c r="G519" s="13" t="s">
        <v>95</v>
      </c>
      <c r="H519" s="14">
        <v>2500.0</v>
      </c>
      <c r="I519" s="15">
        <v>2500.0</v>
      </c>
      <c r="J519" s="37" t="s">
        <v>26</v>
      </c>
      <c r="K519" s="17"/>
      <c r="L519" s="6" t="s">
        <v>1220</v>
      </c>
      <c r="M519" s="6"/>
      <c r="N519" s="6"/>
      <c r="O519" s="6"/>
      <c r="P519" s="6"/>
      <c r="Q519" s="6"/>
      <c r="R519" s="6"/>
    </row>
    <row r="520" ht="22.5" customHeight="1">
      <c r="A520" s="49"/>
      <c r="B520" s="36"/>
      <c r="C520" s="9">
        <v>46109.0</v>
      </c>
      <c r="D520" s="10" t="s">
        <v>1221</v>
      </c>
      <c r="E520" s="11" t="s">
        <v>1222</v>
      </c>
      <c r="F520" s="43"/>
      <c r="G520" s="13" t="str">
        <f>IF(LEN(TRIM(D520))=0,"",IFNA(VLOOKUP(UPPER(TRIM(D520)),'CLIENT DIRECTORY'!A:B,2,FALSE),""))</f>
        <v/>
      </c>
      <c r="H520" s="14">
        <v>80000.0</v>
      </c>
      <c r="I520" s="38"/>
      <c r="J520" s="37" t="s">
        <v>26</v>
      </c>
      <c r="K520" s="17"/>
      <c r="L520" s="6" t="s">
        <v>1223</v>
      </c>
      <c r="M520" s="6"/>
      <c r="N520" s="6"/>
      <c r="O520" s="6"/>
      <c r="P520" s="6"/>
      <c r="Q520" s="6"/>
      <c r="R520" s="6"/>
    </row>
    <row r="521" ht="22.5" customHeight="1">
      <c r="A521" s="49"/>
      <c r="B521" s="36"/>
      <c r="C521" s="9">
        <v>46109.0</v>
      </c>
      <c r="D521" s="10" t="s">
        <v>693</v>
      </c>
      <c r="E521" s="11" t="s">
        <v>1224</v>
      </c>
      <c r="F521" s="43"/>
      <c r="G521" s="13" t="s">
        <v>696</v>
      </c>
      <c r="H521" s="14">
        <v>140000.0</v>
      </c>
      <c r="I521" s="38"/>
      <c r="J521" s="37" t="s">
        <v>26</v>
      </c>
      <c r="K521" s="17"/>
      <c r="L521" s="6" t="s">
        <v>1225</v>
      </c>
      <c r="M521" s="6"/>
      <c r="N521" s="6"/>
      <c r="O521" s="6"/>
      <c r="P521" s="6"/>
      <c r="Q521" s="6"/>
      <c r="R521" s="6"/>
    </row>
    <row r="522" ht="22.5" customHeight="1">
      <c r="A522" s="49"/>
      <c r="B522" s="36"/>
      <c r="C522" s="9">
        <v>46110.0</v>
      </c>
      <c r="D522" s="10" t="s">
        <v>78</v>
      </c>
      <c r="E522" s="11" t="s">
        <v>1226</v>
      </c>
      <c r="F522" s="43"/>
      <c r="G522" s="13" t="s">
        <v>80</v>
      </c>
      <c r="H522" s="14">
        <v>2500.0</v>
      </c>
      <c r="I522" s="15">
        <v>2500.0</v>
      </c>
      <c r="J522" s="37" t="s">
        <v>26</v>
      </c>
      <c r="K522" s="17"/>
      <c r="L522" s="6" t="s">
        <v>1227</v>
      </c>
      <c r="M522" s="6"/>
      <c r="N522" s="6"/>
      <c r="O522" s="6"/>
      <c r="P522" s="6"/>
      <c r="Q522" s="6"/>
      <c r="R522" s="6"/>
    </row>
    <row r="523" ht="22.5" customHeight="1">
      <c r="A523" s="49"/>
      <c r="B523" s="36"/>
      <c r="C523" s="9">
        <v>46109.0</v>
      </c>
      <c r="D523" s="10" t="s">
        <v>400</v>
      </c>
      <c r="E523" s="11" t="s">
        <v>1228</v>
      </c>
      <c r="F523" s="43"/>
      <c r="G523" s="13" t="s">
        <v>402</v>
      </c>
      <c r="H523" s="14">
        <v>2500.0</v>
      </c>
      <c r="I523" s="15">
        <v>2500.0</v>
      </c>
      <c r="J523" s="37" t="s">
        <v>26</v>
      </c>
      <c r="K523" s="17"/>
      <c r="L523" s="6" t="s">
        <v>1229</v>
      </c>
      <c r="M523" s="6"/>
      <c r="N523" s="6"/>
      <c r="O523" s="6"/>
      <c r="P523" s="6"/>
      <c r="Q523" s="6"/>
      <c r="R523" s="6"/>
    </row>
    <row r="524" ht="22.5" customHeight="1">
      <c r="A524" s="49"/>
      <c r="B524" s="36"/>
      <c r="C524" s="9">
        <v>46109.0</v>
      </c>
      <c r="D524" s="10" t="s">
        <v>18</v>
      </c>
      <c r="E524" s="11" t="s">
        <v>1230</v>
      </c>
      <c r="F524" s="43"/>
      <c r="G524" s="13" t="s">
        <v>20</v>
      </c>
      <c r="H524" s="14">
        <v>2500.0</v>
      </c>
      <c r="I524" s="38"/>
      <c r="J524" s="37" t="s">
        <v>121</v>
      </c>
      <c r="K524" s="17"/>
      <c r="L524" s="6" t="s">
        <v>1231</v>
      </c>
      <c r="M524" s="6"/>
      <c r="N524" s="6"/>
      <c r="O524" s="6"/>
      <c r="P524" s="6"/>
      <c r="Q524" s="6"/>
      <c r="R524" s="6"/>
    </row>
    <row r="525" ht="22.5" customHeight="1">
      <c r="A525" s="49"/>
      <c r="B525" s="36"/>
      <c r="C525" s="9">
        <v>46110.0</v>
      </c>
      <c r="D525" s="10" t="s">
        <v>306</v>
      </c>
      <c r="E525" s="11" t="s">
        <v>954</v>
      </c>
      <c r="F525" s="43"/>
      <c r="G525" s="13" t="s">
        <v>307</v>
      </c>
      <c r="H525" s="14">
        <v>2500.0</v>
      </c>
      <c r="I525" s="15">
        <v>2500.0</v>
      </c>
      <c r="J525" s="37" t="s">
        <v>26</v>
      </c>
      <c r="K525" s="17"/>
      <c r="L525" s="6" t="s">
        <v>1232</v>
      </c>
      <c r="M525" s="6"/>
      <c r="N525" s="6"/>
      <c r="O525" s="6"/>
      <c r="P525" s="6"/>
      <c r="Q525" s="6"/>
      <c r="R525" s="6"/>
    </row>
    <row r="526" ht="22.5" customHeight="1">
      <c r="A526" s="49"/>
      <c r="B526" s="36"/>
      <c r="C526" s="9">
        <v>46110.0</v>
      </c>
      <c r="D526" s="10" t="s">
        <v>221</v>
      </c>
      <c r="E526" s="11" t="s">
        <v>1233</v>
      </c>
      <c r="F526" s="43"/>
      <c r="G526" s="13" t="s">
        <v>223</v>
      </c>
      <c r="H526" s="14">
        <v>750000.0</v>
      </c>
      <c r="I526" s="15"/>
      <c r="J526" s="37" t="s">
        <v>26</v>
      </c>
      <c r="K526" s="17"/>
      <c r="L526" s="6" t="s">
        <v>1234</v>
      </c>
      <c r="M526" s="6"/>
      <c r="N526" s="6"/>
      <c r="O526" s="6"/>
      <c r="P526" s="6"/>
      <c r="Q526" s="6"/>
      <c r="R526" s="6"/>
    </row>
    <row r="527" ht="22.5" customHeight="1">
      <c r="A527" s="49"/>
      <c r="B527" s="36"/>
      <c r="C527" s="9">
        <v>46109.0</v>
      </c>
      <c r="D527" s="10" t="s">
        <v>605</v>
      </c>
      <c r="E527" s="11" t="s">
        <v>1235</v>
      </c>
      <c r="F527" s="43"/>
      <c r="G527" s="13" t="s">
        <v>608</v>
      </c>
      <c r="H527" s="14">
        <v>10000.0</v>
      </c>
      <c r="I527" s="15">
        <v>10000.0</v>
      </c>
      <c r="J527" s="37" t="s">
        <v>21</v>
      </c>
      <c r="K527" s="17"/>
      <c r="L527" s="6" t="s">
        <v>1236</v>
      </c>
      <c r="M527" s="6"/>
      <c r="N527" s="6"/>
      <c r="O527" s="6"/>
      <c r="P527" s="6"/>
      <c r="Q527" s="6"/>
      <c r="R527" s="6"/>
    </row>
    <row r="528" ht="22.5" customHeight="1">
      <c r="A528" s="49"/>
      <c r="B528" s="36"/>
      <c r="C528" s="35" t="s">
        <v>508</v>
      </c>
      <c r="D528" s="10" t="s">
        <v>508</v>
      </c>
      <c r="E528" s="11" t="s">
        <v>195</v>
      </c>
      <c r="F528" s="12" t="s">
        <v>195</v>
      </c>
      <c r="G528" s="13" t="str">
        <f>IF(LEN(TRIM(D528))=0,"",IFNA(VLOOKUP(UPPER(TRIM(D528)),'CLIENT DIRECTORY'!A:B,2,FALSE),""))</f>
        <v/>
      </c>
      <c r="H528" s="14" t="s">
        <v>508</v>
      </c>
      <c r="I528" s="15"/>
      <c r="J528" s="37" t="s">
        <v>140</v>
      </c>
      <c r="K528" s="17"/>
      <c r="L528" s="6" t="s">
        <v>1237</v>
      </c>
      <c r="M528" s="6"/>
      <c r="N528" s="6"/>
      <c r="O528" s="6"/>
      <c r="P528" s="6"/>
      <c r="Q528" s="6"/>
      <c r="R528" s="6"/>
    </row>
    <row r="529" ht="22.5" customHeight="1">
      <c r="A529" s="49"/>
      <c r="B529" s="36"/>
      <c r="C529" s="35" t="s">
        <v>508</v>
      </c>
      <c r="D529" s="10" t="s">
        <v>508</v>
      </c>
      <c r="E529" s="11" t="s">
        <v>195</v>
      </c>
      <c r="F529" s="12" t="s">
        <v>195</v>
      </c>
      <c r="G529" s="13" t="str">
        <f>IF(LEN(TRIM(D529))=0,"",IFNA(VLOOKUP(UPPER(TRIM(D529)),'CLIENT DIRECTORY'!A:B,2,FALSE),""))</f>
        <v/>
      </c>
      <c r="H529" s="14" t="s">
        <v>508</v>
      </c>
      <c r="I529" s="15"/>
      <c r="J529" s="37" t="s">
        <v>140</v>
      </c>
      <c r="K529" s="17"/>
      <c r="L529" s="6" t="s">
        <v>1238</v>
      </c>
      <c r="M529" s="6"/>
      <c r="N529" s="6"/>
      <c r="O529" s="6"/>
      <c r="P529" s="6"/>
      <c r="Q529" s="6"/>
      <c r="R529" s="6"/>
    </row>
    <row r="530" ht="22.5" customHeight="1">
      <c r="A530" s="49"/>
      <c r="B530" s="36"/>
      <c r="C530" s="35" t="s">
        <v>508</v>
      </c>
      <c r="D530" s="10" t="s">
        <v>508</v>
      </c>
      <c r="E530" s="11" t="s">
        <v>195</v>
      </c>
      <c r="F530" s="12" t="s">
        <v>195</v>
      </c>
      <c r="G530" s="13" t="str">
        <f>IF(LEN(TRIM(D530))=0,"",IFNA(VLOOKUP(UPPER(TRIM(D530)),'CLIENT DIRECTORY'!A:B,2,FALSE),""))</f>
        <v/>
      </c>
      <c r="H530" s="14" t="s">
        <v>508</v>
      </c>
      <c r="I530" s="15"/>
      <c r="J530" s="37" t="s">
        <v>140</v>
      </c>
      <c r="K530" s="17"/>
      <c r="L530" s="6" t="s">
        <v>1239</v>
      </c>
      <c r="M530" s="6"/>
      <c r="N530" s="6"/>
      <c r="O530" s="6"/>
      <c r="P530" s="6"/>
      <c r="Q530" s="6"/>
      <c r="R530" s="6"/>
    </row>
    <row r="531" ht="22.5" customHeight="1">
      <c r="A531" s="49"/>
      <c r="B531" s="36"/>
      <c r="C531" s="9">
        <v>46110.0</v>
      </c>
      <c r="D531" s="10" t="s">
        <v>151</v>
      </c>
      <c r="E531" s="11" t="s">
        <v>1240</v>
      </c>
      <c r="F531" s="12" t="s">
        <v>1138</v>
      </c>
      <c r="G531" s="13" t="str">
        <f>IF(LEN(TRIM(D531))=0,"",IFNA(VLOOKUP(UPPER(TRIM(D531)),'CLIENT DIRECTORY'!A:B,2,FALSE),""))</f>
        <v/>
      </c>
      <c r="H531" s="14">
        <v>760000.0</v>
      </c>
      <c r="I531" s="15">
        <v>760000.0</v>
      </c>
      <c r="J531" s="37" t="s">
        <v>26</v>
      </c>
      <c r="K531" s="17"/>
      <c r="L531" s="6" t="s">
        <v>1241</v>
      </c>
      <c r="M531" s="6"/>
      <c r="N531" s="6"/>
      <c r="O531" s="6"/>
      <c r="P531" s="6"/>
      <c r="Q531" s="6"/>
      <c r="R531" s="6"/>
    </row>
    <row r="532" ht="22.5" customHeight="1">
      <c r="A532" s="49"/>
      <c r="B532" s="36"/>
      <c r="C532" s="35" t="s">
        <v>508</v>
      </c>
      <c r="D532" s="10" t="s">
        <v>508</v>
      </c>
      <c r="E532" s="11" t="s">
        <v>195</v>
      </c>
      <c r="F532" s="12" t="s">
        <v>195</v>
      </c>
      <c r="G532" s="13" t="str">
        <f>IF(LEN(TRIM(D532))=0,"",IFNA(VLOOKUP(UPPER(TRIM(D532)),'CLIENT DIRECTORY'!A:B,2,FALSE),""))</f>
        <v/>
      </c>
      <c r="H532" s="14" t="s">
        <v>508</v>
      </c>
      <c r="I532" s="15"/>
      <c r="J532" s="37" t="s">
        <v>140</v>
      </c>
      <c r="K532" s="17"/>
      <c r="L532" s="6" t="s">
        <v>1242</v>
      </c>
      <c r="M532" s="6"/>
      <c r="N532" s="6"/>
      <c r="O532" s="6"/>
      <c r="P532" s="6"/>
      <c r="Q532" s="6"/>
      <c r="R532" s="6"/>
    </row>
    <row r="533" ht="22.5" customHeight="1">
      <c r="A533" s="49"/>
      <c r="B533" s="36"/>
      <c r="C533" s="35" t="s">
        <v>508</v>
      </c>
      <c r="D533" s="10" t="s">
        <v>508</v>
      </c>
      <c r="E533" s="11" t="s">
        <v>195</v>
      </c>
      <c r="F533" s="12" t="s">
        <v>195</v>
      </c>
      <c r="G533" s="13" t="str">
        <f>IF(LEN(TRIM(D533))=0,"",IFNA(VLOOKUP(UPPER(TRIM(D533)),'CLIENT DIRECTORY'!A:B,2,FALSE),""))</f>
        <v/>
      </c>
      <c r="H533" s="14" t="s">
        <v>508</v>
      </c>
      <c r="I533" s="15"/>
      <c r="J533" s="37" t="s">
        <v>140</v>
      </c>
      <c r="K533" s="17"/>
      <c r="L533" s="6" t="s">
        <v>1243</v>
      </c>
      <c r="M533" s="6"/>
      <c r="N533" s="6"/>
      <c r="O533" s="6"/>
      <c r="P533" s="6"/>
      <c r="Q533" s="6"/>
      <c r="R533" s="6"/>
    </row>
    <row r="534" ht="22.5" customHeight="1">
      <c r="A534" s="49"/>
      <c r="B534" s="36"/>
      <c r="C534" s="35" t="s">
        <v>508</v>
      </c>
      <c r="D534" s="10" t="s">
        <v>508</v>
      </c>
      <c r="E534" s="11" t="s">
        <v>195</v>
      </c>
      <c r="F534" s="12" t="s">
        <v>195</v>
      </c>
      <c r="G534" s="13" t="str">
        <f>IF(LEN(TRIM(D534))=0,"",IFNA(VLOOKUP(UPPER(TRIM(D534)),'CLIENT DIRECTORY'!A:B,2,FALSE),""))</f>
        <v/>
      </c>
      <c r="H534" s="14" t="s">
        <v>508</v>
      </c>
      <c r="I534" s="15"/>
      <c r="J534" s="37" t="s">
        <v>140</v>
      </c>
      <c r="K534" s="17"/>
      <c r="L534" s="6" t="s">
        <v>1244</v>
      </c>
      <c r="M534" s="6"/>
      <c r="N534" s="6"/>
      <c r="O534" s="6"/>
      <c r="P534" s="6"/>
      <c r="Q534" s="6"/>
      <c r="R534" s="6"/>
    </row>
    <row r="535" ht="22.5" customHeight="1">
      <c r="A535" s="49"/>
      <c r="B535" s="36"/>
      <c r="C535" s="35" t="s">
        <v>508</v>
      </c>
      <c r="D535" s="10" t="s">
        <v>508</v>
      </c>
      <c r="E535" s="11" t="s">
        <v>195</v>
      </c>
      <c r="F535" s="12" t="s">
        <v>195</v>
      </c>
      <c r="G535" s="13" t="str">
        <f>IF(LEN(TRIM(D535))=0,"",IFNA(VLOOKUP(UPPER(TRIM(D535)),'CLIENT DIRECTORY'!A:B,2,FALSE),""))</f>
        <v/>
      </c>
      <c r="H535" s="14" t="s">
        <v>508</v>
      </c>
      <c r="I535" s="15"/>
      <c r="J535" s="37" t="s">
        <v>140</v>
      </c>
      <c r="K535" s="17"/>
      <c r="L535" s="6" t="s">
        <v>1245</v>
      </c>
      <c r="M535" s="6"/>
      <c r="N535" s="6"/>
      <c r="O535" s="6"/>
      <c r="P535" s="6"/>
      <c r="Q535" s="6"/>
      <c r="R535" s="6"/>
    </row>
    <row r="536" ht="22.5" customHeight="1">
      <c r="A536" s="49"/>
      <c r="B536" s="36"/>
      <c r="C536" s="9">
        <v>46112.0</v>
      </c>
      <c r="D536" s="10" t="s">
        <v>1246</v>
      </c>
      <c r="E536" s="11" t="s">
        <v>1247</v>
      </c>
      <c r="F536" s="43"/>
      <c r="G536" s="13" t="str">
        <f>IF(LEN(TRIM(D536))=0,"",IFNA(VLOOKUP(UPPER(TRIM(D536)),'CLIENT DIRECTORY'!A:B,2,FALSE),""))</f>
        <v/>
      </c>
      <c r="H536" s="14">
        <v>3000.0</v>
      </c>
      <c r="I536" s="15">
        <v>3000.0</v>
      </c>
      <c r="J536" s="37" t="s">
        <v>26</v>
      </c>
      <c r="K536" s="17"/>
      <c r="L536" s="6" t="s">
        <v>1248</v>
      </c>
      <c r="M536" s="6"/>
      <c r="N536" s="6"/>
      <c r="O536" s="6"/>
      <c r="P536" s="6"/>
      <c r="Q536" s="6"/>
      <c r="R536" s="6"/>
    </row>
    <row r="537" ht="22.5" customHeight="1">
      <c r="A537" s="49"/>
      <c r="B537" s="36"/>
      <c r="C537" s="9">
        <v>46111.0</v>
      </c>
      <c r="D537" s="10" t="s">
        <v>993</v>
      </c>
      <c r="E537" s="11" t="s">
        <v>1249</v>
      </c>
      <c r="F537" s="43"/>
      <c r="G537" s="13" t="s">
        <v>995</v>
      </c>
      <c r="H537" s="14">
        <v>2500.0</v>
      </c>
      <c r="I537" s="15">
        <v>2500.0</v>
      </c>
      <c r="J537" s="37" t="s">
        <v>26</v>
      </c>
      <c r="K537" s="17"/>
      <c r="L537" s="6" t="s">
        <v>1250</v>
      </c>
      <c r="M537" s="6"/>
      <c r="N537" s="6"/>
      <c r="O537" s="6"/>
      <c r="P537" s="6"/>
      <c r="Q537" s="6"/>
      <c r="R537" s="6"/>
    </row>
    <row r="538" ht="22.5" customHeight="1">
      <c r="A538" s="49"/>
      <c r="B538" s="36"/>
      <c r="C538" s="9">
        <v>46111.0</v>
      </c>
      <c r="D538" s="10" t="s">
        <v>424</v>
      </c>
      <c r="E538" s="11" t="s">
        <v>1251</v>
      </c>
      <c r="F538" s="43"/>
      <c r="G538" s="13" t="s">
        <v>426</v>
      </c>
      <c r="H538" s="14">
        <v>2500.0</v>
      </c>
      <c r="I538" s="15">
        <v>2500.0</v>
      </c>
      <c r="J538" s="37" t="s">
        <v>26</v>
      </c>
      <c r="K538" s="17"/>
      <c r="L538" s="6" t="s">
        <v>1252</v>
      </c>
      <c r="M538" s="6"/>
      <c r="N538" s="6"/>
      <c r="O538" s="6"/>
      <c r="P538" s="6"/>
      <c r="Q538" s="6"/>
      <c r="R538" s="6"/>
    </row>
    <row r="539" ht="22.5" customHeight="1">
      <c r="A539" s="49"/>
      <c r="B539" s="36"/>
      <c r="C539" s="9">
        <v>46111.0</v>
      </c>
      <c r="D539" s="10" t="s">
        <v>1246</v>
      </c>
      <c r="E539" s="11" t="s">
        <v>1253</v>
      </c>
      <c r="F539" s="43"/>
      <c r="G539" s="13" t="str">
        <f>IF(LEN(TRIM(D539))=0,"",IFNA(VLOOKUP(UPPER(TRIM(D539)),'CLIENT DIRECTORY'!A:B,2,FALSE),""))</f>
        <v/>
      </c>
      <c r="H539" s="14">
        <v>4000.0</v>
      </c>
      <c r="I539" s="38"/>
      <c r="J539" s="37" t="s">
        <v>26</v>
      </c>
      <c r="K539" s="17"/>
      <c r="L539" s="6" t="s">
        <v>1254</v>
      </c>
      <c r="M539" s="6"/>
      <c r="N539" s="6"/>
      <c r="O539" s="6"/>
      <c r="P539" s="6"/>
      <c r="Q539" s="6"/>
      <c r="R539" s="6"/>
    </row>
    <row r="540" ht="22.5" customHeight="1">
      <c r="A540" s="49"/>
      <c r="B540" s="36"/>
      <c r="C540" s="9">
        <v>46111.0</v>
      </c>
      <c r="D540" s="10" t="s">
        <v>1255</v>
      </c>
      <c r="E540" s="11" t="s">
        <v>1256</v>
      </c>
      <c r="F540" s="55" t="s">
        <v>374</v>
      </c>
      <c r="G540" s="27" t="str">
        <f>IF(LEN(TRIM(D540))=0,"",IFNA(VLOOKUP(UPPER(TRIM(D540)),'CLIENT DIRECTORY'!A:B,2,FALSE),""))</f>
        <v/>
      </c>
      <c r="H540" s="14">
        <v>600000.0</v>
      </c>
      <c r="I540" s="38"/>
      <c r="J540" s="37" t="s">
        <v>103</v>
      </c>
      <c r="K540" s="17"/>
      <c r="L540" s="6" t="s">
        <v>1257</v>
      </c>
      <c r="M540" s="6"/>
      <c r="N540" s="6"/>
      <c r="O540" s="6"/>
      <c r="P540" s="6"/>
      <c r="Q540" s="6"/>
      <c r="R540" s="6"/>
    </row>
    <row r="541" ht="22.5" customHeight="1">
      <c r="A541" s="49"/>
      <c r="B541" s="36"/>
      <c r="C541" s="9">
        <v>46111.0</v>
      </c>
      <c r="D541" s="10" t="s">
        <v>60</v>
      </c>
      <c r="E541" s="11" t="s">
        <v>1258</v>
      </c>
      <c r="F541" s="43"/>
      <c r="G541" s="13" t="s">
        <v>62</v>
      </c>
      <c r="H541" s="14">
        <v>2500.0</v>
      </c>
      <c r="I541" s="15">
        <v>2500.0</v>
      </c>
      <c r="J541" s="37" t="s">
        <v>26</v>
      </c>
      <c r="K541" s="17"/>
      <c r="L541" s="6" t="s">
        <v>1259</v>
      </c>
      <c r="M541" s="6"/>
      <c r="N541" s="6"/>
      <c r="O541" s="6"/>
      <c r="P541" s="6"/>
      <c r="Q541" s="6"/>
      <c r="R541" s="6"/>
    </row>
    <row r="542" ht="22.5" customHeight="1">
      <c r="A542" s="49"/>
      <c r="B542" s="36"/>
      <c r="C542" s="9">
        <v>46111.0</v>
      </c>
      <c r="D542" s="10" t="s">
        <v>89</v>
      </c>
      <c r="E542" s="11" t="s">
        <v>1260</v>
      </c>
      <c r="F542" s="43"/>
      <c r="G542" s="13" t="s">
        <v>91</v>
      </c>
      <c r="H542" s="14">
        <v>15000.0</v>
      </c>
      <c r="I542" s="15">
        <v>15000.0</v>
      </c>
      <c r="J542" s="37" t="s">
        <v>26</v>
      </c>
      <c r="K542" s="17"/>
      <c r="L542" s="6" t="s">
        <v>1261</v>
      </c>
      <c r="M542" s="6"/>
      <c r="N542" s="6"/>
      <c r="O542" s="6"/>
      <c r="P542" s="6"/>
      <c r="Q542" s="6"/>
      <c r="R542" s="6"/>
    </row>
    <row r="543" ht="22.5" customHeight="1">
      <c r="A543" s="49"/>
      <c r="B543" s="36"/>
      <c r="C543" s="9">
        <v>46111.0</v>
      </c>
      <c r="D543" s="10" t="s">
        <v>236</v>
      </c>
      <c r="E543" s="11" t="s">
        <v>1262</v>
      </c>
      <c r="F543" s="43"/>
      <c r="G543" s="13" t="s">
        <v>237</v>
      </c>
      <c r="H543" s="14">
        <v>70000.0</v>
      </c>
      <c r="I543" s="15">
        <v>70000.0</v>
      </c>
      <c r="J543" s="37" t="s">
        <v>26</v>
      </c>
      <c r="K543" s="17"/>
      <c r="L543" s="6" t="s">
        <v>1263</v>
      </c>
      <c r="M543" s="6"/>
      <c r="N543" s="6"/>
      <c r="O543" s="6"/>
      <c r="P543" s="6"/>
      <c r="Q543" s="6"/>
      <c r="R543" s="6"/>
    </row>
    <row r="544" ht="22.5" customHeight="1">
      <c r="A544" s="49"/>
      <c r="B544" s="36"/>
      <c r="C544" s="9">
        <v>46111.0</v>
      </c>
      <c r="D544" s="10" t="s">
        <v>485</v>
      </c>
      <c r="E544" s="11" t="s">
        <v>1264</v>
      </c>
      <c r="F544" s="43"/>
      <c r="G544" s="13" t="s">
        <v>486</v>
      </c>
      <c r="H544" s="14">
        <v>28000.0</v>
      </c>
      <c r="I544" s="15">
        <v>28000.0</v>
      </c>
      <c r="J544" s="37" t="s">
        <v>21</v>
      </c>
      <c r="K544" s="17"/>
      <c r="L544" s="6" t="s">
        <v>1265</v>
      </c>
      <c r="M544" s="6"/>
      <c r="N544" s="6"/>
      <c r="O544" s="6"/>
      <c r="P544" s="6"/>
      <c r="Q544" s="6"/>
      <c r="R544" s="6"/>
    </row>
    <row r="545" ht="22.5" customHeight="1">
      <c r="A545" s="49"/>
      <c r="B545" s="36"/>
      <c r="C545" s="9">
        <v>46111.0</v>
      </c>
      <c r="D545" s="10" t="s">
        <v>89</v>
      </c>
      <c r="E545" s="11" t="s">
        <v>1266</v>
      </c>
      <c r="F545" s="43"/>
      <c r="G545" s="13" t="s">
        <v>91</v>
      </c>
      <c r="H545" s="14">
        <v>8000.0</v>
      </c>
      <c r="I545" s="15">
        <v>8000.0</v>
      </c>
      <c r="J545" s="37" t="s">
        <v>26</v>
      </c>
      <c r="K545" s="17"/>
      <c r="L545" s="6" t="s">
        <v>1267</v>
      </c>
      <c r="M545" s="6"/>
      <c r="N545" s="6"/>
      <c r="O545" s="6"/>
      <c r="P545" s="6"/>
      <c r="Q545" s="6"/>
      <c r="R545" s="6"/>
    </row>
    <row r="546" ht="22.5" customHeight="1">
      <c r="A546" s="49"/>
      <c r="B546" s="36"/>
      <c r="C546" s="35" t="s">
        <v>140</v>
      </c>
      <c r="D546" s="10" t="s">
        <v>195</v>
      </c>
      <c r="E546" s="11" t="s">
        <v>140</v>
      </c>
      <c r="F546" s="12" t="s">
        <v>140</v>
      </c>
      <c r="G546" s="13" t="str">
        <f>IF(LEN(TRIM(D546))=0,"",IFNA(VLOOKUP(UPPER(TRIM(D546)),'CLIENT DIRECTORY'!A:B,2,FALSE),""))</f>
        <v/>
      </c>
      <c r="H546" s="14" t="s">
        <v>140</v>
      </c>
      <c r="I546" s="15"/>
      <c r="J546" s="37" t="s">
        <v>140</v>
      </c>
      <c r="K546" s="17"/>
      <c r="L546" s="6" t="s">
        <v>1268</v>
      </c>
      <c r="M546" s="6"/>
      <c r="N546" s="6"/>
      <c r="O546" s="6"/>
      <c r="P546" s="6"/>
      <c r="Q546" s="6"/>
      <c r="R546" s="6"/>
    </row>
    <row r="547" ht="22.5" customHeight="1">
      <c r="A547" s="49"/>
      <c r="B547" s="36"/>
      <c r="C547" s="35" t="s">
        <v>140</v>
      </c>
      <c r="D547" s="10" t="s">
        <v>140</v>
      </c>
      <c r="E547" s="11" t="s">
        <v>140</v>
      </c>
      <c r="F547" s="12" t="s">
        <v>140</v>
      </c>
      <c r="G547" s="13" t="str">
        <f>IF(LEN(TRIM(D547))=0,"",IFNA(VLOOKUP(UPPER(TRIM(D547)),'CLIENT DIRECTORY'!A:B,2,FALSE),""))</f>
        <v/>
      </c>
      <c r="H547" s="14" t="s">
        <v>195</v>
      </c>
      <c r="I547" s="15"/>
      <c r="J547" s="37" t="s">
        <v>140</v>
      </c>
      <c r="K547" s="17"/>
      <c r="L547" s="6" t="s">
        <v>1269</v>
      </c>
      <c r="M547" s="6"/>
      <c r="N547" s="6"/>
      <c r="O547" s="6"/>
      <c r="P547" s="6"/>
      <c r="Q547" s="6"/>
      <c r="R547" s="6"/>
    </row>
    <row r="548" ht="22.5" customHeight="1">
      <c r="A548" s="49"/>
      <c r="B548" s="36"/>
      <c r="C548" s="35" t="s">
        <v>140</v>
      </c>
      <c r="D548" s="10" t="s">
        <v>140</v>
      </c>
      <c r="E548" s="11" t="s">
        <v>140</v>
      </c>
      <c r="F548" s="12" t="s">
        <v>140</v>
      </c>
      <c r="G548" s="13" t="str">
        <f>IF(LEN(TRIM(D548))=0,"",IFNA(VLOOKUP(UPPER(TRIM(D548)),'CLIENT DIRECTORY'!A:B,2,FALSE),""))</f>
        <v/>
      </c>
      <c r="H548" s="14" t="s">
        <v>140</v>
      </c>
      <c r="I548" s="15"/>
      <c r="J548" s="37" t="s">
        <v>140</v>
      </c>
      <c r="K548" s="17"/>
      <c r="L548" s="6" t="s">
        <v>1270</v>
      </c>
      <c r="M548" s="6"/>
      <c r="N548" s="6"/>
      <c r="O548" s="6"/>
      <c r="P548" s="6"/>
      <c r="Q548" s="6"/>
      <c r="R548" s="6"/>
    </row>
    <row r="549" ht="22.5" customHeight="1">
      <c r="A549" s="49"/>
      <c r="B549" s="36"/>
      <c r="C549" s="39">
        <v>46112.0</v>
      </c>
      <c r="D549" s="10" t="s">
        <v>485</v>
      </c>
      <c r="E549" s="11" t="s">
        <v>1271</v>
      </c>
      <c r="F549" s="43"/>
      <c r="G549" s="13" t="s">
        <v>486</v>
      </c>
      <c r="H549" s="14">
        <v>15000.0</v>
      </c>
      <c r="I549" s="15">
        <v>15000.0</v>
      </c>
      <c r="J549" s="37" t="s">
        <v>26</v>
      </c>
      <c r="K549" s="17"/>
      <c r="L549" s="6" t="s">
        <v>1272</v>
      </c>
      <c r="M549" s="6"/>
      <c r="N549" s="6"/>
      <c r="O549" s="6"/>
      <c r="P549" s="6"/>
      <c r="Q549" s="6"/>
      <c r="R549" s="6"/>
    </row>
    <row r="550" ht="22.5" customHeight="1">
      <c r="A550" s="49"/>
      <c r="B550" s="36"/>
      <c r="C550" s="9">
        <v>46112.0</v>
      </c>
      <c r="D550" s="10" t="s">
        <v>424</v>
      </c>
      <c r="E550" s="11" t="s">
        <v>1273</v>
      </c>
      <c r="F550" s="43"/>
      <c r="G550" s="13" t="s">
        <v>426</v>
      </c>
      <c r="H550" s="14">
        <v>2500.0</v>
      </c>
      <c r="I550" s="15">
        <v>2500.0</v>
      </c>
      <c r="J550" s="37" t="s">
        <v>26</v>
      </c>
      <c r="K550" s="17"/>
      <c r="L550" s="6" t="s">
        <v>1274</v>
      </c>
      <c r="M550" s="6"/>
      <c r="N550" s="6"/>
      <c r="O550" s="6"/>
      <c r="P550" s="6"/>
      <c r="Q550" s="6"/>
      <c r="R550" s="6"/>
    </row>
    <row r="551" ht="22.5" customHeight="1">
      <c r="A551" s="49"/>
      <c r="B551" s="36"/>
      <c r="C551" s="9">
        <v>46112.0</v>
      </c>
      <c r="D551" s="10" t="s">
        <v>1275</v>
      </c>
      <c r="E551" s="11" t="s">
        <v>1276</v>
      </c>
      <c r="F551" s="43"/>
      <c r="G551" s="13" t="str">
        <f>IF(LEN(TRIM(D551))=0,"",IFNA(VLOOKUP(UPPER(TRIM(D551)),'CLIENT DIRECTORY'!A:B,2,FALSE),""))</f>
        <v/>
      </c>
      <c r="H551" s="14">
        <v>360000.0</v>
      </c>
      <c r="I551" s="38"/>
      <c r="J551" s="37" t="s">
        <v>26</v>
      </c>
      <c r="K551" s="17"/>
      <c r="L551" s="6" t="s">
        <v>1277</v>
      </c>
      <c r="M551" s="6"/>
      <c r="N551" s="6"/>
      <c r="O551" s="6"/>
      <c r="P551" s="6"/>
      <c r="Q551" s="6"/>
      <c r="R551" s="6"/>
    </row>
    <row r="552" ht="22.5" customHeight="1">
      <c r="A552" s="49"/>
      <c r="B552" s="36"/>
      <c r="C552" s="9">
        <v>46112.0</v>
      </c>
      <c r="D552" s="10" t="s">
        <v>97</v>
      </c>
      <c r="E552" s="11" t="s">
        <v>1278</v>
      </c>
      <c r="F552" s="43"/>
      <c r="G552" s="13" t="s">
        <v>99</v>
      </c>
      <c r="H552" s="14">
        <v>2500.0</v>
      </c>
      <c r="I552" s="38"/>
      <c r="J552" s="37" t="s">
        <v>26</v>
      </c>
      <c r="K552" s="17"/>
      <c r="L552" s="6" t="s">
        <v>1279</v>
      </c>
      <c r="M552" s="6"/>
      <c r="N552" s="6"/>
      <c r="O552" s="6"/>
      <c r="P552" s="6"/>
      <c r="Q552" s="6"/>
      <c r="R552" s="6"/>
    </row>
    <row r="553" ht="22.5" customHeight="1">
      <c r="A553" s="49"/>
      <c r="B553" s="36"/>
      <c r="C553" s="9">
        <v>46112.0</v>
      </c>
      <c r="D553" s="10" t="s">
        <v>1280</v>
      </c>
      <c r="E553" s="11" t="s">
        <v>1281</v>
      </c>
      <c r="F553" s="43"/>
      <c r="G553" s="13" t="str">
        <f>IF(LEN(TRIM(D553))=0,"",IFNA(VLOOKUP(UPPER(TRIM(D553)),'CLIENT DIRECTORY'!A:B,2,FALSE),""))</f>
        <v/>
      </c>
      <c r="H553" s="14">
        <v>3000.0</v>
      </c>
      <c r="I553" s="15">
        <v>3000.0</v>
      </c>
      <c r="J553" s="37" t="s">
        <v>21</v>
      </c>
      <c r="K553" s="17"/>
      <c r="L553" s="6" t="s">
        <v>1282</v>
      </c>
      <c r="M553" s="6"/>
      <c r="N553" s="6"/>
      <c r="O553" s="6"/>
      <c r="P553" s="6"/>
      <c r="Q553" s="6"/>
      <c r="R553" s="6"/>
    </row>
    <row r="554" ht="22.5" customHeight="1">
      <c r="A554" s="49"/>
      <c r="B554" s="36"/>
      <c r="C554" s="35" t="s">
        <v>140</v>
      </c>
      <c r="D554" s="10" t="s">
        <v>195</v>
      </c>
      <c r="E554" s="11" t="s">
        <v>140</v>
      </c>
      <c r="F554" s="12" t="s">
        <v>140</v>
      </c>
      <c r="G554" s="13" t="str">
        <f>IF(LEN(TRIM(D554))=0,"",IFNA(VLOOKUP(UPPER(TRIM(D554)),'CLIENT DIRECTORY'!A:B,2,FALSE),""))</f>
        <v/>
      </c>
      <c r="H554" s="14" t="s">
        <v>140</v>
      </c>
      <c r="I554" s="15"/>
      <c r="J554" s="37" t="s">
        <v>140</v>
      </c>
      <c r="K554" s="17"/>
      <c r="L554" s="6" t="s">
        <v>1283</v>
      </c>
      <c r="M554" s="6"/>
      <c r="N554" s="6"/>
      <c r="O554" s="6"/>
      <c r="P554" s="6"/>
      <c r="Q554" s="6"/>
      <c r="R554" s="6"/>
    </row>
    <row r="555" ht="22.5" customHeight="1">
      <c r="A555" s="49"/>
      <c r="B555" s="36"/>
      <c r="C555" s="35" t="s">
        <v>140</v>
      </c>
      <c r="D555" s="10" t="s">
        <v>140</v>
      </c>
      <c r="E555" s="11" t="s">
        <v>140</v>
      </c>
      <c r="F555" s="12" t="s">
        <v>140</v>
      </c>
      <c r="G555" s="13" t="str">
        <f>IF(LEN(TRIM(D555))=0,"",IFNA(VLOOKUP(UPPER(TRIM(D555)),'CLIENT DIRECTORY'!A:B,2,FALSE),""))</f>
        <v/>
      </c>
      <c r="H555" s="14" t="s">
        <v>195</v>
      </c>
      <c r="I555" s="15"/>
      <c r="J555" s="37" t="s">
        <v>140</v>
      </c>
      <c r="K555" s="17"/>
      <c r="L555" s="6" t="s">
        <v>1284</v>
      </c>
      <c r="M555" s="6"/>
      <c r="N555" s="6"/>
      <c r="O555" s="6"/>
      <c r="P555" s="6"/>
      <c r="Q555" s="6"/>
      <c r="R555" s="6"/>
    </row>
    <row r="556" ht="22.5" customHeight="1">
      <c r="A556" s="49"/>
      <c r="B556" s="36"/>
      <c r="C556" s="35" t="s">
        <v>140</v>
      </c>
      <c r="D556" s="10" t="s">
        <v>140</v>
      </c>
      <c r="E556" s="11" t="s">
        <v>140</v>
      </c>
      <c r="F556" s="12" t="s">
        <v>140</v>
      </c>
      <c r="G556" s="13" t="str">
        <f>IF(LEN(TRIM(D556))=0,"",IFNA(VLOOKUP(UPPER(TRIM(D556)),'CLIENT DIRECTORY'!A:B,2,FALSE),""))</f>
        <v/>
      </c>
      <c r="H556" s="14" t="s">
        <v>140</v>
      </c>
      <c r="I556" s="15"/>
      <c r="J556" s="37" t="s">
        <v>140</v>
      </c>
      <c r="K556" s="17"/>
      <c r="L556" s="6" t="s">
        <v>1285</v>
      </c>
      <c r="M556" s="6"/>
      <c r="N556" s="6"/>
      <c r="O556" s="6"/>
      <c r="P556" s="6"/>
      <c r="Q556" s="6"/>
      <c r="R556" s="6"/>
    </row>
    <row r="557" ht="22.5" customHeight="1">
      <c r="A557" s="49"/>
      <c r="B557" s="36"/>
      <c r="C557" s="39">
        <v>46113.0</v>
      </c>
      <c r="D557" s="10" t="s">
        <v>473</v>
      </c>
      <c r="E557" s="11" t="s">
        <v>1286</v>
      </c>
      <c r="F557" s="43"/>
      <c r="G557" s="13" t="s">
        <v>475</v>
      </c>
      <c r="H557" s="14">
        <v>2500.0</v>
      </c>
      <c r="I557" s="38"/>
      <c r="J557" s="37" t="s">
        <v>21</v>
      </c>
      <c r="K557" s="17"/>
      <c r="L557" s="6" t="s">
        <v>1287</v>
      </c>
      <c r="M557" s="6"/>
      <c r="N557" s="6"/>
      <c r="O557" s="6"/>
      <c r="P557" s="6"/>
      <c r="Q557" s="6"/>
      <c r="R557" s="6"/>
    </row>
    <row r="558" ht="22.5" customHeight="1">
      <c r="A558" s="49"/>
      <c r="B558" s="36"/>
      <c r="C558" s="39">
        <v>46113.0</v>
      </c>
      <c r="D558" s="10" t="s">
        <v>23</v>
      </c>
      <c r="E558" s="11" t="s">
        <v>1288</v>
      </c>
      <c r="F558" s="43"/>
      <c r="G558" s="13" t="s">
        <v>25</v>
      </c>
      <c r="H558" s="14">
        <v>2500.0</v>
      </c>
      <c r="I558" s="15">
        <v>2500.0</v>
      </c>
      <c r="J558" s="37" t="s">
        <v>26</v>
      </c>
      <c r="K558" s="17"/>
      <c r="L558" s="6" t="s">
        <v>1289</v>
      </c>
      <c r="M558" s="6"/>
      <c r="N558" s="6"/>
      <c r="O558" s="6"/>
      <c r="P558" s="6"/>
      <c r="Q558" s="6"/>
      <c r="R558" s="6"/>
    </row>
    <row r="559" ht="22.5" customHeight="1">
      <c r="A559" s="49"/>
      <c r="B559" s="36"/>
      <c r="C559" s="39">
        <v>46113.0</v>
      </c>
      <c r="D559" s="10" t="s">
        <v>578</v>
      </c>
      <c r="E559" s="11" t="s">
        <v>919</v>
      </c>
      <c r="F559" s="43"/>
      <c r="G559" s="13" t="s">
        <v>580</v>
      </c>
      <c r="H559" s="14">
        <v>2500.0</v>
      </c>
      <c r="I559" s="38"/>
      <c r="J559" s="37" t="s">
        <v>121</v>
      </c>
      <c r="K559" s="17"/>
      <c r="L559" s="6" t="s">
        <v>1290</v>
      </c>
      <c r="M559" s="6"/>
      <c r="N559" s="6"/>
      <c r="O559" s="6"/>
      <c r="P559" s="6"/>
      <c r="Q559" s="6"/>
      <c r="R559" s="6"/>
    </row>
    <row r="560" ht="22.5" customHeight="1">
      <c r="A560" s="49"/>
      <c r="B560" s="36"/>
      <c r="C560" s="39">
        <v>46113.0</v>
      </c>
      <c r="D560" s="10" t="s">
        <v>54</v>
      </c>
      <c r="E560" s="11" t="s">
        <v>1291</v>
      </c>
      <c r="F560" s="43"/>
      <c r="G560" s="13" t="s">
        <v>56</v>
      </c>
      <c r="H560" s="14">
        <v>2500.0</v>
      </c>
      <c r="I560" s="15">
        <v>2500.0</v>
      </c>
      <c r="J560" s="37" t="s">
        <v>26</v>
      </c>
      <c r="K560" s="17"/>
      <c r="L560" s="6" t="s">
        <v>1292</v>
      </c>
      <c r="M560" s="6"/>
      <c r="N560" s="6"/>
      <c r="O560" s="6"/>
      <c r="P560" s="6"/>
      <c r="Q560" s="6"/>
      <c r="R560" s="6"/>
    </row>
    <row r="561" ht="22.5" customHeight="1">
      <c r="A561" s="49"/>
      <c r="B561" s="36"/>
      <c r="C561" s="39">
        <v>46113.0</v>
      </c>
      <c r="D561" s="10" t="s">
        <v>64</v>
      </c>
      <c r="E561" s="11" t="s">
        <v>1099</v>
      </c>
      <c r="F561" s="43"/>
      <c r="G561" s="13" t="s">
        <v>66</v>
      </c>
      <c r="H561" s="14">
        <v>2500.0</v>
      </c>
      <c r="I561" s="15">
        <v>2500.0</v>
      </c>
      <c r="J561" s="37" t="s">
        <v>26</v>
      </c>
      <c r="K561" s="17"/>
      <c r="L561" s="6" t="s">
        <v>1293</v>
      </c>
      <c r="M561" s="6"/>
      <c r="N561" s="6"/>
      <c r="O561" s="6"/>
      <c r="P561" s="6"/>
      <c r="Q561" s="6"/>
      <c r="R561" s="6"/>
    </row>
    <row r="562" ht="22.5" customHeight="1">
      <c r="A562" s="49"/>
      <c r="B562" s="36"/>
      <c r="C562" s="39">
        <v>46113.0</v>
      </c>
      <c r="D562" s="10" t="s">
        <v>408</v>
      </c>
      <c r="E562" s="11" t="s">
        <v>1294</v>
      </c>
      <c r="F562" s="43"/>
      <c r="G562" s="13" t="s">
        <v>1295</v>
      </c>
      <c r="H562" s="14">
        <v>2500.0</v>
      </c>
      <c r="I562" s="38"/>
      <c r="J562" s="37" t="s">
        <v>121</v>
      </c>
      <c r="K562" s="17"/>
      <c r="L562" s="6" t="s">
        <v>1296</v>
      </c>
      <c r="M562" s="6"/>
      <c r="N562" s="6"/>
      <c r="O562" s="6"/>
      <c r="P562" s="6"/>
      <c r="Q562" s="6"/>
      <c r="R562" s="6"/>
    </row>
    <row r="563" ht="22.5" customHeight="1">
      <c r="A563" s="49"/>
      <c r="B563" s="36"/>
      <c r="C563" s="9">
        <v>46113.0</v>
      </c>
      <c r="D563" s="10" t="s">
        <v>89</v>
      </c>
      <c r="E563" s="11" t="s">
        <v>1297</v>
      </c>
      <c r="F563" s="43"/>
      <c r="G563" s="13" t="s">
        <v>91</v>
      </c>
      <c r="H563" s="14">
        <v>2500.0</v>
      </c>
      <c r="I563" s="15">
        <v>2500.0</v>
      </c>
      <c r="J563" s="37" t="s">
        <v>26</v>
      </c>
      <c r="K563" s="17"/>
      <c r="L563" s="6" t="s">
        <v>1298</v>
      </c>
      <c r="M563" s="6"/>
      <c r="N563" s="6"/>
      <c r="O563" s="6"/>
      <c r="P563" s="6"/>
      <c r="Q563" s="6"/>
      <c r="R563" s="6"/>
    </row>
    <row r="564" ht="22.5" customHeight="1">
      <c r="A564" s="49"/>
      <c r="B564" s="36"/>
      <c r="C564" s="9">
        <v>46113.0</v>
      </c>
      <c r="D564" s="10" t="s">
        <v>874</v>
      </c>
      <c r="E564" s="11" t="s">
        <v>1299</v>
      </c>
      <c r="F564" s="12" t="s">
        <v>1300</v>
      </c>
      <c r="G564" s="14" t="s">
        <v>876</v>
      </c>
      <c r="H564" s="14">
        <v>2500.0</v>
      </c>
      <c r="I564" s="15">
        <v>2500.0</v>
      </c>
      <c r="J564" s="37" t="s">
        <v>26</v>
      </c>
      <c r="K564" s="17"/>
      <c r="L564" s="6" t="s">
        <v>1301</v>
      </c>
      <c r="M564" s="6"/>
      <c r="N564" s="6"/>
      <c r="O564" s="6"/>
      <c r="P564" s="6"/>
      <c r="Q564" s="6"/>
      <c r="R564" s="6"/>
    </row>
    <row r="565" ht="22.5" customHeight="1">
      <c r="A565" s="49"/>
      <c r="B565" s="36"/>
      <c r="C565" s="9">
        <v>46113.0</v>
      </c>
      <c r="D565" s="10" t="s">
        <v>1302</v>
      </c>
      <c r="E565" s="11" t="s">
        <v>1303</v>
      </c>
      <c r="F565" s="43"/>
      <c r="G565" s="13" t="s">
        <v>889</v>
      </c>
      <c r="H565" s="14">
        <v>2500.0</v>
      </c>
      <c r="I565" s="15">
        <v>2500.0</v>
      </c>
      <c r="J565" s="37" t="s">
        <v>26</v>
      </c>
      <c r="K565" s="17"/>
      <c r="L565" s="6" t="s">
        <v>1304</v>
      </c>
      <c r="M565" s="6"/>
      <c r="N565" s="6"/>
      <c r="O565" s="6"/>
      <c r="P565" s="6"/>
      <c r="Q565" s="6"/>
      <c r="R565" s="6"/>
    </row>
    <row r="566" ht="22.5" customHeight="1">
      <c r="A566" s="49"/>
      <c r="B566" s="36"/>
      <c r="C566" s="9">
        <v>46113.0</v>
      </c>
      <c r="D566" s="10" t="s">
        <v>46</v>
      </c>
      <c r="E566" s="11" t="s">
        <v>1305</v>
      </c>
      <c r="F566" s="43"/>
      <c r="G566" s="13" t="s">
        <v>48</v>
      </c>
      <c r="H566" s="14">
        <v>2500.0</v>
      </c>
      <c r="I566" s="15">
        <v>2500.0</v>
      </c>
      <c r="J566" s="37" t="s">
        <v>26</v>
      </c>
      <c r="K566" s="17"/>
      <c r="L566" s="6" t="s">
        <v>1306</v>
      </c>
      <c r="M566" s="6"/>
      <c r="N566" s="6"/>
      <c r="O566" s="6"/>
      <c r="P566" s="6"/>
      <c r="Q566" s="6"/>
      <c r="R566" s="6"/>
    </row>
    <row r="567" ht="22.5" customHeight="1">
      <c r="A567" s="49"/>
      <c r="B567" s="36"/>
      <c r="C567" s="9">
        <v>46113.0</v>
      </c>
      <c r="D567" s="10" t="s">
        <v>495</v>
      </c>
      <c r="E567" s="11" t="s">
        <v>1307</v>
      </c>
      <c r="F567" s="43"/>
      <c r="G567" s="13" t="str">
        <f>IF(LEN(TRIM(D567))=0,"",IFNA(VLOOKUP(UPPER(TRIM(D567)),'CLIENT DIRECTORY'!A:B,2,FALSE),""))</f>
        <v/>
      </c>
      <c r="H567" s="14">
        <v>3000.0</v>
      </c>
      <c r="I567" s="15">
        <v>3000.0</v>
      </c>
      <c r="J567" s="37" t="s">
        <v>26</v>
      </c>
      <c r="K567" s="17"/>
      <c r="L567" s="6" t="s">
        <v>1308</v>
      </c>
      <c r="M567" s="6"/>
      <c r="N567" s="6"/>
      <c r="O567" s="6"/>
      <c r="P567" s="6"/>
      <c r="Q567" s="6"/>
      <c r="R567" s="6"/>
    </row>
    <row r="568" ht="22.5" customHeight="1">
      <c r="A568" s="49"/>
      <c r="B568" s="36"/>
      <c r="C568" s="9">
        <v>46113.0</v>
      </c>
      <c r="D568" s="10" t="s">
        <v>108</v>
      </c>
      <c r="E568" s="11" t="s">
        <v>1309</v>
      </c>
      <c r="F568" s="43"/>
      <c r="G568" s="13" t="s">
        <v>110</v>
      </c>
      <c r="H568" s="14">
        <v>100000.0</v>
      </c>
      <c r="I568" s="15">
        <v>100000.0</v>
      </c>
      <c r="J568" s="37" t="s">
        <v>26</v>
      </c>
      <c r="K568" s="17"/>
      <c r="L568" s="6" t="s">
        <v>1310</v>
      </c>
      <c r="M568" s="6"/>
      <c r="N568" s="6"/>
      <c r="O568" s="6"/>
      <c r="P568" s="6"/>
      <c r="Q568" s="6"/>
      <c r="R568" s="6"/>
    </row>
    <row r="569" ht="22.5" customHeight="1">
      <c r="A569" s="49"/>
      <c r="B569" s="36"/>
      <c r="C569" s="9">
        <v>46113.0</v>
      </c>
      <c r="D569" s="10" t="s">
        <v>70</v>
      </c>
      <c r="E569" s="11" t="s">
        <v>1311</v>
      </c>
      <c r="F569" s="43"/>
      <c r="G569" s="13" t="s">
        <v>72</v>
      </c>
      <c r="H569" s="14">
        <v>2500.0</v>
      </c>
      <c r="I569" s="15">
        <v>2500.0</v>
      </c>
      <c r="J569" s="37" t="s">
        <v>26</v>
      </c>
      <c r="K569" s="17"/>
      <c r="L569" s="6" t="s">
        <v>1312</v>
      </c>
      <c r="M569" s="6"/>
      <c r="N569" s="6"/>
      <c r="O569" s="6"/>
      <c r="P569" s="6"/>
      <c r="Q569" s="6"/>
      <c r="R569" s="6"/>
    </row>
    <row r="570" ht="22.5" customHeight="1">
      <c r="A570" s="49"/>
      <c r="B570" s="36"/>
      <c r="C570" s="35" t="s">
        <v>140</v>
      </c>
      <c r="D570" s="10" t="s">
        <v>140</v>
      </c>
      <c r="E570" s="11" t="s">
        <v>140</v>
      </c>
      <c r="F570" s="12" t="s">
        <v>140</v>
      </c>
      <c r="G570" s="13" t="str">
        <f>IF(LEN(TRIM(D570))=0,"",IFNA(VLOOKUP(UPPER(TRIM(D570)),'CLIENT DIRECTORY'!A:B,2,FALSE),""))</f>
        <v/>
      </c>
      <c r="H570" s="14" t="s">
        <v>140</v>
      </c>
      <c r="I570" s="15" t="s">
        <v>140</v>
      </c>
      <c r="J570" s="37" t="s">
        <v>140</v>
      </c>
      <c r="K570" s="17"/>
      <c r="L570" s="6" t="s">
        <v>1313</v>
      </c>
      <c r="M570" s="6"/>
      <c r="N570" s="6"/>
      <c r="O570" s="6"/>
      <c r="P570" s="6"/>
      <c r="Q570" s="6"/>
      <c r="R570" s="6"/>
    </row>
    <row r="571" ht="22.5" customHeight="1">
      <c r="A571" s="49"/>
      <c r="B571" s="36"/>
      <c r="C571" s="35" t="s">
        <v>140</v>
      </c>
      <c r="D571" s="10" t="s">
        <v>195</v>
      </c>
      <c r="E571" s="11" t="s">
        <v>140</v>
      </c>
      <c r="F571" s="12" t="s">
        <v>140</v>
      </c>
      <c r="G571" s="13" t="str">
        <f>IF(LEN(TRIM(D571))=0,"",IFNA(VLOOKUP(UPPER(TRIM(D571)),'CLIENT DIRECTORY'!A:B,2,FALSE),""))</f>
        <v/>
      </c>
      <c r="H571" s="14" t="s">
        <v>140</v>
      </c>
      <c r="I571" s="15"/>
      <c r="J571" s="37" t="s">
        <v>140</v>
      </c>
      <c r="K571" s="17"/>
      <c r="L571" s="6" t="s">
        <v>1314</v>
      </c>
      <c r="M571" s="6"/>
      <c r="N571" s="6"/>
      <c r="O571" s="6"/>
      <c r="P571" s="6"/>
      <c r="Q571" s="6"/>
      <c r="R571" s="6"/>
    </row>
    <row r="572" ht="22.5" customHeight="1">
      <c r="A572" s="49"/>
      <c r="B572" s="36"/>
      <c r="C572" s="35" t="s">
        <v>140</v>
      </c>
      <c r="D572" s="10" t="s">
        <v>140</v>
      </c>
      <c r="E572" s="11" t="s">
        <v>140</v>
      </c>
      <c r="F572" s="12" t="s">
        <v>140</v>
      </c>
      <c r="G572" s="13" t="str">
        <f>IF(LEN(TRIM(D572))=0,"",IFNA(VLOOKUP(UPPER(TRIM(D572)),'CLIENT DIRECTORY'!A:B,2,FALSE),""))</f>
        <v/>
      </c>
      <c r="H572" s="14" t="s">
        <v>195</v>
      </c>
      <c r="I572" s="15"/>
      <c r="J572" s="37" t="s">
        <v>140</v>
      </c>
      <c r="K572" s="17"/>
      <c r="L572" s="6" t="s">
        <v>1315</v>
      </c>
      <c r="M572" s="6"/>
      <c r="N572" s="6"/>
      <c r="O572" s="6"/>
      <c r="P572" s="6"/>
      <c r="Q572" s="6"/>
      <c r="R572" s="6"/>
    </row>
    <row r="573" ht="22.5" customHeight="1">
      <c r="A573" s="49"/>
      <c r="B573" s="36"/>
      <c r="C573" s="35" t="s">
        <v>140</v>
      </c>
      <c r="D573" s="10" t="s">
        <v>140</v>
      </c>
      <c r="E573" s="11" t="s">
        <v>140</v>
      </c>
      <c r="F573" s="12" t="s">
        <v>140</v>
      </c>
      <c r="G573" s="13" t="str">
        <f>IF(LEN(TRIM(D573))=0,"",IFNA(VLOOKUP(UPPER(TRIM(D573)),'CLIENT DIRECTORY'!A:B,2,FALSE),""))</f>
        <v/>
      </c>
      <c r="H573" s="14" t="s">
        <v>140</v>
      </c>
      <c r="I573" s="15"/>
      <c r="J573" s="37" t="s">
        <v>140</v>
      </c>
      <c r="K573" s="17"/>
      <c r="L573" s="6" t="s">
        <v>1316</v>
      </c>
      <c r="M573" s="6"/>
      <c r="N573" s="6"/>
      <c r="O573" s="6"/>
      <c r="P573" s="6"/>
      <c r="Q573" s="6"/>
      <c r="R573" s="6"/>
    </row>
    <row r="574" ht="22.5" customHeight="1">
      <c r="A574" s="49"/>
      <c r="B574" s="36"/>
      <c r="C574" s="39">
        <v>46114.0</v>
      </c>
      <c r="D574" s="10" t="s">
        <v>133</v>
      </c>
      <c r="E574" s="11" t="s">
        <v>1317</v>
      </c>
      <c r="F574" s="43"/>
      <c r="G574" s="13" t="s">
        <v>136</v>
      </c>
      <c r="H574" s="14">
        <v>5000.0</v>
      </c>
      <c r="I574" s="15">
        <v>5000.0</v>
      </c>
      <c r="J574" s="37" t="s">
        <v>26</v>
      </c>
      <c r="K574" s="17"/>
      <c r="L574" s="6" t="s">
        <v>1318</v>
      </c>
      <c r="M574" s="6"/>
      <c r="N574" s="6"/>
      <c r="O574" s="6"/>
      <c r="P574" s="6"/>
      <c r="Q574" s="6"/>
      <c r="R574" s="6"/>
    </row>
    <row r="575" ht="22.5" customHeight="1">
      <c r="A575" s="49"/>
      <c r="B575" s="36"/>
      <c r="C575" s="9">
        <v>46114.0</v>
      </c>
      <c r="D575" s="10" t="s">
        <v>54</v>
      </c>
      <c r="E575" s="11" t="s">
        <v>1319</v>
      </c>
      <c r="F575" s="43"/>
      <c r="G575" s="13" t="s">
        <v>56</v>
      </c>
      <c r="H575" s="14">
        <v>2500.0</v>
      </c>
      <c r="I575" s="15">
        <v>2500.0</v>
      </c>
      <c r="J575" s="37" t="s">
        <v>26</v>
      </c>
      <c r="K575" s="17"/>
      <c r="L575" s="6" t="s">
        <v>1320</v>
      </c>
      <c r="M575" s="6"/>
      <c r="N575" s="6"/>
      <c r="O575" s="6"/>
      <c r="P575" s="6"/>
      <c r="Q575" s="6"/>
      <c r="R575" s="6"/>
    </row>
    <row r="576" ht="22.5" customHeight="1">
      <c r="A576" s="49"/>
      <c r="B576" s="36"/>
      <c r="C576" s="9">
        <v>46114.0</v>
      </c>
      <c r="D576" s="10" t="s">
        <v>1154</v>
      </c>
      <c r="E576" s="11" t="s">
        <v>1321</v>
      </c>
      <c r="F576" s="43"/>
      <c r="G576" s="13" t="s">
        <v>1157</v>
      </c>
      <c r="H576" s="14">
        <v>50000.0</v>
      </c>
      <c r="I576" s="15">
        <v>0.0</v>
      </c>
      <c r="J576" s="37" t="s">
        <v>103</v>
      </c>
      <c r="K576" s="17"/>
      <c r="L576" s="6" t="s">
        <v>1322</v>
      </c>
      <c r="M576" s="6"/>
      <c r="N576" s="6"/>
      <c r="O576" s="6"/>
      <c r="P576" s="6"/>
      <c r="Q576" s="6"/>
      <c r="R576" s="6"/>
    </row>
    <row r="577" ht="22.5" customHeight="1">
      <c r="A577" s="49"/>
      <c r="B577" s="36"/>
      <c r="C577" s="9">
        <v>46114.0</v>
      </c>
      <c r="D577" s="10" t="s">
        <v>254</v>
      </c>
      <c r="E577" s="11" t="s">
        <v>1323</v>
      </c>
      <c r="F577" s="43"/>
      <c r="G577" s="13" t="s">
        <v>256</v>
      </c>
      <c r="H577" s="14">
        <v>2500.0</v>
      </c>
      <c r="I577" s="15">
        <v>2500.0</v>
      </c>
      <c r="J577" s="37" t="s">
        <v>26</v>
      </c>
      <c r="K577" s="17"/>
      <c r="L577" s="6" t="s">
        <v>1324</v>
      </c>
      <c r="M577" s="6"/>
      <c r="N577" s="6"/>
      <c r="O577" s="6"/>
      <c r="P577" s="6"/>
      <c r="Q577" s="6"/>
      <c r="R577" s="6"/>
    </row>
    <row r="578" ht="22.5" customHeight="1">
      <c r="A578" s="49"/>
      <c r="B578" s="36"/>
      <c r="C578" s="9">
        <v>46114.0</v>
      </c>
      <c r="D578" s="10" t="s">
        <v>464</v>
      </c>
      <c r="E578" s="11" t="s">
        <v>1325</v>
      </c>
      <c r="F578" s="12" t="s">
        <v>1326</v>
      </c>
      <c r="G578" s="13" t="s">
        <v>466</v>
      </c>
      <c r="H578" s="14">
        <v>700000.0</v>
      </c>
      <c r="I578" s="15">
        <v>700000.0</v>
      </c>
      <c r="J578" s="37" t="s">
        <v>26</v>
      </c>
      <c r="K578" s="17"/>
      <c r="L578" s="6" t="s">
        <v>1327</v>
      </c>
      <c r="M578" s="6"/>
      <c r="N578" s="6"/>
      <c r="O578" s="6"/>
      <c r="P578" s="6"/>
      <c r="Q578" s="6"/>
      <c r="R578" s="6"/>
    </row>
    <row r="579" ht="22.5" customHeight="1">
      <c r="A579" s="49"/>
      <c r="B579" s="36"/>
      <c r="C579" s="9">
        <v>46114.0</v>
      </c>
      <c r="D579" s="10" t="s">
        <v>248</v>
      </c>
      <c r="E579" s="11" t="s">
        <v>1328</v>
      </c>
      <c r="F579" s="43"/>
      <c r="G579" s="13" t="s">
        <v>250</v>
      </c>
      <c r="H579" s="14">
        <v>5000.0</v>
      </c>
      <c r="I579" s="15">
        <v>5000.0</v>
      </c>
      <c r="J579" s="37" t="s">
        <v>26</v>
      </c>
      <c r="K579" s="17"/>
      <c r="L579" s="6" t="s">
        <v>1329</v>
      </c>
      <c r="M579" s="6"/>
      <c r="N579" s="6"/>
      <c r="O579" s="6"/>
      <c r="P579" s="6"/>
      <c r="Q579" s="6"/>
      <c r="R579" s="6"/>
    </row>
    <row r="580" ht="22.5" customHeight="1">
      <c r="A580" s="49"/>
      <c r="B580" s="36"/>
      <c r="C580" s="9">
        <v>46114.0</v>
      </c>
      <c r="D580" s="10" t="s">
        <v>254</v>
      </c>
      <c r="E580" s="11" t="s">
        <v>1330</v>
      </c>
      <c r="F580" s="43"/>
      <c r="G580" s="13" t="s">
        <v>256</v>
      </c>
      <c r="H580" s="14">
        <v>2500.0</v>
      </c>
      <c r="I580" s="15">
        <v>2500.0</v>
      </c>
      <c r="J580" s="37" t="s">
        <v>26</v>
      </c>
      <c r="K580" s="17"/>
      <c r="L580" s="6" t="s">
        <v>1331</v>
      </c>
      <c r="M580" s="6"/>
      <c r="N580" s="6"/>
      <c r="O580" s="6"/>
      <c r="P580" s="6"/>
      <c r="Q580" s="6"/>
      <c r="R580" s="6"/>
    </row>
    <row r="581" ht="22.5" customHeight="1">
      <c r="A581" s="49"/>
      <c r="B581" s="36"/>
      <c r="C581" s="9">
        <v>46114.0</v>
      </c>
      <c r="D581" s="10" t="s">
        <v>741</v>
      </c>
      <c r="E581" s="11" t="s">
        <v>1332</v>
      </c>
      <c r="F581" s="43"/>
      <c r="G581" s="13" t="s">
        <v>743</v>
      </c>
      <c r="H581" s="14">
        <v>5000.0</v>
      </c>
      <c r="I581" s="38"/>
      <c r="J581" s="37" t="s">
        <v>26</v>
      </c>
      <c r="K581" s="17"/>
      <c r="L581" s="6" t="s">
        <v>1333</v>
      </c>
      <c r="M581" s="6"/>
      <c r="N581" s="6"/>
      <c r="O581" s="6"/>
      <c r="P581" s="6"/>
      <c r="Q581" s="6"/>
      <c r="R581" s="6"/>
    </row>
    <row r="582" ht="22.5" customHeight="1">
      <c r="A582" s="49"/>
      <c r="B582" s="36"/>
      <c r="C582" s="9">
        <v>46114.0</v>
      </c>
      <c r="D582" s="10" t="s">
        <v>1334</v>
      </c>
      <c r="E582" s="11" t="s">
        <v>1335</v>
      </c>
      <c r="F582" s="43"/>
      <c r="G582" s="13" t="s">
        <v>1336</v>
      </c>
      <c r="H582" s="14">
        <v>3000.0</v>
      </c>
      <c r="I582" s="15">
        <v>3000.0</v>
      </c>
      <c r="J582" s="37" t="s">
        <v>26</v>
      </c>
      <c r="K582" s="17"/>
      <c r="L582" s="6" t="s">
        <v>1337</v>
      </c>
      <c r="M582" s="6"/>
      <c r="N582" s="6"/>
      <c r="O582" s="6"/>
      <c r="P582" s="6"/>
      <c r="Q582" s="6"/>
      <c r="R582" s="6"/>
    </row>
    <row r="583" ht="22.5" customHeight="1">
      <c r="A583" s="49"/>
      <c r="B583" s="36"/>
      <c r="C583" s="9">
        <v>46114.0</v>
      </c>
      <c r="D583" s="10" t="s">
        <v>413</v>
      </c>
      <c r="E583" s="11" t="s">
        <v>1338</v>
      </c>
      <c r="F583" s="43"/>
      <c r="G583" s="13" t="s">
        <v>416</v>
      </c>
      <c r="H583" s="14">
        <v>2500.0</v>
      </c>
      <c r="I583" s="15">
        <v>2500.0</v>
      </c>
      <c r="J583" s="37" t="s">
        <v>26</v>
      </c>
      <c r="K583" s="17"/>
      <c r="L583" s="6" t="s">
        <v>1339</v>
      </c>
      <c r="M583" s="6"/>
      <c r="N583" s="6"/>
      <c r="O583" s="6"/>
      <c r="P583" s="6"/>
      <c r="Q583" s="6"/>
      <c r="R583" s="6"/>
    </row>
    <row r="584" ht="22.5" customHeight="1">
      <c r="A584" s="49"/>
      <c r="B584" s="36"/>
      <c r="C584" s="9">
        <v>46114.0</v>
      </c>
      <c r="D584" s="10" t="s">
        <v>1340</v>
      </c>
      <c r="E584" s="11" t="s">
        <v>1341</v>
      </c>
      <c r="F584" s="43"/>
      <c r="G584" s="13" t="s">
        <v>1342</v>
      </c>
      <c r="H584" s="14">
        <v>2500.0</v>
      </c>
      <c r="I584" s="15">
        <v>2500.0</v>
      </c>
      <c r="J584" s="31" t="s">
        <v>140</v>
      </c>
      <c r="K584" s="60" t="s">
        <v>1343</v>
      </c>
      <c r="L584" s="6" t="s">
        <v>1344</v>
      </c>
      <c r="M584" s="6"/>
      <c r="N584" s="6"/>
      <c r="O584" s="6"/>
      <c r="P584" s="6"/>
      <c r="Q584" s="6"/>
      <c r="R584" s="6"/>
    </row>
    <row r="585" ht="22.5" customHeight="1">
      <c r="A585" s="49"/>
      <c r="B585" s="36"/>
      <c r="C585" s="9">
        <v>46114.0</v>
      </c>
      <c r="D585" s="10" t="s">
        <v>698</v>
      </c>
      <c r="E585" s="11" t="s">
        <v>1345</v>
      </c>
      <c r="F585" s="12" t="s">
        <v>1346</v>
      </c>
      <c r="G585" s="13" t="str">
        <f>IF(LEN(TRIM(D585))=0,"",IFNA(VLOOKUP(UPPER(TRIM(D585)),'CLIENT DIRECTORY'!A:B,2,FALSE),""))</f>
        <v/>
      </c>
      <c r="H585" s="14">
        <v>260000.0</v>
      </c>
      <c r="I585" s="15">
        <v>260000.0</v>
      </c>
      <c r="J585" s="31" t="s">
        <v>140</v>
      </c>
      <c r="K585" s="60" t="s">
        <v>1347</v>
      </c>
      <c r="L585" s="6" t="s">
        <v>1348</v>
      </c>
      <c r="M585" s="6"/>
      <c r="N585" s="6"/>
      <c r="O585" s="6"/>
      <c r="P585" s="6"/>
      <c r="Q585" s="6"/>
      <c r="R585" s="6"/>
    </row>
    <row r="586" ht="22.5" customHeight="1">
      <c r="A586" s="49"/>
      <c r="B586" s="36"/>
      <c r="C586" s="9">
        <v>46114.0</v>
      </c>
      <c r="D586" s="10" t="s">
        <v>60</v>
      </c>
      <c r="E586" s="11" t="s">
        <v>1349</v>
      </c>
      <c r="F586" s="43"/>
      <c r="G586" s="13" t="s">
        <v>62</v>
      </c>
      <c r="H586" s="14">
        <v>2000.0</v>
      </c>
      <c r="I586" s="15">
        <v>2000.0</v>
      </c>
      <c r="J586" s="31" t="s">
        <v>140</v>
      </c>
      <c r="K586" s="60" t="s">
        <v>1350</v>
      </c>
      <c r="L586" s="6" t="s">
        <v>1351</v>
      </c>
      <c r="M586" s="6"/>
      <c r="N586" s="6"/>
      <c r="O586" s="6"/>
      <c r="P586" s="6"/>
      <c r="Q586" s="6"/>
      <c r="R586" s="6"/>
    </row>
    <row r="587" ht="22.5" customHeight="1">
      <c r="A587" s="49"/>
      <c r="B587" s="36"/>
      <c r="C587" s="9">
        <v>46114.0</v>
      </c>
      <c r="D587" s="10" t="s">
        <v>248</v>
      </c>
      <c r="E587" s="11" t="s">
        <v>1352</v>
      </c>
      <c r="F587" s="43"/>
      <c r="G587" s="13" t="s">
        <v>250</v>
      </c>
      <c r="H587" s="14">
        <v>5000.0</v>
      </c>
      <c r="I587" s="38"/>
      <c r="J587" s="37" t="s">
        <v>26</v>
      </c>
      <c r="L587" s="6" t="s">
        <v>1353</v>
      </c>
      <c r="M587" s="6"/>
      <c r="N587" s="6"/>
      <c r="O587" s="6"/>
      <c r="P587" s="6"/>
      <c r="Q587" s="6"/>
      <c r="R587" s="6"/>
    </row>
    <row r="588" ht="22.5" customHeight="1">
      <c r="A588" s="49"/>
      <c r="B588" s="36"/>
      <c r="C588" s="9">
        <v>46114.0</v>
      </c>
      <c r="D588" s="10" t="s">
        <v>1123</v>
      </c>
      <c r="E588" s="11" t="s">
        <v>1354</v>
      </c>
      <c r="F588" s="43"/>
      <c r="G588" s="13" t="str">
        <f>IF(LEN(TRIM(D588))=0,"",IFNA(VLOOKUP(UPPER(TRIM(D588)),'CLIENT DIRECTORY'!A:B,2,FALSE),""))</f>
        <v/>
      </c>
      <c r="H588" s="14">
        <v>5000.0</v>
      </c>
      <c r="I588" s="38"/>
      <c r="J588" s="37" t="s">
        <v>26</v>
      </c>
      <c r="K588" s="61"/>
      <c r="L588" s="6" t="s">
        <v>1355</v>
      </c>
      <c r="M588" s="6"/>
      <c r="N588" s="6"/>
      <c r="O588" s="6"/>
      <c r="P588" s="6"/>
      <c r="Q588" s="6"/>
      <c r="R588" s="6"/>
    </row>
    <row r="589" ht="22.5" customHeight="1">
      <c r="A589" s="49"/>
      <c r="B589" s="36"/>
      <c r="C589" s="9">
        <v>46114.0</v>
      </c>
      <c r="D589" s="10" t="s">
        <v>89</v>
      </c>
      <c r="E589" s="11" t="s">
        <v>1356</v>
      </c>
      <c r="F589" s="43"/>
      <c r="G589" s="13" t="s">
        <v>91</v>
      </c>
      <c r="H589" s="14">
        <v>5000.0</v>
      </c>
      <c r="I589" s="15">
        <v>5000.0</v>
      </c>
      <c r="J589" s="37" t="s">
        <v>26</v>
      </c>
      <c r="K589" s="61"/>
      <c r="L589" s="6" t="s">
        <v>1357</v>
      </c>
      <c r="M589" s="6"/>
      <c r="N589" s="6"/>
      <c r="O589" s="6"/>
      <c r="P589" s="6"/>
      <c r="Q589" s="6"/>
      <c r="R589" s="6"/>
    </row>
    <row r="590" ht="22.5" customHeight="1">
      <c r="A590" s="49"/>
      <c r="B590" s="36"/>
      <c r="C590" s="9">
        <v>46114.0</v>
      </c>
      <c r="D590" s="10" t="s">
        <v>1358</v>
      </c>
      <c r="E590" s="11" t="s">
        <v>1359</v>
      </c>
      <c r="F590" s="43"/>
      <c r="G590" s="13" t="str">
        <f>IF(LEN(TRIM(D590))=0,"",IFNA(VLOOKUP(UPPER(TRIM(D590)),'CLIENT DIRECTORY'!A:B,2,FALSE),""))</f>
        <v/>
      </c>
      <c r="H590" s="14">
        <v>2500.0</v>
      </c>
      <c r="I590" s="38"/>
      <c r="J590" s="37" t="s">
        <v>26</v>
      </c>
      <c r="K590" s="61"/>
      <c r="L590" s="6" t="s">
        <v>1360</v>
      </c>
      <c r="M590" s="6"/>
      <c r="N590" s="6"/>
      <c r="O590" s="6"/>
      <c r="P590" s="6"/>
      <c r="Q590" s="6"/>
      <c r="R590" s="6"/>
    </row>
    <row r="591" ht="22.5" customHeight="1">
      <c r="A591" s="49"/>
      <c r="B591" s="36"/>
      <c r="C591" s="9">
        <v>46115.0</v>
      </c>
      <c r="D591" s="10" t="s">
        <v>46</v>
      </c>
      <c r="E591" s="11" t="s">
        <v>1361</v>
      </c>
      <c r="F591" s="12"/>
      <c r="G591" s="13" t="s">
        <v>1362</v>
      </c>
      <c r="H591" s="14">
        <v>2500.0</v>
      </c>
      <c r="I591" s="15">
        <v>2500.0</v>
      </c>
      <c r="J591" s="37" t="s">
        <v>26</v>
      </c>
      <c r="K591" s="17"/>
      <c r="L591" s="6" t="s">
        <v>1363</v>
      </c>
      <c r="M591" s="6"/>
      <c r="N591" s="6"/>
      <c r="O591" s="6"/>
      <c r="P591" s="6"/>
      <c r="Q591" s="6"/>
      <c r="R591" s="6"/>
    </row>
    <row r="592" ht="22.5" customHeight="1">
      <c r="A592" s="49"/>
      <c r="B592" s="36"/>
      <c r="C592" s="35" t="s">
        <v>140</v>
      </c>
      <c r="D592" s="10" t="s">
        <v>195</v>
      </c>
      <c r="E592" s="11" t="s">
        <v>140</v>
      </c>
      <c r="F592" s="12" t="s">
        <v>140</v>
      </c>
      <c r="G592" s="13" t="str">
        <f>IF(LEN(TRIM(D592))=0,"",IFNA(VLOOKUP(UPPER(TRIM(D592)),'CLIENT DIRECTORY'!A:B,2,FALSE),""))</f>
        <v/>
      </c>
      <c r="H592" s="14" t="s">
        <v>140</v>
      </c>
      <c r="I592" s="15" t="s">
        <v>140</v>
      </c>
      <c r="J592" s="37" t="s">
        <v>140</v>
      </c>
      <c r="K592" s="17"/>
      <c r="L592" s="6" t="s">
        <v>1364</v>
      </c>
      <c r="M592" s="6"/>
      <c r="N592" s="6"/>
      <c r="O592" s="6"/>
      <c r="P592" s="6"/>
      <c r="Q592" s="6"/>
      <c r="R592" s="6"/>
    </row>
    <row r="593" ht="22.5" customHeight="1">
      <c r="A593" s="49"/>
      <c r="B593" s="36"/>
      <c r="C593" s="35" t="s">
        <v>140</v>
      </c>
      <c r="D593" s="10" t="s">
        <v>140</v>
      </c>
      <c r="E593" s="11" t="s">
        <v>140</v>
      </c>
      <c r="F593" s="12" t="s">
        <v>140</v>
      </c>
      <c r="G593" s="13" t="str">
        <f>IF(LEN(TRIM(D593))=0,"",IFNA(VLOOKUP(UPPER(TRIM(D593)),'CLIENT DIRECTORY'!A:B,2,FALSE),""))</f>
        <v/>
      </c>
      <c r="H593" s="14" t="s">
        <v>195</v>
      </c>
      <c r="I593" s="15" t="s">
        <v>140</v>
      </c>
      <c r="J593" s="37" t="s">
        <v>140</v>
      </c>
      <c r="K593" s="17"/>
      <c r="L593" s="6" t="s">
        <v>1365</v>
      </c>
      <c r="M593" s="6"/>
      <c r="N593" s="6"/>
      <c r="O593" s="6"/>
      <c r="P593" s="6"/>
      <c r="Q593" s="6"/>
      <c r="R593" s="6"/>
    </row>
    <row r="594" ht="22.5" customHeight="1">
      <c r="A594" s="49"/>
      <c r="B594" s="62">
        <v>0.4375</v>
      </c>
      <c r="C594" s="39">
        <v>46115.0</v>
      </c>
      <c r="D594" s="10" t="s">
        <v>874</v>
      </c>
      <c r="E594" s="11" t="s">
        <v>1366</v>
      </c>
      <c r="F594" s="55" t="s">
        <v>1367</v>
      </c>
      <c r="G594" s="28" t="s">
        <v>876</v>
      </c>
      <c r="H594" s="14">
        <v>230000.0</v>
      </c>
      <c r="I594" s="38"/>
      <c r="J594" s="37" t="s">
        <v>103</v>
      </c>
      <c r="K594" s="63"/>
      <c r="L594" s="6" t="s">
        <v>1368</v>
      </c>
      <c r="M594" s="6"/>
      <c r="N594" s="6"/>
      <c r="O594" s="6"/>
      <c r="P594" s="6"/>
      <c r="Q594" s="6"/>
      <c r="R594" s="6"/>
    </row>
    <row r="595" ht="22.5" customHeight="1">
      <c r="A595" s="49"/>
      <c r="B595" s="64">
        <v>0.46763942129473435</v>
      </c>
      <c r="C595" s="9">
        <v>46115.0</v>
      </c>
      <c r="D595" s="10" t="s">
        <v>89</v>
      </c>
      <c r="E595" s="11" t="s">
        <v>1369</v>
      </c>
      <c r="F595" s="43"/>
      <c r="G595" s="13" t="s">
        <v>91</v>
      </c>
      <c r="H595" s="14">
        <v>3000.0</v>
      </c>
      <c r="I595" s="15">
        <v>3000.0</v>
      </c>
      <c r="J595" s="37" t="s">
        <v>26</v>
      </c>
      <c r="K595" s="61"/>
      <c r="L595" s="6" t="s">
        <v>1370</v>
      </c>
      <c r="M595" s="6"/>
      <c r="N595" s="6"/>
      <c r="O595" s="6"/>
      <c r="P595" s="6"/>
      <c r="Q595" s="6"/>
      <c r="R595" s="6"/>
    </row>
    <row r="596" ht="22.5" customHeight="1">
      <c r="A596" s="49"/>
      <c r="B596" s="64">
        <v>0.5003892245367751</v>
      </c>
      <c r="C596" s="9">
        <v>46115.0</v>
      </c>
      <c r="D596" s="10" t="s">
        <v>248</v>
      </c>
      <c r="E596" s="11" t="s">
        <v>1371</v>
      </c>
      <c r="F596" s="43"/>
      <c r="G596" s="13" t="s">
        <v>250</v>
      </c>
      <c r="H596" s="14">
        <v>5000.0</v>
      </c>
      <c r="I596" s="38"/>
      <c r="J596" s="37" t="s">
        <v>26</v>
      </c>
      <c r="K596" s="61"/>
      <c r="L596" s="6" t="s">
        <v>1372</v>
      </c>
      <c r="M596" s="6"/>
      <c r="N596" s="6"/>
      <c r="O596" s="6"/>
      <c r="P596" s="6"/>
      <c r="Q596" s="6"/>
      <c r="R596" s="6"/>
    </row>
    <row r="597" ht="22.5" customHeight="1">
      <c r="A597" s="49"/>
      <c r="B597" s="64">
        <v>0.5202894097237731</v>
      </c>
      <c r="C597" s="9">
        <v>46115.0</v>
      </c>
      <c r="D597" s="10" t="s">
        <v>254</v>
      </c>
      <c r="E597" s="11" t="s">
        <v>1373</v>
      </c>
      <c r="F597" s="43"/>
      <c r="G597" s="13" t="s">
        <v>256</v>
      </c>
      <c r="H597" s="14">
        <v>2500.0</v>
      </c>
      <c r="I597" s="15">
        <v>2500.0</v>
      </c>
      <c r="J597" s="37" t="s">
        <v>26</v>
      </c>
      <c r="K597" s="61"/>
      <c r="L597" s="6" t="s">
        <v>1374</v>
      </c>
      <c r="M597" s="6"/>
      <c r="N597" s="6"/>
      <c r="O597" s="6"/>
      <c r="P597" s="6"/>
      <c r="Q597" s="6"/>
      <c r="R597" s="6"/>
    </row>
    <row r="598" ht="22.5" customHeight="1">
      <c r="A598" s="49"/>
      <c r="B598" s="64">
        <v>0.5268944907438708</v>
      </c>
      <c r="C598" s="9">
        <v>46115.0</v>
      </c>
      <c r="D598" s="10" t="s">
        <v>54</v>
      </c>
      <c r="E598" s="11" t="s">
        <v>1375</v>
      </c>
      <c r="F598" s="43"/>
      <c r="G598" s="13" t="s">
        <v>56</v>
      </c>
      <c r="H598" s="14">
        <v>2500.0</v>
      </c>
      <c r="I598" s="15">
        <v>2500.0</v>
      </c>
      <c r="J598" s="37" t="s">
        <v>26</v>
      </c>
      <c r="K598" s="61"/>
      <c r="L598" s="6" t="s">
        <v>1376</v>
      </c>
      <c r="M598" s="6"/>
      <c r="N598" s="6"/>
      <c r="O598" s="6"/>
      <c r="P598" s="6"/>
      <c r="Q598" s="6"/>
      <c r="R598" s="6"/>
    </row>
    <row r="599" ht="22.5" customHeight="1">
      <c r="A599" s="49"/>
      <c r="B599" s="64">
        <v>0.5577152083351393</v>
      </c>
      <c r="C599" s="9">
        <v>46115.0</v>
      </c>
      <c r="D599" s="10" t="s">
        <v>54</v>
      </c>
      <c r="E599" s="11" t="s">
        <v>1377</v>
      </c>
      <c r="F599" s="43"/>
      <c r="G599" s="13" t="s">
        <v>56</v>
      </c>
      <c r="H599" s="14">
        <v>2500.0</v>
      </c>
      <c r="I599" s="15">
        <v>2500.0</v>
      </c>
      <c r="J599" s="37" t="s">
        <v>26</v>
      </c>
      <c r="K599" s="61"/>
      <c r="L599" s="6" t="s">
        <v>1378</v>
      </c>
      <c r="M599" s="6"/>
      <c r="N599" s="6"/>
      <c r="O599" s="6"/>
      <c r="P599" s="6"/>
      <c r="Q599" s="6"/>
      <c r="R599" s="6"/>
    </row>
    <row r="600" ht="22.5" customHeight="1">
      <c r="A600" s="49"/>
      <c r="B600" s="64">
        <v>0.5673582407398499</v>
      </c>
      <c r="C600" s="9">
        <v>46115.0</v>
      </c>
      <c r="D600" s="10" t="s">
        <v>18</v>
      </c>
      <c r="E600" s="11" t="s">
        <v>1379</v>
      </c>
      <c r="F600" s="43"/>
      <c r="G600" s="13" t="s">
        <v>20</v>
      </c>
      <c r="H600" s="14">
        <v>2000.0</v>
      </c>
      <c r="I600" s="38"/>
      <c r="J600" s="37" t="s">
        <v>121</v>
      </c>
      <c r="K600" s="61"/>
      <c r="L600" s="6" t="s">
        <v>1380</v>
      </c>
      <c r="M600" s="6"/>
      <c r="N600" s="6"/>
      <c r="O600" s="6"/>
      <c r="P600" s="6"/>
      <c r="Q600" s="6"/>
      <c r="R600" s="6"/>
    </row>
    <row r="601" ht="22.5" customHeight="1">
      <c r="A601" s="49"/>
      <c r="B601" s="64">
        <v>0.5744461689828313</v>
      </c>
      <c r="C601" s="9">
        <v>46115.0</v>
      </c>
      <c r="D601" s="10" t="s">
        <v>424</v>
      </c>
      <c r="E601" s="11" t="s">
        <v>1286</v>
      </c>
      <c r="F601" s="43"/>
      <c r="G601" s="13" t="s">
        <v>426</v>
      </c>
      <c r="H601" s="14">
        <v>2500.0</v>
      </c>
      <c r="I601" s="15">
        <v>2500.0</v>
      </c>
      <c r="J601" s="37" t="s">
        <v>26</v>
      </c>
      <c r="K601" s="61"/>
      <c r="L601" s="6" t="s">
        <v>1381</v>
      </c>
      <c r="M601" s="6"/>
      <c r="N601" s="6"/>
      <c r="O601" s="6"/>
      <c r="P601" s="6"/>
      <c r="Q601" s="6"/>
      <c r="R601" s="6"/>
    </row>
    <row r="602" ht="22.5" customHeight="1">
      <c r="A602" s="49"/>
      <c r="B602" s="64">
        <v>0.585920833334967</v>
      </c>
      <c r="C602" s="9">
        <v>46115.0</v>
      </c>
      <c r="D602" s="10" t="s">
        <v>485</v>
      </c>
      <c r="E602" s="11" t="s">
        <v>1382</v>
      </c>
      <c r="F602" s="55" t="s">
        <v>1383</v>
      </c>
      <c r="G602" s="27" t="s">
        <v>486</v>
      </c>
      <c r="H602" s="14">
        <v>190000.0</v>
      </c>
      <c r="I602" s="15">
        <v>190000.0</v>
      </c>
      <c r="J602" s="37" t="s">
        <v>26</v>
      </c>
      <c r="K602" s="61"/>
      <c r="L602" s="6" t="s">
        <v>1384</v>
      </c>
      <c r="M602" s="6"/>
      <c r="N602" s="6"/>
      <c r="O602" s="6"/>
      <c r="P602" s="6"/>
      <c r="Q602" s="6"/>
      <c r="R602" s="6"/>
    </row>
    <row r="603" ht="22.5" customHeight="1">
      <c r="A603" s="49"/>
      <c r="B603" s="64">
        <v>0.5883053240686422</v>
      </c>
      <c r="C603" s="9">
        <v>46115.0</v>
      </c>
      <c r="D603" s="10" t="s">
        <v>364</v>
      </c>
      <c r="E603" s="11" t="s">
        <v>1385</v>
      </c>
      <c r="F603" s="43"/>
      <c r="G603" s="13" t="s">
        <v>366</v>
      </c>
      <c r="H603" s="14">
        <v>5000.0</v>
      </c>
      <c r="I603" s="15">
        <v>5000.0</v>
      </c>
      <c r="J603" s="37" t="s">
        <v>26</v>
      </c>
      <c r="K603" s="61"/>
      <c r="L603" s="6" t="s">
        <v>1386</v>
      </c>
      <c r="M603" s="6"/>
      <c r="N603" s="6"/>
      <c r="O603" s="6"/>
      <c r="P603" s="6"/>
      <c r="Q603" s="6"/>
      <c r="R603" s="6"/>
    </row>
    <row r="604" ht="22.5" customHeight="1">
      <c r="A604" s="49"/>
      <c r="B604" s="64">
        <v>0.5884158101835055</v>
      </c>
      <c r="C604" s="9">
        <v>46115.0</v>
      </c>
      <c r="D604" s="10" t="s">
        <v>221</v>
      </c>
      <c r="E604" s="11" t="s">
        <v>1387</v>
      </c>
      <c r="F604" s="55" t="s">
        <v>1388</v>
      </c>
      <c r="G604" s="28" t="s">
        <v>223</v>
      </c>
      <c r="H604" s="14">
        <v>410000.0</v>
      </c>
      <c r="I604" s="15">
        <v>410000.0</v>
      </c>
      <c r="J604" s="37" t="s">
        <v>26</v>
      </c>
      <c r="K604" s="61"/>
      <c r="L604" s="6" t="s">
        <v>1389</v>
      </c>
      <c r="M604" s="6"/>
      <c r="N604" s="6"/>
      <c r="O604" s="6"/>
      <c r="P604" s="6"/>
      <c r="Q604" s="6"/>
      <c r="R604" s="6"/>
    </row>
    <row r="605" ht="22.5" customHeight="1">
      <c r="A605" s="49"/>
      <c r="B605" s="64">
        <v>0.61047223379137</v>
      </c>
      <c r="C605" s="9">
        <v>46115.0</v>
      </c>
      <c r="D605" s="10" t="s">
        <v>408</v>
      </c>
      <c r="E605" s="11" t="s">
        <v>642</v>
      </c>
      <c r="F605" s="43"/>
      <c r="G605" s="13" t="s">
        <v>411</v>
      </c>
      <c r="H605" s="14">
        <v>2500.0</v>
      </c>
      <c r="I605" s="15">
        <v>2500.0</v>
      </c>
      <c r="J605" s="37" t="s">
        <v>26</v>
      </c>
      <c r="K605" s="65"/>
      <c r="L605" s="6" t="s">
        <v>1390</v>
      </c>
      <c r="M605" s="6"/>
      <c r="N605" s="6"/>
      <c r="O605" s="6"/>
      <c r="P605" s="6"/>
      <c r="Q605" s="6"/>
      <c r="R605" s="6"/>
    </row>
    <row r="606" ht="22.5" customHeight="1">
      <c r="A606" s="49"/>
      <c r="B606" s="64">
        <v>0.6505667476885719</v>
      </c>
      <c r="C606" s="9">
        <v>46115.0</v>
      </c>
      <c r="D606" s="10" t="s">
        <v>1391</v>
      </c>
      <c r="E606" s="11" t="s">
        <v>1392</v>
      </c>
      <c r="F606" s="43"/>
      <c r="G606" s="14" t="s">
        <v>1393</v>
      </c>
      <c r="H606" s="14">
        <v>580000.0</v>
      </c>
      <c r="I606" s="15">
        <v>530000.0</v>
      </c>
      <c r="J606" s="37" t="s">
        <v>481</v>
      </c>
      <c r="K606" s="17"/>
      <c r="L606" s="6" t="s">
        <v>1394</v>
      </c>
      <c r="M606" s="6"/>
      <c r="N606" s="6"/>
      <c r="O606" s="6"/>
      <c r="P606" s="6"/>
      <c r="Q606" s="6"/>
      <c r="R606" s="6"/>
    </row>
    <row r="607" ht="22.5" customHeight="1">
      <c r="A607" s="49"/>
      <c r="B607" s="64">
        <v>0.6505992245365633</v>
      </c>
      <c r="C607" s="9">
        <v>46115.0</v>
      </c>
      <c r="D607" s="10" t="s">
        <v>485</v>
      </c>
      <c r="E607" s="11" t="s">
        <v>1395</v>
      </c>
      <c r="F607" s="43"/>
      <c r="G607" s="13" t="s">
        <v>486</v>
      </c>
      <c r="H607" s="14">
        <v>2500.0</v>
      </c>
      <c r="I607" s="15">
        <v>2500.0</v>
      </c>
      <c r="J607" s="37" t="s">
        <v>26</v>
      </c>
      <c r="K607" s="61"/>
      <c r="L607" s="6" t="s">
        <v>1396</v>
      </c>
      <c r="M607" s="6"/>
      <c r="N607" s="6"/>
      <c r="O607" s="6"/>
      <c r="P607" s="6"/>
      <c r="Q607" s="6"/>
      <c r="R607" s="6"/>
    </row>
    <row r="608" ht="22.5" customHeight="1">
      <c r="A608" s="49"/>
      <c r="B608" s="64">
        <v>0.6507326620339882</v>
      </c>
      <c r="C608" s="9">
        <v>46115.0</v>
      </c>
      <c r="D608" s="10" t="s">
        <v>97</v>
      </c>
      <c r="E608" s="11" t="s">
        <v>1397</v>
      </c>
      <c r="F608" s="43"/>
      <c r="G608" s="13" t="s">
        <v>99</v>
      </c>
      <c r="H608" s="14">
        <v>2500.0</v>
      </c>
      <c r="I608" s="15">
        <v>2500.0</v>
      </c>
      <c r="J608" s="37" t="s">
        <v>26</v>
      </c>
      <c r="K608" s="61"/>
      <c r="L608" s="6" t="s">
        <v>1398</v>
      </c>
      <c r="M608" s="6"/>
      <c r="N608" s="6"/>
      <c r="O608" s="6"/>
      <c r="P608" s="6"/>
      <c r="Q608" s="6"/>
      <c r="R608" s="6"/>
    </row>
    <row r="609" ht="22.5" customHeight="1">
      <c r="A609" s="49"/>
      <c r="B609" s="64">
        <v>0.6517702777782688</v>
      </c>
      <c r="C609" s="9">
        <v>46115.0</v>
      </c>
      <c r="D609" s="10" t="s">
        <v>248</v>
      </c>
      <c r="E609" s="11" t="s">
        <v>1399</v>
      </c>
      <c r="F609" s="43"/>
      <c r="G609" s="13" t="s">
        <v>250</v>
      </c>
      <c r="H609" s="14">
        <v>13000.0</v>
      </c>
      <c r="I609" s="15">
        <v>13000.0</v>
      </c>
      <c r="J609" s="37" t="s">
        <v>26</v>
      </c>
      <c r="K609" s="61"/>
      <c r="L609" s="6" t="s">
        <v>1400</v>
      </c>
      <c r="M609" s="6"/>
      <c r="N609" s="6"/>
      <c r="O609" s="6"/>
      <c r="P609" s="6"/>
      <c r="Q609" s="6"/>
      <c r="R609" s="6"/>
    </row>
    <row r="610" ht="22.5" customHeight="1">
      <c r="A610" s="49"/>
      <c r="B610" s="64">
        <v>0.6630586689861957</v>
      </c>
      <c r="C610" s="9">
        <v>46115.0</v>
      </c>
      <c r="D610" s="10" t="s">
        <v>64</v>
      </c>
      <c r="E610" s="11" t="s">
        <v>1401</v>
      </c>
      <c r="F610" s="43"/>
      <c r="G610" s="13" t="s">
        <v>66</v>
      </c>
      <c r="H610" s="14">
        <v>2500.0</v>
      </c>
      <c r="I610" s="15">
        <v>2500.0</v>
      </c>
      <c r="J610" s="37" t="s">
        <v>26</v>
      </c>
      <c r="K610" s="17"/>
      <c r="L610" s="6" t="s">
        <v>1402</v>
      </c>
      <c r="M610" s="6"/>
      <c r="N610" s="6"/>
      <c r="O610" s="6"/>
      <c r="P610" s="6"/>
      <c r="Q610" s="6"/>
      <c r="R610" s="6"/>
    </row>
    <row r="611" ht="22.5" customHeight="1">
      <c r="A611" s="49"/>
      <c r="B611" s="64">
        <v>0.7214353125018533</v>
      </c>
      <c r="C611" s="9">
        <v>46115.0</v>
      </c>
      <c r="D611" s="10" t="s">
        <v>236</v>
      </c>
      <c r="E611" s="11" t="s">
        <v>1403</v>
      </c>
      <c r="F611" s="43"/>
      <c r="G611" s="13" t="s">
        <v>237</v>
      </c>
      <c r="H611" s="14">
        <v>2500.0</v>
      </c>
      <c r="I611" s="15">
        <v>2500.0</v>
      </c>
      <c r="J611" s="37" t="s">
        <v>26</v>
      </c>
      <c r="K611" s="17"/>
      <c r="L611" s="6" t="s">
        <v>1404</v>
      </c>
      <c r="M611" s="6"/>
      <c r="N611" s="6"/>
      <c r="O611" s="6"/>
      <c r="P611" s="6"/>
      <c r="Q611" s="6"/>
      <c r="R611" s="6"/>
    </row>
    <row r="612" ht="22.5" customHeight="1">
      <c r="A612" s="49"/>
      <c r="B612" s="64">
        <v>0.775484537036391</v>
      </c>
      <c r="C612" s="9">
        <v>46115.0</v>
      </c>
      <c r="D612" s="10" t="s">
        <v>89</v>
      </c>
      <c r="E612" s="11" t="s">
        <v>1405</v>
      </c>
      <c r="F612" s="43"/>
      <c r="G612" s="13" t="s">
        <v>91</v>
      </c>
      <c r="H612" s="14">
        <v>8000.0</v>
      </c>
      <c r="I612" s="15">
        <v>8000.0</v>
      </c>
      <c r="J612" s="37" t="s">
        <v>26</v>
      </c>
      <c r="K612" s="17"/>
      <c r="L612" s="6" t="s">
        <v>1406</v>
      </c>
      <c r="M612" s="6"/>
      <c r="N612" s="6"/>
      <c r="O612" s="6"/>
      <c r="P612" s="6"/>
      <c r="Q612" s="6"/>
      <c r="R612" s="6"/>
    </row>
    <row r="613" ht="22.5" customHeight="1">
      <c r="A613" s="49"/>
      <c r="B613" s="64">
        <v>0.9399129861121764</v>
      </c>
      <c r="C613" s="9">
        <v>46115.0</v>
      </c>
      <c r="D613" s="10" t="s">
        <v>1093</v>
      </c>
      <c r="E613" s="11" t="s">
        <v>1109</v>
      </c>
      <c r="F613" s="43"/>
      <c r="G613" s="13" t="s">
        <v>1095</v>
      </c>
      <c r="H613" s="14">
        <v>10000.0</v>
      </c>
      <c r="I613" s="38"/>
      <c r="J613" s="37" t="s">
        <v>26</v>
      </c>
      <c r="K613" s="17"/>
      <c r="L613" s="6" t="s">
        <v>1407</v>
      </c>
      <c r="M613" s="6"/>
      <c r="N613" s="6"/>
      <c r="O613" s="6"/>
      <c r="P613" s="6"/>
      <c r="Q613" s="6"/>
      <c r="R613" s="6"/>
    </row>
    <row r="614" ht="22.5" customHeight="1">
      <c r="A614" s="49"/>
      <c r="B614" s="8" t="s">
        <v>140</v>
      </c>
      <c r="C614" s="35" t="s">
        <v>140</v>
      </c>
      <c r="D614" s="10" t="s">
        <v>195</v>
      </c>
      <c r="E614" s="11" t="s">
        <v>140</v>
      </c>
      <c r="F614" s="12" t="s">
        <v>140</v>
      </c>
      <c r="G614" s="13" t="s">
        <v>140</v>
      </c>
      <c r="H614" s="14" t="s">
        <v>140</v>
      </c>
      <c r="I614" s="15" t="s">
        <v>140</v>
      </c>
      <c r="J614" s="37" t="s">
        <v>140</v>
      </c>
      <c r="K614" s="17"/>
      <c r="L614" s="6" t="s">
        <v>1408</v>
      </c>
      <c r="M614" s="6"/>
      <c r="N614" s="6"/>
      <c r="O614" s="6"/>
      <c r="P614" s="6"/>
      <c r="Q614" s="6"/>
      <c r="R614" s="6"/>
    </row>
    <row r="615" ht="22.5" customHeight="1">
      <c r="A615" s="49"/>
      <c r="B615" s="8" t="s">
        <v>140</v>
      </c>
      <c r="C615" s="35" t="s">
        <v>140</v>
      </c>
      <c r="D615" s="10" t="s">
        <v>140</v>
      </c>
      <c r="E615" s="11" t="s">
        <v>140</v>
      </c>
      <c r="F615" s="12" t="s">
        <v>140</v>
      </c>
      <c r="G615" s="13" t="s">
        <v>140</v>
      </c>
      <c r="H615" s="14" t="s">
        <v>195</v>
      </c>
      <c r="I615" s="15" t="s">
        <v>140</v>
      </c>
      <c r="J615" s="37" t="s">
        <v>140</v>
      </c>
      <c r="K615" s="17"/>
      <c r="L615" s="6" t="s">
        <v>1409</v>
      </c>
      <c r="M615" s="6"/>
      <c r="N615" s="6"/>
      <c r="O615" s="6"/>
      <c r="P615" s="6"/>
      <c r="Q615" s="6"/>
      <c r="R615" s="6"/>
    </row>
    <row r="616" ht="22.5" customHeight="1">
      <c r="A616" s="49"/>
      <c r="B616" s="64">
        <v>0.4739939930586843</v>
      </c>
      <c r="C616" s="9">
        <v>46116.0</v>
      </c>
      <c r="D616" s="10" t="s">
        <v>64</v>
      </c>
      <c r="E616" s="11" t="s">
        <v>1410</v>
      </c>
      <c r="F616" s="43"/>
      <c r="G616" s="13" t="s">
        <v>66</v>
      </c>
      <c r="H616" s="14">
        <v>5000.0</v>
      </c>
      <c r="I616" s="38"/>
      <c r="J616" s="37" t="s">
        <v>26</v>
      </c>
      <c r="K616" s="17"/>
      <c r="L616" s="6" t="s">
        <v>1411</v>
      </c>
      <c r="M616" s="6"/>
      <c r="N616" s="6"/>
      <c r="O616" s="6"/>
      <c r="P616" s="6"/>
      <c r="Q616" s="6"/>
      <c r="R616" s="6"/>
    </row>
    <row r="617" ht="22.5" customHeight="1">
      <c r="A617" s="49"/>
      <c r="B617" s="64">
        <v>0.5181003703692113</v>
      </c>
      <c r="C617" s="9">
        <v>46116.0</v>
      </c>
      <c r="D617" s="10" t="s">
        <v>1412</v>
      </c>
      <c r="E617" s="11" t="s">
        <v>1413</v>
      </c>
      <c r="F617" s="43"/>
      <c r="G617" s="13" t="s">
        <v>1414</v>
      </c>
      <c r="H617" s="14">
        <v>990000.0</v>
      </c>
      <c r="I617" s="15">
        <v>990000.0</v>
      </c>
      <c r="J617" s="37" t="s">
        <v>26</v>
      </c>
      <c r="K617" s="66" t="s">
        <v>1415</v>
      </c>
      <c r="L617" s="6" t="s">
        <v>1416</v>
      </c>
      <c r="M617" s="6"/>
      <c r="N617" s="6"/>
      <c r="O617" s="6"/>
      <c r="P617" s="6"/>
      <c r="Q617" s="6"/>
      <c r="R617" s="6"/>
    </row>
    <row r="618" ht="22.5" customHeight="1">
      <c r="A618" s="49"/>
      <c r="B618" s="64">
        <v>0.5430365162028465</v>
      </c>
      <c r="C618" s="9">
        <v>46116.0</v>
      </c>
      <c r="D618" s="10" t="s">
        <v>1417</v>
      </c>
      <c r="E618" s="11" t="s">
        <v>1418</v>
      </c>
      <c r="F618" s="43"/>
      <c r="G618" s="13" t="s">
        <v>1419</v>
      </c>
      <c r="H618" s="14">
        <v>2500.0</v>
      </c>
      <c r="I618" s="38"/>
      <c r="J618" s="37" t="s">
        <v>121</v>
      </c>
      <c r="K618" s="17"/>
      <c r="L618" s="6" t="s">
        <v>1420</v>
      </c>
      <c r="M618" s="6"/>
      <c r="N618" s="6"/>
      <c r="O618" s="6"/>
      <c r="P618" s="6"/>
      <c r="Q618" s="6"/>
      <c r="R618" s="6"/>
    </row>
    <row r="619" ht="22.5" customHeight="1">
      <c r="A619" s="49"/>
      <c r="B619" s="64">
        <v>0.5547949421306839</v>
      </c>
      <c r="C619" s="9">
        <v>46116.0</v>
      </c>
      <c r="D619" s="10" t="s">
        <v>64</v>
      </c>
      <c r="E619" s="11" t="s">
        <v>1421</v>
      </c>
      <c r="F619" s="55" t="s">
        <v>1422</v>
      </c>
      <c r="G619" s="27" t="s">
        <v>66</v>
      </c>
      <c r="H619" s="14">
        <v>1050000.0</v>
      </c>
      <c r="I619" s="15">
        <v>1050000.0</v>
      </c>
      <c r="J619" s="37" t="s">
        <v>21</v>
      </c>
      <c r="K619" s="17"/>
      <c r="L619" s="6" t="s">
        <v>1423</v>
      </c>
      <c r="M619" s="6"/>
      <c r="N619" s="6"/>
      <c r="O619" s="6"/>
      <c r="P619" s="6"/>
      <c r="Q619" s="6"/>
      <c r="R619" s="6"/>
    </row>
    <row r="620" ht="22.5" customHeight="1">
      <c r="A620" s="49"/>
      <c r="B620" s="64">
        <v>0.5548199652766925</v>
      </c>
      <c r="C620" s="9">
        <v>46116.0</v>
      </c>
      <c r="D620" s="10" t="s">
        <v>64</v>
      </c>
      <c r="E620" s="11" t="s">
        <v>1424</v>
      </c>
      <c r="F620" s="55" t="s">
        <v>1425</v>
      </c>
      <c r="G620" s="27" t="s">
        <v>66</v>
      </c>
      <c r="H620" s="14">
        <v>825000.0</v>
      </c>
      <c r="I620" s="38"/>
      <c r="J620" s="37" t="s">
        <v>103</v>
      </c>
      <c r="K620" s="17"/>
      <c r="L620" s="6" t="s">
        <v>1426</v>
      </c>
      <c r="M620" s="6"/>
      <c r="N620" s="6"/>
      <c r="O620" s="6"/>
      <c r="P620" s="6"/>
      <c r="Q620" s="6"/>
      <c r="R620" s="6"/>
    </row>
    <row r="621" ht="22.5" customHeight="1">
      <c r="A621" s="49"/>
      <c r="B621" s="64">
        <v>0.5699522569484543</v>
      </c>
      <c r="C621" s="9">
        <v>46116.0</v>
      </c>
      <c r="D621" s="10" t="s">
        <v>89</v>
      </c>
      <c r="E621" s="11" t="s">
        <v>1427</v>
      </c>
      <c r="F621" s="43"/>
      <c r="G621" s="13" t="s">
        <v>91</v>
      </c>
      <c r="H621" s="14">
        <v>2500.0</v>
      </c>
      <c r="I621" s="15">
        <v>2500.0</v>
      </c>
      <c r="J621" s="37" t="s">
        <v>26</v>
      </c>
      <c r="K621" s="17"/>
      <c r="L621" s="6" t="s">
        <v>1428</v>
      </c>
      <c r="M621" s="6"/>
      <c r="N621" s="6"/>
      <c r="O621" s="6"/>
      <c r="P621" s="6"/>
      <c r="Q621" s="6"/>
      <c r="R621" s="6"/>
    </row>
    <row r="622" ht="22.5" customHeight="1">
      <c r="A622" s="49"/>
      <c r="B622" s="64">
        <v>0.5732635069434764</v>
      </c>
      <c r="C622" s="9">
        <v>46116.0</v>
      </c>
      <c r="D622" s="10" t="s">
        <v>605</v>
      </c>
      <c r="E622" s="11" t="s">
        <v>1429</v>
      </c>
      <c r="F622" s="55" t="s">
        <v>1430</v>
      </c>
      <c r="G622" s="27" t="s">
        <v>608</v>
      </c>
      <c r="H622" s="14">
        <v>555000.0</v>
      </c>
      <c r="I622" s="15">
        <v>555000.0</v>
      </c>
      <c r="J622" s="37" t="s">
        <v>26</v>
      </c>
      <c r="K622" s="17"/>
      <c r="L622" s="6" t="s">
        <v>1431</v>
      </c>
      <c r="M622" s="6"/>
      <c r="N622" s="6"/>
      <c r="O622" s="6"/>
      <c r="P622" s="6"/>
      <c r="Q622" s="6"/>
      <c r="R622" s="6"/>
    </row>
    <row r="623" ht="22.5" customHeight="1">
      <c r="A623" s="49"/>
      <c r="B623" s="64">
        <v>0.60584456018114</v>
      </c>
      <c r="C623" s="9">
        <v>46116.0</v>
      </c>
      <c r="D623" s="10" t="s">
        <v>874</v>
      </c>
      <c r="E623" s="67" t="s">
        <v>1432</v>
      </c>
      <c r="F623" s="55" t="s">
        <v>1425</v>
      </c>
      <c r="G623" s="28" t="s">
        <v>876</v>
      </c>
      <c r="H623" s="14">
        <v>820000.0</v>
      </c>
      <c r="I623" s="38"/>
      <c r="J623" s="37" t="s">
        <v>103</v>
      </c>
      <c r="K623" s="17"/>
      <c r="L623" s="6" t="s">
        <v>1433</v>
      </c>
      <c r="M623" s="6"/>
      <c r="N623" s="6"/>
      <c r="O623" s="6"/>
      <c r="P623" s="6"/>
      <c r="Q623" s="6"/>
      <c r="R623" s="6"/>
    </row>
    <row r="624" ht="22.5" customHeight="1">
      <c r="A624" s="49"/>
      <c r="B624" s="64">
        <v>0.6567070601886371</v>
      </c>
      <c r="C624" s="9">
        <v>46116.0</v>
      </c>
      <c r="D624" s="10" t="s">
        <v>424</v>
      </c>
      <c r="E624" s="11" t="s">
        <v>1434</v>
      </c>
      <c r="F624" s="43"/>
      <c r="G624" s="13" t="s">
        <v>426</v>
      </c>
      <c r="H624" s="14">
        <v>2500.0</v>
      </c>
      <c r="I624" s="15">
        <v>2500.0</v>
      </c>
      <c r="J624" s="37" t="s">
        <v>26</v>
      </c>
      <c r="K624" s="17"/>
      <c r="L624" s="6" t="s">
        <v>1435</v>
      </c>
      <c r="M624" s="6"/>
      <c r="N624" s="6"/>
      <c r="O624" s="6"/>
      <c r="P624" s="6"/>
      <c r="Q624" s="6"/>
      <c r="R624" s="6"/>
    </row>
    <row r="625" ht="22.5" customHeight="1">
      <c r="A625" s="49"/>
      <c r="B625" s="36"/>
      <c r="C625" s="35" t="s">
        <v>195</v>
      </c>
      <c r="D625" s="10" t="s">
        <v>140</v>
      </c>
      <c r="E625" s="11" t="s">
        <v>140</v>
      </c>
      <c r="F625" s="12" t="s">
        <v>140</v>
      </c>
      <c r="G625" s="13" t="str">
        <f>IF(LEN(TRIM(D625))=0,"",IFNA(VLOOKUP(UPPER(TRIM(D625)),'CLIENT DIRECTORY'!A:B,2,FALSE),""))</f>
        <v/>
      </c>
      <c r="H625" s="14" t="s">
        <v>285</v>
      </c>
      <c r="I625" s="15"/>
      <c r="J625" s="37" t="s">
        <v>285</v>
      </c>
      <c r="K625" s="17"/>
      <c r="L625" s="6" t="s">
        <v>1436</v>
      </c>
      <c r="M625" s="6"/>
      <c r="N625" s="6"/>
      <c r="O625" s="6"/>
      <c r="P625" s="6"/>
      <c r="Q625" s="6"/>
      <c r="R625" s="6"/>
    </row>
    <row r="626" ht="22.5" customHeight="1">
      <c r="A626" s="49"/>
      <c r="B626" s="36"/>
      <c r="C626" s="35" t="s">
        <v>195</v>
      </c>
      <c r="D626" s="10" t="s">
        <v>140</v>
      </c>
      <c r="E626" s="11" t="s">
        <v>140</v>
      </c>
      <c r="F626" s="12" t="s">
        <v>140</v>
      </c>
      <c r="G626" s="13" t="str">
        <f>IF(LEN(TRIM(D626))=0,"",IFNA(VLOOKUP(UPPER(TRIM(D626)),'CLIENT DIRECTORY'!A:B,2,FALSE),""))</f>
        <v/>
      </c>
      <c r="H626" s="14" t="s">
        <v>285</v>
      </c>
      <c r="I626" s="15"/>
      <c r="J626" s="37" t="s">
        <v>285</v>
      </c>
      <c r="K626" s="17"/>
      <c r="L626" s="6" t="s">
        <v>1437</v>
      </c>
      <c r="M626" s="6"/>
      <c r="N626" s="6"/>
      <c r="O626" s="6"/>
      <c r="P626" s="6"/>
      <c r="Q626" s="6"/>
      <c r="R626" s="6"/>
    </row>
    <row r="627" ht="22.5" customHeight="1">
      <c r="A627" s="49"/>
      <c r="B627" s="36"/>
      <c r="C627" s="35" t="s">
        <v>195</v>
      </c>
      <c r="D627" s="10" t="s">
        <v>140</v>
      </c>
      <c r="E627" s="11" t="s">
        <v>195</v>
      </c>
      <c r="F627" s="12" t="s">
        <v>140</v>
      </c>
      <c r="G627" s="13" t="s">
        <v>140</v>
      </c>
      <c r="H627" s="14" t="s">
        <v>140</v>
      </c>
      <c r="I627" s="15" t="s">
        <v>140</v>
      </c>
      <c r="J627" s="37" t="s">
        <v>140</v>
      </c>
      <c r="K627" s="17"/>
      <c r="L627" s="6" t="s">
        <v>1438</v>
      </c>
      <c r="M627" s="6"/>
      <c r="N627" s="6"/>
      <c r="O627" s="6"/>
      <c r="P627" s="6"/>
      <c r="Q627" s="6"/>
      <c r="R627" s="6"/>
    </row>
    <row r="628" ht="22.5" customHeight="1">
      <c r="A628" s="49"/>
      <c r="B628" s="36"/>
      <c r="C628" s="68">
        <v>46117.0</v>
      </c>
      <c r="D628" s="10" t="s">
        <v>408</v>
      </c>
      <c r="E628" s="11" t="s">
        <v>1439</v>
      </c>
      <c r="F628" s="55" t="s">
        <v>1415</v>
      </c>
      <c r="G628" s="13" t="s">
        <v>411</v>
      </c>
      <c r="H628" s="14">
        <v>730000.0</v>
      </c>
      <c r="I628" s="15">
        <v>730000.0</v>
      </c>
      <c r="J628" s="37" t="s">
        <v>26</v>
      </c>
      <c r="K628" s="17"/>
      <c r="L628" s="6" t="s">
        <v>1440</v>
      </c>
      <c r="M628" s="6"/>
      <c r="N628" s="6"/>
      <c r="O628" s="6"/>
      <c r="P628" s="6"/>
      <c r="Q628" s="6"/>
      <c r="R628" s="6"/>
    </row>
    <row r="629" ht="22.5" customHeight="1">
      <c r="A629" s="49"/>
      <c r="B629" s="36"/>
      <c r="C629" s="35" t="s">
        <v>195</v>
      </c>
      <c r="D629" s="10" t="s">
        <v>140</v>
      </c>
      <c r="E629" s="11" t="s">
        <v>140</v>
      </c>
      <c r="F629" s="12" t="s">
        <v>140</v>
      </c>
      <c r="G629" s="13" t="str">
        <f>IF(LEN(TRIM(D629))=0,"",IFNA(VLOOKUP(UPPER(TRIM(D629)),'CLIENT DIRECTORY'!A:B,2,FALSE),""))</f>
        <v/>
      </c>
      <c r="H629" s="14" t="s">
        <v>285</v>
      </c>
      <c r="I629" s="38"/>
      <c r="J629" s="37" t="s">
        <v>140</v>
      </c>
      <c r="K629" s="17"/>
      <c r="L629" s="6" t="s">
        <v>1441</v>
      </c>
      <c r="M629" s="6"/>
      <c r="N629" s="6"/>
      <c r="O629" s="6"/>
      <c r="P629" s="6"/>
      <c r="Q629" s="6"/>
      <c r="R629" s="6"/>
    </row>
    <row r="630" ht="22.5" customHeight="1">
      <c r="A630" s="49"/>
      <c r="B630" s="36"/>
      <c r="C630" s="35" t="s">
        <v>195</v>
      </c>
      <c r="D630" s="10" t="s">
        <v>140</v>
      </c>
      <c r="E630" s="11" t="s">
        <v>140</v>
      </c>
      <c r="F630" s="12" t="s">
        <v>140</v>
      </c>
      <c r="G630" s="13" t="str">
        <f>IF(LEN(TRIM(D630))=0,"",IFNA(VLOOKUP(UPPER(TRIM(D630)),'CLIENT DIRECTORY'!A:B,2,FALSE),""))</f>
        <v/>
      </c>
      <c r="H630" s="14" t="s">
        <v>285</v>
      </c>
      <c r="I630" s="38"/>
      <c r="J630" s="37" t="s">
        <v>140</v>
      </c>
      <c r="K630" s="17"/>
      <c r="L630" s="6" t="s">
        <v>1442</v>
      </c>
      <c r="M630" s="6"/>
      <c r="N630" s="6"/>
      <c r="O630" s="6"/>
      <c r="P630" s="6"/>
      <c r="Q630" s="6"/>
      <c r="R630" s="6"/>
    </row>
    <row r="631" ht="22.5" customHeight="1">
      <c r="A631" s="49"/>
      <c r="B631" s="36"/>
      <c r="C631" s="35" t="s">
        <v>195</v>
      </c>
      <c r="D631" s="10" t="s">
        <v>140</v>
      </c>
      <c r="E631" s="11" t="s">
        <v>195</v>
      </c>
      <c r="F631" s="12" t="s">
        <v>140</v>
      </c>
      <c r="G631" s="13" t="s">
        <v>140</v>
      </c>
      <c r="H631" s="14" t="s">
        <v>140</v>
      </c>
      <c r="I631" s="38"/>
      <c r="J631" s="37" t="s">
        <v>195</v>
      </c>
      <c r="K631" s="17"/>
      <c r="L631" s="6" t="s">
        <v>1443</v>
      </c>
      <c r="M631" s="6"/>
      <c r="N631" s="6"/>
      <c r="O631" s="6"/>
      <c r="P631" s="6"/>
      <c r="Q631" s="6"/>
      <c r="R631" s="6"/>
    </row>
    <row r="632" ht="22.5" customHeight="1">
      <c r="A632" s="49"/>
      <c r="B632" s="64">
        <v>0.5231446180550847</v>
      </c>
      <c r="C632" s="9">
        <v>46118.0</v>
      </c>
      <c r="D632" s="10" t="s">
        <v>358</v>
      </c>
      <c r="E632" s="11" t="s">
        <v>1444</v>
      </c>
      <c r="F632" s="43"/>
      <c r="G632" s="13" t="s">
        <v>1445</v>
      </c>
      <c r="H632" s="14">
        <v>2500.0</v>
      </c>
      <c r="I632" s="15">
        <v>2500.0</v>
      </c>
      <c r="J632" s="37" t="s">
        <v>26</v>
      </c>
      <c r="K632" s="17"/>
      <c r="L632" s="6" t="s">
        <v>1446</v>
      </c>
      <c r="M632" s="6"/>
      <c r="N632" s="6"/>
      <c r="O632" s="6"/>
      <c r="P632" s="6"/>
      <c r="Q632" s="6"/>
      <c r="R632" s="6"/>
    </row>
    <row r="633" ht="22.5" customHeight="1">
      <c r="A633" s="49"/>
      <c r="B633" s="8" t="s">
        <v>195</v>
      </c>
      <c r="C633" s="35" t="s">
        <v>195</v>
      </c>
      <c r="D633" s="10" t="s">
        <v>195</v>
      </c>
      <c r="E633" s="11" t="s">
        <v>195</v>
      </c>
      <c r="F633" s="12" t="s">
        <v>195</v>
      </c>
      <c r="G633" s="13" t="s">
        <v>195</v>
      </c>
      <c r="H633" s="14" t="s">
        <v>195</v>
      </c>
      <c r="I633" s="15" t="s">
        <v>195</v>
      </c>
      <c r="J633" s="37" t="s">
        <v>195</v>
      </c>
      <c r="K633" s="17"/>
      <c r="L633" s="6" t="s">
        <v>1447</v>
      </c>
      <c r="M633" s="6"/>
      <c r="N633" s="6"/>
      <c r="O633" s="6"/>
      <c r="P633" s="6"/>
      <c r="Q633" s="6"/>
      <c r="R633" s="6"/>
    </row>
    <row r="634" ht="22.5" customHeight="1">
      <c r="A634" s="49"/>
      <c r="B634" s="8" t="s">
        <v>195</v>
      </c>
      <c r="C634" s="35" t="s">
        <v>195</v>
      </c>
      <c r="D634" s="10" t="s">
        <v>195</v>
      </c>
      <c r="E634" s="11" t="s">
        <v>195</v>
      </c>
      <c r="F634" s="12" t="s">
        <v>195</v>
      </c>
      <c r="G634" s="13" t="s">
        <v>195</v>
      </c>
      <c r="H634" s="14" t="s">
        <v>195</v>
      </c>
      <c r="I634" s="15" t="s">
        <v>195</v>
      </c>
      <c r="J634" s="37" t="s">
        <v>195</v>
      </c>
      <c r="K634" s="17"/>
      <c r="L634" s="6" t="s">
        <v>1448</v>
      </c>
      <c r="M634" s="6"/>
      <c r="N634" s="6"/>
      <c r="O634" s="6"/>
      <c r="P634" s="6"/>
      <c r="Q634" s="6"/>
      <c r="R634" s="6"/>
    </row>
    <row r="635" ht="22.5" customHeight="1">
      <c r="A635" s="49"/>
      <c r="B635" s="8" t="s">
        <v>195</v>
      </c>
      <c r="C635" s="35" t="s">
        <v>195</v>
      </c>
      <c r="D635" s="10" t="s">
        <v>195</v>
      </c>
      <c r="E635" s="11" t="s">
        <v>195</v>
      </c>
      <c r="F635" s="12" t="s">
        <v>195</v>
      </c>
      <c r="G635" s="13" t="s">
        <v>195</v>
      </c>
      <c r="H635" s="14" t="s">
        <v>195</v>
      </c>
      <c r="I635" s="15" t="s">
        <v>195</v>
      </c>
      <c r="J635" s="37" t="s">
        <v>195</v>
      </c>
      <c r="K635" s="17"/>
      <c r="L635" s="6" t="s">
        <v>1449</v>
      </c>
      <c r="M635" s="6"/>
      <c r="N635" s="6"/>
      <c r="O635" s="6"/>
      <c r="P635" s="6"/>
      <c r="Q635" s="6"/>
      <c r="R635" s="6"/>
    </row>
    <row r="636" ht="22.5" customHeight="1">
      <c r="A636" s="49"/>
      <c r="B636" s="64">
        <v>0.48750524305796716</v>
      </c>
      <c r="C636" s="9">
        <v>46119.0</v>
      </c>
      <c r="D636" s="10" t="s">
        <v>1450</v>
      </c>
      <c r="E636" s="11" t="s">
        <v>1451</v>
      </c>
      <c r="F636" s="43"/>
      <c r="G636" s="13" t="s">
        <v>1452</v>
      </c>
      <c r="H636" s="14">
        <v>2000.0</v>
      </c>
      <c r="I636" s="38"/>
      <c r="J636" s="37" t="s">
        <v>121</v>
      </c>
      <c r="K636" s="17"/>
      <c r="L636" s="6" t="s">
        <v>1453</v>
      </c>
      <c r="M636" s="6"/>
      <c r="N636" s="6"/>
      <c r="O636" s="6"/>
      <c r="P636" s="6"/>
      <c r="Q636" s="6"/>
      <c r="R636" s="6"/>
    </row>
    <row r="637" ht="22.5" customHeight="1">
      <c r="A637" s="49"/>
      <c r="B637" s="64">
        <v>0.4959392824093811</v>
      </c>
      <c r="C637" s="9">
        <v>46119.0</v>
      </c>
      <c r="D637" s="10" t="s">
        <v>1454</v>
      </c>
      <c r="E637" s="11" t="s">
        <v>1455</v>
      </c>
      <c r="F637" s="55" t="s">
        <v>1456</v>
      </c>
      <c r="G637" s="69" t="s">
        <v>110</v>
      </c>
      <c r="H637" s="14">
        <v>475000.0</v>
      </c>
      <c r="I637" s="38"/>
      <c r="J637" s="37" t="s">
        <v>26</v>
      </c>
      <c r="K637" s="17"/>
      <c r="L637" s="6" t="s">
        <v>1457</v>
      </c>
      <c r="M637" s="6"/>
      <c r="N637" s="6"/>
      <c r="O637" s="6"/>
      <c r="P637" s="6"/>
      <c r="Q637" s="6"/>
      <c r="R637" s="6"/>
    </row>
    <row r="638" ht="22.5" customHeight="1">
      <c r="A638" s="49"/>
      <c r="B638" s="64">
        <v>0.5504784027725691</v>
      </c>
      <c r="C638" s="9">
        <v>46119.0</v>
      </c>
      <c r="D638" s="10" t="s">
        <v>1458</v>
      </c>
      <c r="E638" s="11" t="s">
        <v>1459</v>
      </c>
      <c r="F638" s="43"/>
      <c r="G638" s="13" t="s">
        <v>1460</v>
      </c>
      <c r="H638" s="14">
        <v>3000.0</v>
      </c>
      <c r="I638" s="15">
        <v>3000.0</v>
      </c>
      <c r="J638" s="37" t="s">
        <v>26</v>
      </c>
      <c r="K638" s="17"/>
      <c r="L638" s="6" t="s">
        <v>1461</v>
      </c>
      <c r="M638" s="6"/>
      <c r="N638" s="6"/>
      <c r="O638" s="6"/>
      <c r="P638" s="6"/>
      <c r="Q638" s="6"/>
      <c r="R638" s="6"/>
    </row>
    <row r="639" ht="22.5" customHeight="1">
      <c r="A639" s="49"/>
      <c r="B639" s="64">
        <v>0.5845634375000373</v>
      </c>
      <c r="C639" s="9">
        <v>46119.0</v>
      </c>
      <c r="D639" s="10" t="s">
        <v>89</v>
      </c>
      <c r="E639" s="11" t="s">
        <v>1462</v>
      </c>
      <c r="F639" s="43"/>
      <c r="G639" s="13" t="s">
        <v>91</v>
      </c>
      <c r="H639" s="14">
        <v>2500.0</v>
      </c>
      <c r="I639" s="15">
        <v>2500.0</v>
      </c>
      <c r="J639" s="37" t="s">
        <v>26</v>
      </c>
      <c r="K639" s="17"/>
      <c r="L639" s="6" t="s">
        <v>1463</v>
      </c>
      <c r="M639" s="6"/>
      <c r="N639" s="6"/>
      <c r="O639" s="6"/>
      <c r="P639" s="6"/>
      <c r="Q639" s="6"/>
      <c r="R639" s="6"/>
    </row>
    <row r="640" ht="22.5" customHeight="1">
      <c r="A640" s="49"/>
      <c r="B640" s="64">
        <v>0.5857783101819223</v>
      </c>
      <c r="C640" s="9">
        <v>46119.0</v>
      </c>
      <c r="D640" s="10" t="s">
        <v>693</v>
      </c>
      <c r="E640" s="11" t="s">
        <v>1366</v>
      </c>
      <c r="F640" s="55" t="s">
        <v>1367</v>
      </c>
      <c r="G640" s="13" t="s">
        <v>696</v>
      </c>
      <c r="H640" s="14">
        <v>230000.0</v>
      </c>
      <c r="I640" s="38"/>
      <c r="J640" s="37" t="s">
        <v>26</v>
      </c>
      <c r="K640" s="17"/>
      <c r="L640" s="6" t="s">
        <v>1464</v>
      </c>
      <c r="M640" s="6"/>
      <c r="N640" s="6"/>
      <c r="O640" s="6"/>
      <c r="P640" s="6"/>
      <c r="Q640" s="6"/>
      <c r="R640" s="6"/>
    </row>
    <row r="641" ht="22.5" customHeight="1">
      <c r="A641" s="49"/>
      <c r="B641" s="64">
        <v>0.5990477777813794</v>
      </c>
      <c r="C641" s="9">
        <v>46119.0</v>
      </c>
      <c r="D641" s="10" t="s">
        <v>400</v>
      </c>
      <c r="E641" s="11" t="s">
        <v>1465</v>
      </c>
      <c r="F641" s="43"/>
      <c r="G641" s="70" t="s">
        <v>1466</v>
      </c>
      <c r="H641" s="14">
        <v>5000.0</v>
      </c>
      <c r="I641" s="38"/>
      <c r="J641" s="37" t="s">
        <v>26</v>
      </c>
      <c r="K641" s="17"/>
      <c r="L641" s="6" t="s">
        <v>1467</v>
      </c>
      <c r="M641" s="6"/>
      <c r="N641" s="6"/>
      <c r="O641" s="6"/>
      <c r="P641" s="6"/>
      <c r="Q641" s="6"/>
      <c r="R641" s="6"/>
    </row>
    <row r="642" ht="22.5" customHeight="1">
      <c r="A642" s="49"/>
      <c r="B642" s="64">
        <v>0.6140416898124386</v>
      </c>
      <c r="C642" s="9">
        <v>46119.0</v>
      </c>
      <c r="D642" s="10" t="s">
        <v>1468</v>
      </c>
      <c r="E642" s="11" t="s">
        <v>1469</v>
      </c>
      <c r="F642" s="43"/>
      <c r="G642" s="13" t="s">
        <v>1470</v>
      </c>
      <c r="H642" s="14">
        <v>4000.0</v>
      </c>
      <c r="I642" s="38"/>
      <c r="J642" s="37" t="s">
        <v>26</v>
      </c>
      <c r="K642" s="17"/>
      <c r="L642" s="6" t="s">
        <v>1471</v>
      </c>
      <c r="M642" s="6"/>
      <c r="N642" s="6"/>
      <c r="O642" s="6"/>
      <c r="P642" s="6"/>
      <c r="Q642" s="6"/>
      <c r="R642" s="6"/>
    </row>
    <row r="643" ht="22.5" customHeight="1">
      <c r="A643" s="49"/>
      <c r="B643" s="64">
        <v>0.614062245367677</v>
      </c>
      <c r="C643" s="9">
        <v>46119.0</v>
      </c>
      <c r="D643" s="10" t="s">
        <v>1472</v>
      </c>
      <c r="E643" s="11" t="s">
        <v>1473</v>
      </c>
      <c r="F643" s="43"/>
      <c r="G643" s="13" t="s">
        <v>1474</v>
      </c>
      <c r="H643" s="14">
        <v>5000.0</v>
      </c>
      <c r="I643" s="15">
        <v>5000.0</v>
      </c>
      <c r="J643" s="37" t="s">
        <v>26</v>
      </c>
      <c r="K643" s="17"/>
      <c r="L643" s="6" t="s">
        <v>1475</v>
      </c>
      <c r="M643" s="6"/>
      <c r="N643" s="6"/>
      <c r="O643" s="6"/>
      <c r="P643" s="6"/>
      <c r="Q643" s="6"/>
      <c r="R643" s="6"/>
    </row>
    <row r="644" ht="22.5" customHeight="1">
      <c r="A644" s="49"/>
      <c r="B644" s="64">
        <v>0.6182906134272343</v>
      </c>
      <c r="C644" s="9">
        <v>46119.0</v>
      </c>
      <c r="D644" s="10" t="s">
        <v>741</v>
      </c>
      <c r="E644" s="11" t="s">
        <v>769</v>
      </c>
      <c r="F644" s="43"/>
      <c r="G644" s="13" t="s">
        <v>743</v>
      </c>
      <c r="H644" s="14">
        <v>2500.0</v>
      </c>
      <c r="I644" s="38"/>
      <c r="J644" s="37" t="s">
        <v>26</v>
      </c>
      <c r="K644" s="17"/>
      <c r="L644" s="6" t="s">
        <v>1476</v>
      </c>
      <c r="M644" s="6"/>
      <c r="N644" s="6"/>
      <c r="O644" s="6"/>
      <c r="P644" s="6"/>
      <c r="Q644" s="6"/>
      <c r="R644" s="6"/>
    </row>
    <row r="645" ht="22.5" customHeight="1">
      <c r="A645" s="49"/>
      <c r="B645" s="64">
        <v>0.7065347916650353</v>
      </c>
      <c r="C645" s="9">
        <v>46119.0</v>
      </c>
      <c r="D645" s="10" t="s">
        <v>89</v>
      </c>
      <c r="E645" s="11" t="s">
        <v>1397</v>
      </c>
      <c r="F645" s="43"/>
      <c r="G645" s="13" t="s">
        <v>91</v>
      </c>
      <c r="H645" s="14">
        <v>2500.0</v>
      </c>
      <c r="I645" s="15">
        <v>2500.0</v>
      </c>
      <c r="J645" s="37" t="s">
        <v>26</v>
      </c>
      <c r="K645" s="17"/>
      <c r="L645" s="6" t="s">
        <v>1477</v>
      </c>
      <c r="M645" s="6"/>
      <c r="N645" s="6"/>
      <c r="O645" s="6"/>
      <c r="P645" s="6"/>
      <c r="Q645" s="6"/>
      <c r="R645" s="6"/>
    </row>
    <row r="646" ht="22.5" customHeight="1">
      <c r="A646" s="49"/>
      <c r="B646" s="64">
        <v>0.755159745371202</v>
      </c>
      <c r="C646" s="9">
        <v>46119.0</v>
      </c>
      <c r="D646" s="10" t="s">
        <v>108</v>
      </c>
      <c r="E646" s="11" t="s">
        <v>1478</v>
      </c>
      <c r="F646" s="43"/>
      <c r="G646" s="13" t="s">
        <v>110</v>
      </c>
      <c r="H646" s="14">
        <v>6500.0</v>
      </c>
      <c r="I646" s="15">
        <v>6500.0</v>
      </c>
      <c r="J646" s="37" t="s">
        <v>26</v>
      </c>
      <c r="K646" s="17"/>
      <c r="L646" s="6" t="s">
        <v>1479</v>
      </c>
      <c r="M646" s="6"/>
      <c r="N646" s="6"/>
      <c r="O646" s="6"/>
      <c r="P646" s="6"/>
      <c r="Q646" s="6"/>
      <c r="R646" s="6"/>
    </row>
    <row r="647" ht="22.5" customHeight="1">
      <c r="A647" s="49"/>
      <c r="B647" s="64">
        <v>0.7708922337915283</v>
      </c>
      <c r="C647" s="9">
        <v>46119.0</v>
      </c>
      <c r="D647" s="10" t="s">
        <v>1480</v>
      </c>
      <c r="E647" s="11" t="s">
        <v>1481</v>
      </c>
      <c r="F647" s="55" t="s">
        <v>1482</v>
      </c>
      <c r="G647" s="69" t="s">
        <v>1483</v>
      </c>
      <c r="H647" s="14">
        <v>770000.0</v>
      </c>
      <c r="I647" s="15">
        <v>770000.0</v>
      </c>
      <c r="J647" s="37" t="s">
        <v>26</v>
      </c>
      <c r="K647" s="17"/>
      <c r="L647" s="6" t="s">
        <v>1484</v>
      </c>
      <c r="M647" s="6"/>
      <c r="N647" s="6"/>
      <c r="O647" s="6"/>
      <c r="P647" s="6"/>
      <c r="Q647" s="6"/>
      <c r="R647" s="6"/>
    </row>
    <row r="648" ht="22.5" customHeight="1">
      <c r="A648" s="49"/>
      <c r="B648" s="8" t="s">
        <v>140</v>
      </c>
      <c r="C648" s="35" t="s">
        <v>140</v>
      </c>
      <c r="D648" s="10" t="s">
        <v>140</v>
      </c>
      <c r="E648" s="11" t="s">
        <v>140</v>
      </c>
      <c r="F648" s="12" t="s">
        <v>140</v>
      </c>
      <c r="G648" s="13" t="s">
        <v>140</v>
      </c>
      <c r="H648" s="14" t="s">
        <v>140</v>
      </c>
      <c r="I648" s="15" t="s">
        <v>140</v>
      </c>
      <c r="J648" s="37" t="s">
        <v>195</v>
      </c>
      <c r="K648" s="17"/>
      <c r="L648" s="6" t="s">
        <v>1485</v>
      </c>
      <c r="M648" s="6"/>
      <c r="N648" s="6"/>
      <c r="O648" s="6"/>
      <c r="P648" s="6"/>
      <c r="Q648" s="6"/>
      <c r="R648" s="6"/>
    </row>
    <row r="649" ht="22.5" customHeight="1">
      <c r="A649" s="49"/>
      <c r="B649" s="8" t="s">
        <v>140</v>
      </c>
      <c r="C649" s="35" t="s">
        <v>140</v>
      </c>
      <c r="D649" s="10" t="s">
        <v>140</v>
      </c>
      <c r="E649" s="11" t="s">
        <v>140</v>
      </c>
      <c r="F649" s="12" t="s">
        <v>140</v>
      </c>
      <c r="G649" s="13" t="s">
        <v>140</v>
      </c>
      <c r="H649" s="14" t="s">
        <v>140</v>
      </c>
      <c r="I649" s="15" t="s">
        <v>140</v>
      </c>
      <c r="J649" s="37" t="s">
        <v>195</v>
      </c>
      <c r="K649" s="17"/>
      <c r="L649" s="6" t="s">
        <v>1486</v>
      </c>
      <c r="M649" s="6"/>
      <c r="N649" s="6"/>
      <c r="O649" s="6"/>
      <c r="P649" s="6"/>
      <c r="Q649" s="6"/>
      <c r="R649" s="6"/>
    </row>
    <row r="650" ht="22.5" customHeight="1">
      <c r="A650" s="49"/>
      <c r="B650" s="8" t="s">
        <v>140</v>
      </c>
      <c r="C650" s="35" t="s">
        <v>140</v>
      </c>
      <c r="D650" s="10" t="s">
        <v>140</v>
      </c>
      <c r="E650" s="11" t="s">
        <v>140</v>
      </c>
      <c r="F650" s="12" t="s">
        <v>140</v>
      </c>
      <c r="G650" s="13" t="s">
        <v>140</v>
      </c>
      <c r="H650" s="14" t="s">
        <v>140</v>
      </c>
      <c r="I650" s="15" t="s">
        <v>140</v>
      </c>
      <c r="J650" s="37" t="s">
        <v>195</v>
      </c>
      <c r="K650" s="17"/>
      <c r="L650" s="6" t="s">
        <v>1487</v>
      </c>
      <c r="M650" s="6"/>
      <c r="N650" s="6"/>
      <c r="O650" s="6"/>
      <c r="P650" s="6"/>
      <c r="Q650" s="6"/>
      <c r="R650" s="6"/>
    </row>
    <row r="651" ht="22.5" customHeight="1">
      <c r="A651" s="49"/>
      <c r="B651" s="64">
        <v>0.4952857175958343</v>
      </c>
      <c r="C651" s="9">
        <v>46120.0</v>
      </c>
      <c r="D651" s="10" t="s">
        <v>1040</v>
      </c>
      <c r="E651" s="11" t="s">
        <v>1488</v>
      </c>
      <c r="F651" s="55" t="s">
        <v>1489</v>
      </c>
      <c r="G651" s="13" t="s">
        <v>1490</v>
      </c>
      <c r="H651" s="14">
        <v>1150000.0</v>
      </c>
      <c r="I651" s="15">
        <v>1150000.0</v>
      </c>
      <c r="J651" s="37" t="s">
        <v>26</v>
      </c>
      <c r="K651" s="17"/>
      <c r="L651" s="6" t="s">
        <v>1491</v>
      </c>
      <c r="M651" s="6"/>
      <c r="N651" s="6"/>
      <c r="O651" s="6"/>
      <c r="P651" s="6"/>
      <c r="Q651" s="6"/>
      <c r="R651" s="6"/>
    </row>
    <row r="652" ht="22.5" customHeight="1">
      <c r="A652" s="49"/>
      <c r="B652" s="64">
        <v>0.4972415046286187</v>
      </c>
      <c r="C652" s="9">
        <v>46120.0</v>
      </c>
      <c r="D652" s="10" t="s">
        <v>248</v>
      </c>
      <c r="E652" s="11" t="s">
        <v>1492</v>
      </c>
      <c r="F652" s="43"/>
      <c r="G652" s="13" t="s">
        <v>250</v>
      </c>
      <c r="H652" s="14">
        <v>5000.0</v>
      </c>
      <c r="I652" s="15">
        <v>5000.0</v>
      </c>
      <c r="J652" s="37" t="s">
        <v>26</v>
      </c>
      <c r="K652" s="17"/>
      <c r="L652" s="6" t="s">
        <v>1493</v>
      </c>
      <c r="M652" s="6"/>
      <c r="N652" s="6"/>
      <c r="O652" s="6"/>
      <c r="P652" s="6"/>
      <c r="Q652" s="6"/>
      <c r="R652" s="6"/>
    </row>
    <row r="653" ht="22.5" customHeight="1">
      <c r="A653" s="49"/>
      <c r="B653" s="64">
        <v>0.5318023726867978</v>
      </c>
      <c r="C653" s="9">
        <v>46120.0</v>
      </c>
      <c r="D653" s="10" t="s">
        <v>364</v>
      </c>
      <c r="E653" s="11" t="s">
        <v>1494</v>
      </c>
      <c r="F653" s="43"/>
      <c r="G653" s="13" t="s">
        <v>366</v>
      </c>
      <c r="H653" s="14">
        <v>3000.0</v>
      </c>
      <c r="I653" s="15">
        <v>3000.0</v>
      </c>
      <c r="J653" s="37" t="s">
        <v>26</v>
      </c>
      <c r="K653" s="17"/>
      <c r="L653" s="6" t="s">
        <v>1495</v>
      </c>
      <c r="M653" s="6"/>
      <c r="N653" s="6"/>
      <c r="O653" s="6"/>
      <c r="P653" s="6"/>
      <c r="Q653" s="6"/>
      <c r="R653" s="6"/>
    </row>
    <row r="654" ht="22.5" customHeight="1">
      <c r="A654" s="49"/>
      <c r="B654" s="64">
        <v>0.5610336226818617</v>
      </c>
      <c r="C654" s="9">
        <v>46120.0</v>
      </c>
      <c r="D654" s="10" t="s">
        <v>741</v>
      </c>
      <c r="E654" s="11" t="s">
        <v>1496</v>
      </c>
      <c r="F654" s="43"/>
      <c r="G654" s="70" t="s">
        <v>1497</v>
      </c>
      <c r="H654" s="14">
        <v>3500.0</v>
      </c>
      <c r="I654" s="38"/>
      <c r="J654" s="37" t="s">
        <v>121</v>
      </c>
      <c r="K654" s="17"/>
      <c r="L654" s="6" t="s">
        <v>1498</v>
      </c>
      <c r="M654" s="6"/>
      <c r="N654" s="6"/>
      <c r="O654" s="6"/>
      <c r="P654" s="6"/>
      <c r="Q654" s="6"/>
      <c r="R654" s="6"/>
    </row>
    <row r="655" ht="22.5" customHeight="1">
      <c r="A655" s="49"/>
      <c r="B655" s="36"/>
      <c r="C655" s="9">
        <v>46120.0</v>
      </c>
      <c r="D655" s="10" t="s">
        <v>89</v>
      </c>
      <c r="E655" s="66" t="s">
        <v>1499</v>
      </c>
      <c r="F655" s="55" t="s">
        <v>1425</v>
      </c>
      <c r="G655" s="13" t="s">
        <v>91</v>
      </c>
      <c r="H655" s="14">
        <v>820000.0</v>
      </c>
      <c r="I655" s="15">
        <v>820000.0</v>
      </c>
      <c r="J655" s="37" t="s">
        <v>26</v>
      </c>
      <c r="K655" s="17"/>
      <c r="L655" s="6" t="s">
        <v>1500</v>
      </c>
      <c r="M655" s="6"/>
      <c r="N655" s="6"/>
      <c r="O655" s="6"/>
      <c r="P655" s="6"/>
      <c r="Q655" s="6"/>
      <c r="R655" s="6"/>
    </row>
    <row r="656" ht="22.5" customHeight="1">
      <c r="A656" s="49"/>
      <c r="B656" s="36"/>
      <c r="C656" s="9">
        <v>46120.0</v>
      </c>
      <c r="D656" s="10" t="s">
        <v>46</v>
      </c>
      <c r="E656" s="11" t="s">
        <v>1501</v>
      </c>
      <c r="F656" s="12" t="s">
        <v>1502</v>
      </c>
      <c r="G656" s="13" t="s">
        <v>48</v>
      </c>
      <c r="H656" s="14">
        <v>350000.0</v>
      </c>
      <c r="I656" s="38"/>
      <c r="J656" s="37" t="s">
        <v>988</v>
      </c>
      <c r="K656" s="17"/>
      <c r="L656" s="6" t="s">
        <v>1503</v>
      </c>
      <c r="M656" s="6"/>
      <c r="N656" s="6"/>
      <c r="O656" s="6"/>
      <c r="P656" s="6"/>
      <c r="Q656" s="6"/>
      <c r="R656" s="6"/>
    </row>
    <row r="657" ht="22.5" customHeight="1">
      <c r="A657" s="49"/>
      <c r="B657" s="36"/>
      <c r="C657" s="9">
        <v>46120.0</v>
      </c>
      <c r="D657" s="10" t="s">
        <v>89</v>
      </c>
      <c r="E657" s="11" t="s">
        <v>1504</v>
      </c>
      <c r="F657" s="43"/>
      <c r="G657" s="13" t="s">
        <v>91</v>
      </c>
      <c r="H657" s="14">
        <v>5000.0</v>
      </c>
      <c r="I657" s="15">
        <v>5000.0</v>
      </c>
      <c r="J657" s="37" t="s">
        <v>26</v>
      </c>
      <c r="K657" s="17"/>
      <c r="L657" s="6" t="s">
        <v>1505</v>
      </c>
      <c r="M657" s="6"/>
      <c r="N657" s="6"/>
      <c r="O657" s="6"/>
      <c r="P657" s="6"/>
      <c r="Q657" s="6"/>
      <c r="R657" s="6"/>
    </row>
    <row r="658" ht="22.5" customHeight="1">
      <c r="A658" s="49"/>
      <c r="B658" s="64">
        <v>0.6720027893534279</v>
      </c>
      <c r="C658" s="9">
        <v>46120.0</v>
      </c>
      <c r="D658" s="10" t="s">
        <v>54</v>
      </c>
      <c r="E658" s="11" t="s">
        <v>1506</v>
      </c>
      <c r="F658" s="43"/>
      <c r="G658" s="13" t="s">
        <v>56</v>
      </c>
      <c r="H658" s="14">
        <v>2500.0</v>
      </c>
      <c r="I658" s="15">
        <v>2500.0</v>
      </c>
      <c r="J658" s="37" t="s">
        <v>26</v>
      </c>
      <c r="K658" s="17"/>
      <c r="L658" s="6" t="s">
        <v>1507</v>
      </c>
      <c r="M658" s="6"/>
      <c r="N658" s="6"/>
      <c r="O658" s="6"/>
      <c r="P658" s="6"/>
      <c r="Q658" s="6"/>
      <c r="R658" s="6"/>
    </row>
    <row r="659" ht="22.5" customHeight="1">
      <c r="A659" s="49"/>
      <c r="B659" s="36"/>
      <c r="C659" s="9">
        <v>46120.0</v>
      </c>
      <c r="D659" s="10" t="s">
        <v>1508</v>
      </c>
      <c r="E659" s="11" t="s">
        <v>1509</v>
      </c>
      <c r="F659" s="43"/>
      <c r="G659" s="53" t="str">
        <f>IF(LEN(TRIM(D659))=0,"",IFNA(VLOOKUP(UPPER(TRIM(D659)),'CLIENT DIRECTORY'!A:B,2,FALSE),""))</f>
        <v/>
      </c>
      <c r="H659" s="14"/>
      <c r="I659" s="15"/>
      <c r="J659" s="37" t="s">
        <v>988</v>
      </c>
      <c r="K659" s="17"/>
      <c r="L659" s="6" t="s">
        <v>1510</v>
      </c>
      <c r="M659" s="6"/>
      <c r="N659" s="6"/>
      <c r="O659" s="6"/>
      <c r="P659" s="6"/>
      <c r="Q659" s="6"/>
      <c r="R659" s="6"/>
    </row>
    <row r="660" ht="22.5" customHeight="1">
      <c r="A660" s="49"/>
      <c r="B660" s="8" t="s">
        <v>140</v>
      </c>
      <c r="C660" s="35" t="s">
        <v>140</v>
      </c>
      <c r="D660" s="10" t="s">
        <v>140</v>
      </c>
      <c r="E660" s="11" t="s">
        <v>140</v>
      </c>
      <c r="F660" s="12" t="s">
        <v>140</v>
      </c>
      <c r="G660" s="13" t="s">
        <v>140</v>
      </c>
      <c r="H660" s="14" t="s">
        <v>140</v>
      </c>
      <c r="I660" s="15" t="s">
        <v>140</v>
      </c>
      <c r="J660" s="37" t="s">
        <v>195</v>
      </c>
      <c r="K660" s="17"/>
      <c r="L660" s="6" t="s">
        <v>1511</v>
      </c>
      <c r="M660" s="6"/>
      <c r="N660" s="6"/>
      <c r="O660" s="6"/>
      <c r="P660" s="6"/>
      <c r="Q660" s="6"/>
      <c r="R660" s="6"/>
    </row>
    <row r="661" ht="22.5" customHeight="1">
      <c r="A661" s="49"/>
      <c r="B661" s="8" t="s">
        <v>140</v>
      </c>
      <c r="C661" s="35" t="s">
        <v>140</v>
      </c>
      <c r="D661" s="10" t="s">
        <v>140</v>
      </c>
      <c r="E661" s="11" t="s">
        <v>140</v>
      </c>
      <c r="F661" s="12" t="s">
        <v>140</v>
      </c>
      <c r="G661" s="13" t="s">
        <v>140</v>
      </c>
      <c r="H661" s="14" t="s">
        <v>140</v>
      </c>
      <c r="I661" s="15" t="s">
        <v>140</v>
      </c>
      <c r="J661" s="37" t="s">
        <v>195</v>
      </c>
      <c r="K661" s="17"/>
      <c r="L661" s="6" t="s">
        <v>1512</v>
      </c>
      <c r="M661" s="6"/>
      <c r="N661" s="6"/>
      <c r="O661" s="6"/>
      <c r="P661" s="6"/>
      <c r="Q661" s="6"/>
      <c r="R661" s="6"/>
    </row>
    <row r="662" ht="22.5" customHeight="1">
      <c r="A662" s="49"/>
      <c r="B662" s="8" t="s">
        <v>140</v>
      </c>
      <c r="C662" s="35" t="s">
        <v>140</v>
      </c>
      <c r="D662" s="10" t="s">
        <v>140</v>
      </c>
      <c r="E662" s="11" t="s">
        <v>140</v>
      </c>
      <c r="F662" s="12" t="s">
        <v>140</v>
      </c>
      <c r="G662" s="13" t="s">
        <v>140</v>
      </c>
      <c r="H662" s="14" t="s">
        <v>140</v>
      </c>
      <c r="I662" s="15" t="s">
        <v>140</v>
      </c>
      <c r="J662" s="37" t="s">
        <v>195</v>
      </c>
      <c r="K662" s="17"/>
      <c r="L662" s="6" t="s">
        <v>1513</v>
      </c>
      <c r="M662" s="6"/>
      <c r="N662" s="6"/>
      <c r="O662" s="6"/>
      <c r="P662" s="6"/>
      <c r="Q662" s="6"/>
      <c r="R662" s="6"/>
    </row>
    <row r="663" ht="22.5" customHeight="1">
      <c r="A663" s="49"/>
      <c r="B663" s="64">
        <v>0.46094256944343215</v>
      </c>
      <c r="C663" s="9">
        <v>46121.0</v>
      </c>
      <c r="D663" s="10" t="s">
        <v>254</v>
      </c>
      <c r="E663" s="11" t="s">
        <v>1401</v>
      </c>
      <c r="F663" s="43"/>
      <c r="G663" s="70" t="s">
        <v>1514</v>
      </c>
      <c r="H663" s="14">
        <v>2500.0</v>
      </c>
      <c r="I663" s="15">
        <v>2500.0</v>
      </c>
      <c r="J663" s="37" t="s">
        <v>26</v>
      </c>
      <c r="K663" s="17"/>
      <c r="L663" s="6" t="s">
        <v>1515</v>
      </c>
      <c r="M663" s="6"/>
      <c r="N663" s="6"/>
      <c r="O663" s="6"/>
      <c r="P663" s="6"/>
      <c r="Q663" s="6"/>
      <c r="R663" s="6"/>
    </row>
    <row r="664" ht="22.5" customHeight="1">
      <c r="A664" s="49"/>
      <c r="B664" s="64">
        <v>0.5271487615755177</v>
      </c>
      <c r="C664" s="9">
        <v>46121.0</v>
      </c>
      <c r="D664" s="10" t="s">
        <v>254</v>
      </c>
      <c r="E664" s="11" t="s">
        <v>1516</v>
      </c>
      <c r="F664" s="43"/>
      <c r="G664" s="70" t="s">
        <v>1514</v>
      </c>
      <c r="H664" s="14">
        <v>5000.0</v>
      </c>
      <c r="I664" s="15">
        <v>5000.0</v>
      </c>
      <c r="J664" s="37" t="s">
        <v>26</v>
      </c>
      <c r="K664" s="17"/>
      <c r="L664" s="6" t="s">
        <v>1517</v>
      </c>
      <c r="M664" s="6"/>
      <c r="N664" s="6"/>
      <c r="O664" s="6"/>
      <c r="P664" s="6"/>
      <c r="Q664" s="6"/>
      <c r="R664" s="6"/>
    </row>
    <row r="665" ht="22.5" customHeight="1">
      <c r="A665" s="49"/>
      <c r="B665" s="64">
        <v>0.533087256946601</v>
      </c>
      <c r="C665" s="9">
        <v>46121.0</v>
      </c>
      <c r="D665" s="10" t="s">
        <v>424</v>
      </c>
      <c r="E665" s="11" t="s">
        <v>1518</v>
      </c>
      <c r="F665" s="43"/>
      <c r="G665" s="13" t="s">
        <v>1519</v>
      </c>
      <c r="H665" s="14">
        <v>2500.0</v>
      </c>
      <c r="I665" s="15">
        <v>2500.0</v>
      </c>
      <c r="J665" s="37" t="s">
        <v>26</v>
      </c>
      <c r="K665" s="17"/>
      <c r="L665" s="6" t="s">
        <v>1520</v>
      </c>
      <c r="M665" s="6"/>
      <c r="N665" s="6"/>
      <c r="O665" s="6"/>
      <c r="P665" s="6"/>
      <c r="Q665" s="6"/>
      <c r="R665" s="6"/>
    </row>
    <row r="666" ht="22.5" customHeight="1">
      <c r="A666" s="49"/>
      <c r="B666" s="64">
        <v>0.5755267592612654</v>
      </c>
      <c r="C666" s="9">
        <v>46121.0</v>
      </c>
      <c r="D666" s="10" t="s">
        <v>851</v>
      </c>
      <c r="E666" s="11" t="s">
        <v>1521</v>
      </c>
      <c r="F666" s="43"/>
      <c r="G666" s="13" t="s">
        <v>853</v>
      </c>
      <c r="H666" s="14">
        <v>5000.0</v>
      </c>
      <c r="I666" s="15">
        <v>5000.0</v>
      </c>
      <c r="J666" s="37" t="s">
        <v>26</v>
      </c>
      <c r="K666" s="17"/>
      <c r="L666" s="6" t="s">
        <v>1522</v>
      </c>
      <c r="M666" s="6"/>
      <c r="N666" s="6"/>
      <c r="O666" s="6"/>
      <c r="P666" s="6"/>
      <c r="Q666" s="6"/>
      <c r="R666" s="6"/>
    </row>
    <row r="667" ht="22.5" customHeight="1">
      <c r="A667" s="49"/>
      <c r="B667" s="64">
        <v>0.5930467476864578</v>
      </c>
      <c r="C667" s="9">
        <v>46121.0</v>
      </c>
      <c r="D667" s="10" t="s">
        <v>1523</v>
      </c>
      <c r="E667" s="11" t="s">
        <v>1524</v>
      </c>
      <c r="F667" s="43"/>
      <c r="G667" s="13" t="s">
        <v>1525</v>
      </c>
      <c r="H667" s="14">
        <v>30000.0</v>
      </c>
      <c r="I667" s="15">
        <v>30000.0</v>
      </c>
      <c r="J667" s="37" t="s">
        <v>26</v>
      </c>
      <c r="K667" s="17"/>
      <c r="L667" s="6" t="s">
        <v>1526</v>
      </c>
      <c r="M667" s="6"/>
      <c r="N667" s="6"/>
      <c r="O667" s="6"/>
      <c r="P667" s="6"/>
      <c r="Q667" s="6"/>
      <c r="R667" s="6"/>
    </row>
    <row r="668" ht="22.5" customHeight="1">
      <c r="A668" s="49"/>
      <c r="B668" s="64">
        <v>0.6920337037008721</v>
      </c>
      <c r="C668" s="9">
        <v>46121.0</v>
      </c>
      <c r="D668" s="10" t="s">
        <v>408</v>
      </c>
      <c r="E668" s="11" t="s">
        <v>1527</v>
      </c>
      <c r="F668" s="43"/>
      <c r="G668" s="13" t="s">
        <v>411</v>
      </c>
      <c r="H668" s="14">
        <v>2500.0</v>
      </c>
      <c r="I668" s="38"/>
      <c r="J668" s="37" t="s">
        <v>121</v>
      </c>
      <c r="K668" s="17"/>
      <c r="L668" s="6" t="s">
        <v>1528</v>
      </c>
      <c r="M668" s="6"/>
      <c r="N668" s="6"/>
      <c r="O668" s="6"/>
      <c r="P668" s="6"/>
      <c r="Q668" s="6"/>
      <c r="R668" s="6"/>
    </row>
    <row r="669" ht="22.5" customHeight="1">
      <c r="A669" s="49"/>
      <c r="B669" s="64">
        <v>0.6927215277828509</v>
      </c>
      <c r="C669" s="9">
        <v>46121.0</v>
      </c>
      <c r="D669" s="10" t="s">
        <v>993</v>
      </c>
      <c r="E669" s="11" t="s">
        <v>1529</v>
      </c>
      <c r="F669" s="43"/>
      <c r="G669" s="13" t="s">
        <v>995</v>
      </c>
      <c r="H669" s="14">
        <v>3000.0</v>
      </c>
      <c r="I669" s="15">
        <v>3000.0</v>
      </c>
      <c r="J669" s="37" t="s">
        <v>26</v>
      </c>
      <c r="K669" s="17"/>
      <c r="L669" s="6" t="s">
        <v>1530</v>
      </c>
      <c r="M669" s="6"/>
      <c r="N669" s="6"/>
      <c r="O669" s="6"/>
      <c r="P669" s="6"/>
      <c r="Q669" s="6"/>
      <c r="R669" s="6"/>
    </row>
    <row r="670" ht="22.5" customHeight="1">
      <c r="A670" s="49"/>
      <c r="B670" s="64">
        <v>0.6949735763919307</v>
      </c>
      <c r="C670" s="9">
        <v>46121.0</v>
      </c>
      <c r="D670" s="10" t="s">
        <v>18</v>
      </c>
      <c r="E670" s="11" t="s">
        <v>1531</v>
      </c>
      <c r="F670" s="43"/>
      <c r="G670" s="13" t="s">
        <v>20</v>
      </c>
      <c r="H670" s="14">
        <v>1750000.0</v>
      </c>
      <c r="I670" s="15">
        <v>0.0</v>
      </c>
      <c r="J670" s="37" t="s">
        <v>103</v>
      </c>
      <c r="K670" s="17"/>
      <c r="L670" s="6" t="s">
        <v>1532</v>
      </c>
      <c r="M670" s="6"/>
      <c r="N670" s="6"/>
      <c r="O670" s="6"/>
      <c r="P670" s="6"/>
      <c r="Q670" s="6"/>
      <c r="R670" s="6"/>
    </row>
    <row r="671" ht="22.5" customHeight="1">
      <c r="A671" s="49"/>
      <c r="B671" s="64">
        <v>0.7015384143523988</v>
      </c>
      <c r="C671" s="9">
        <v>46121.0</v>
      </c>
      <c r="D671" s="10" t="s">
        <v>1302</v>
      </c>
      <c r="E671" s="11" t="s">
        <v>1533</v>
      </c>
      <c r="F671" s="43"/>
      <c r="G671" s="13" t="s">
        <v>889</v>
      </c>
      <c r="H671" s="14">
        <v>2500.0</v>
      </c>
      <c r="I671" s="15">
        <v>2500.0</v>
      </c>
      <c r="J671" s="37" t="s">
        <v>26</v>
      </c>
      <c r="K671" s="17"/>
      <c r="L671" s="6" t="s">
        <v>1534</v>
      </c>
      <c r="M671" s="6"/>
      <c r="N671" s="6"/>
      <c r="O671" s="6"/>
      <c r="P671" s="6"/>
      <c r="Q671" s="6"/>
      <c r="R671" s="6"/>
    </row>
    <row r="672" ht="22.5" customHeight="1">
      <c r="A672" s="49"/>
      <c r="B672" s="64">
        <v>0.7573623495409265</v>
      </c>
      <c r="C672" s="9">
        <v>46121.0</v>
      </c>
      <c r="D672" s="10" t="s">
        <v>198</v>
      </c>
      <c r="E672" s="11" t="s">
        <v>1535</v>
      </c>
      <c r="F672" s="43"/>
      <c r="G672" s="13" t="s">
        <v>1536</v>
      </c>
      <c r="H672" s="14">
        <v>2500.0</v>
      </c>
      <c r="I672" s="15">
        <v>2500.0</v>
      </c>
      <c r="J672" s="37" t="s">
        <v>26</v>
      </c>
      <c r="K672" s="17"/>
      <c r="L672" s="6" t="s">
        <v>1537</v>
      </c>
      <c r="M672" s="6"/>
      <c r="N672" s="6"/>
      <c r="O672" s="6"/>
      <c r="P672" s="6"/>
      <c r="Q672" s="6"/>
      <c r="R672" s="6"/>
    </row>
    <row r="673" ht="22.5" customHeight="1">
      <c r="A673" s="49"/>
      <c r="B673" s="8" t="s">
        <v>140</v>
      </c>
      <c r="C673" s="35" t="s">
        <v>140</v>
      </c>
      <c r="D673" s="10" t="s">
        <v>140</v>
      </c>
      <c r="E673" s="11" t="s">
        <v>140</v>
      </c>
      <c r="F673" s="12" t="s">
        <v>140</v>
      </c>
      <c r="G673" s="13" t="s">
        <v>140</v>
      </c>
      <c r="H673" s="14" t="s">
        <v>140</v>
      </c>
      <c r="I673" s="15" t="s">
        <v>140</v>
      </c>
      <c r="J673" s="37" t="s">
        <v>140</v>
      </c>
      <c r="K673" s="17"/>
      <c r="L673" s="6" t="s">
        <v>1538</v>
      </c>
      <c r="M673" s="6"/>
      <c r="N673" s="6"/>
      <c r="O673" s="6"/>
      <c r="P673" s="6"/>
      <c r="Q673" s="6"/>
      <c r="R673" s="6"/>
    </row>
    <row r="674" ht="22.5" customHeight="1">
      <c r="A674" s="49"/>
      <c r="B674" s="8" t="s">
        <v>140</v>
      </c>
      <c r="C674" s="35" t="s">
        <v>140</v>
      </c>
      <c r="D674" s="10" t="s">
        <v>140</v>
      </c>
      <c r="E674" s="11" t="s">
        <v>140</v>
      </c>
      <c r="F674" s="12" t="s">
        <v>140</v>
      </c>
      <c r="G674" s="13" t="s">
        <v>140</v>
      </c>
      <c r="H674" s="14" t="s">
        <v>140</v>
      </c>
      <c r="I674" s="15" t="s">
        <v>140</v>
      </c>
      <c r="J674" s="37" t="s">
        <v>140</v>
      </c>
      <c r="K674" s="17"/>
      <c r="L674" s="6" t="s">
        <v>1539</v>
      </c>
      <c r="M674" s="6"/>
      <c r="N674" s="6"/>
      <c r="O674" s="6"/>
      <c r="P674" s="6"/>
      <c r="Q674" s="6"/>
      <c r="R674" s="6"/>
    </row>
    <row r="675" ht="22.5" customHeight="1">
      <c r="A675" s="49"/>
      <c r="B675" s="8" t="s">
        <v>140</v>
      </c>
      <c r="C675" s="35" t="s">
        <v>140</v>
      </c>
      <c r="D675" s="10" t="s">
        <v>140</v>
      </c>
      <c r="E675" s="11" t="s">
        <v>140</v>
      </c>
      <c r="F675" s="12" t="s">
        <v>140</v>
      </c>
      <c r="G675" s="13" t="s">
        <v>140</v>
      </c>
      <c r="H675" s="14" t="s">
        <v>140</v>
      </c>
      <c r="I675" s="15" t="s">
        <v>140</v>
      </c>
      <c r="J675" s="37" t="s">
        <v>140</v>
      </c>
      <c r="K675" s="17"/>
      <c r="L675" s="6" t="s">
        <v>1540</v>
      </c>
      <c r="M675" s="6"/>
      <c r="N675" s="6"/>
      <c r="O675" s="6"/>
      <c r="P675" s="6"/>
      <c r="Q675" s="6"/>
      <c r="R675" s="6"/>
    </row>
    <row r="676" ht="22.5" customHeight="1">
      <c r="A676" s="49"/>
      <c r="B676" s="8" t="s">
        <v>140</v>
      </c>
      <c r="C676" s="35" t="s">
        <v>140</v>
      </c>
      <c r="D676" s="10" t="s">
        <v>140</v>
      </c>
      <c r="E676" s="11" t="s">
        <v>140</v>
      </c>
      <c r="F676" s="12" t="s">
        <v>140</v>
      </c>
      <c r="G676" s="13" t="s">
        <v>140</v>
      </c>
      <c r="H676" s="14" t="s">
        <v>140</v>
      </c>
      <c r="I676" s="15" t="s">
        <v>140</v>
      </c>
      <c r="J676" s="37" t="s">
        <v>140</v>
      </c>
      <c r="K676" s="17"/>
      <c r="L676" s="6" t="s">
        <v>1541</v>
      </c>
      <c r="M676" s="6"/>
      <c r="N676" s="6"/>
      <c r="O676" s="6"/>
      <c r="P676" s="6"/>
      <c r="Q676" s="6"/>
      <c r="R676" s="6"/>
    </row>
    <row r="677" ht="22.5" customHeight="1">
      <c r="A677" s="49"/>
      <c r="B677" s="64">
        <v>0.4415897106518969</v>
      </c>
      <c r="C677" s="9">
        <v>46122.0</v>
      </c>
      <c r="D677" s="10" t="s">
        <v>306</v>
      </c>
      <c r="E677" s="11" t="s">
        <v>1542</v>
      </c>
      <c r="F677" s="43"/>
      <c r="G677" s="13" t="s">
        <v>1543</v>
      </c>
      <c r="H677" s="14">
        <v>3000.0</v>
      </c>
      <c r="I677" s="15">
        <v>3000.0</v>
      </c>
      <c r="J677" s="37" t="s">
        <v>26</v>
      </c>
      <c r="K677" s="17"/>
      <c r="L677" s="6" t="s">
        <v>1544</v>
      </c>
      <c r="M677" s="6"/>
      <c r="N677" s="6"/>
      <c r="O677" s="6"/>
      <c r="P677" s="6"/>
      <c r="Q677" s="6"/>
      <c r="R677" s="6"/>
    </row>
    <row r="678" ht="22.5" customHeight="1">
      <c r="A678" s="49"/>
      <c r="B678" s="64">
        <v>0.4498656018549809</v>
      </c>
      <c r="C678" s="9">
        <v>46122.0</v>
      </c>
      <c r="D678" s="10" t="s">
        <v>93</v>
      </c>
      <c r="E678" s="11" t="s">
        <v>1545</v>
      </c>
      <c r="F678" s="43"/>
      <c r="G678" s="13" t="s">
        <v>95</v>
      </c>
      <c r="H678" s="14">
        <v>2500.0</v>
      </c>
      <c r="I678" s="15">
        <v>2500.0</v>
      </c>
      <c r="J678" s="37" t="s">
        <v>26</v>
      </c>
      <c r="K678" s="17"/>
      <c r="L678" s="6" t="s">
        <v>1546</v>
      </c>
      <c r="M678" s="6"/>
      <c r="N678" s="6"/>
      <c r="O678" s="6"/>
      <c r="P678" s="6"/>
      <c r="Q678" s="6"/>
      <c r="R678" s="6"/>
    </row>
    <row r="679" ht="22.5" customHeight="1">
      <c r="A679" s="49"/>
      <c r="B679" s="64">
        <v>0.45627170139050577</v>
      </c>
      <c r="C679" s="9">
        <v>46122.0</v>
      </c>
      <c r="D679" s="10" t="s">
        <v>236</v>
      </c>
      <c r="E679" s="11" t="s">
        <v>1547</v>
      </c>
      <c r="F679" s="43"/>
      <c r="G679" s="13" t="s">
        <v>237</v>
      </c>
      <c r="H679" s="14">
        <v>2500.0</v>
      </c>
      <c r="I679" s="15">
        <v>2500.0</v>
      </c>
      <c r="J679" s="37" t="s">
        <v>26</v>
      </c>
      <c r="K679" s="17"/>
      <c r="L679" s="6" t="s">
        <v>1548</v>
      </c>
      <c r="M679" s="6"/>
      <c r="N679" s="6"/>
      <c r="O679" s="6"/>
      <c r="P679" s="6"/>
      <c r="Q679" s="6"/>
      <c r="R679" s="6"/>
    </row>
    <row r="680" ht="22.5" customHeight="1">
      <c r="A680" s="49"/>
      <c r="B680" s="64">
        <v>0.4791878009273205</v>
      </c>
      <c r="C680" s="9">
        <v>46122.0</v>
      </c>
      <c r="D680" s="10" t="s">
        <v>50</v>
      </c>
      <c r="E680" s="11" t="s">
        <v>1549</v>
      </c>
      <c r="F680" s="43"/>
      <c r="G680" s="13" t="s">
        <v>52</v>
      </c>
      <c r="H680" s="14">
        <v>2500.0</v>
      </c>
      <c r="I680" s="38"/>
      <c r="J680" s="37" t="s">
        <v>121</v>
      </c>
      <c r="K680" s="17"/>
      <c r="L680" s="6" t="s">
        <v>1550</v>
      </c>
      <c r="M680" s="6"/>
      <c r="N680" s="6"/>
      <c r="O680" s="6"/>
      <c r="P680" s="6"/>
      <c r="Q680" s="6"/>
      <c r="R680" s="6"/>
    </row>
    <row r="681" ht="22.5" customHeight="1">
      <c r="A681" s="49"/>
      <c r="B681" s="64">
        <v>0.5392505787021946</v>
      </c>
      <c r="C681" s="9">
        <v>46122.0</v>
      </c>
      <c r="D681" s="10" t="s">
        <v>54</v>
      </c>
      <c r="E681" s="11" t="s">
        <v>1462</v>
      </c>
      <c r="F681" s="43"/>
      <c r="G681" s="13" t="s">
        <v>56</v>
      </c>
      <c r="H681" s="14">
        <v>2500.0</v>
      </c>
      <c r="I681" s="15">
        <v>2500.0</v>
      </c>
      <c r="J681" s="37" t="s">
        <v>26</v>
      </c>
      <c r="K681" s="17"/>
      <c r="L681" s="6" t="s">
        <v>1551</v>
      </c>
      <c r="M681" s="6"/>
      <c r="N681" s="6"/>
      <c r="O681" s="6"/>
      <c r="P681" s="6"/>
      <c r="Q681" s="6"/>
      <c r="R681" s="6"/>
    </row>
    <row r="682" ht="22.5" customHeight="1">
      <c r="A682" s="49"/>
      <c r="B682" s="64">
        <v>0.62651932870358</v>
      </c>
      <c r="C682" s="71">
        <v>46122.0</v>
      </c>
      <c r="D682" s="10" t="s">
        <v>741</v>
      </c>
      <c r="E682" s="11" t="s">
        <v>1552</v>
      </c>
      <c r="F682" s="43"/>
      <c r="G682" s="13" t="s">
        <v>1497</v>
      </c>
      <c r="H682" s="14">
        <v>3000.0</v>
      </c>
      <c r="I682" s="15">
        <v>3000.0</v>
      </c>
      <c r="J682" s="37" t="s">
        <v>26</v>
      </c>
      <c r="K682" s="17"/>
      <c r="L682" s="6" t="s">
        <v>1553</v>
      </c>
      <c r="M682" s="6"/>
      <c r="N682" s="6"/>
      <c r="O682" s="6"/>
      <c r="P682" s="6"/>
      <c r="Q682" s="6"/>
      <c r="R682" s="6"/>
    </row>
    <row r="683" ht="22.5" customHeight="1">
      <c r="A683" s="49"/>
      <c r="B683" s="72">
        <v>0.6590277777777778</v>
      </c>
      <c r="C683" s="71">
        <v>46122.0</v>
      </c>
      <c r="D683" s="10" t="s">
        <v>236</v>
      </c>
      <c r="E683" s="11" t="s">
        <v>1554</v>
      </c>
      <c r="F683" s="43"/>
      <c r="G683" s="13" t="s">
        <v>237</v>
      </c>
      <c r="H683" s="14">
        <v>2500.0</v>
      </c>
      <c r="I683" s="15">
        <v>2500.0</v>
      </c>
      <c r="J683" s="37" t="s">
        <v>26</v>
      </c>
      <c r="K683" s="17"/>
      <c r="L683" s="6" t="s">
        <v>1555</v>
      </c>
      <c r="M683" s="6"/>
      <c r="N683" s="6"/>
      <c r="O683" s="6"/>
      <c r="P683" s="6"/>
      <c r="Q683" s="6"/>
      <c r="R683" s="6"/>
    </row>
    <row r="684" ht="22.5" customHeight="1">
      <c r="A684" s="49"/>
      <c r="B684" s="72">
        <v>0.6645833333333333</v>
      </c>
      <c r="C684" s="71">
        <v>46122.0</v>
      </c>
      <c r="D684" s="10" t="s">
        <v>1556</v>
      </c>
      <c r="E684" s="11" t="s">
        <v>1557</v>
      </c>
      <c r="F684" s="12" t="s">
        <v>1558</v>
      </c>
      <c r="G684" s="13" t="s">
        <v>1559</v>
      </c>
      <c r="H684" s="14">
        <v>0.0</v>
      </c>
      <c r="I684" s="15">
        <v>0.0</v>
      </c>
      <c r="J684" s="37" t="s">
        <v>103</v>
      </c>
      <c r="K684" s="17"/>
      <c r="L684" s="6" t="s">
        <v>1560</v>
      </c>
      <c r="M684" s="6"/>
      <c r="N684" s="6"/>
      <c r="O684" s="6"/>
      <c r="P684" s="6"/>
      <c r="Q684" s="6"/>
      <c r="R684" s="6"/>
    </row>
    <row r="685" ht="22.5" customHeight="1">
      <c r="A685" s="49"/>
      <c r="B685" s="72">
        <v>0.6666666666666666</v>
      </c>
      <c r="C685" s="71">
        <v>46122.0</v>
      </c>
      <c r="D685" s="10" t="s">
        <v>620</v>
      </c>
      <c r="E685" s="11" t="s">
        <v>1114</v>
      </c>
      <c r="F685" s="43"/>
      <c r="G685" s="13" t="s">
        <v>622</v>
      </c>
      <c r="H685" s="14">
        <v>5000.0</v>
      </c>
      <c r="I685" s="15">
        <v>5000.0</v>
      </c>
      <c r="J685" s="37" t="s">
        <v>26</v>
      </c>
      <c r="K685" s="17"/>
      <c r="L685" s="6" t="s">
        <v>1561</v>
      </c>
      <c r="M685" s="6"/>
      <c r="N685" s="6"/>
      <c r="O685" s="6"/>
      <c r="P685" s="6"/>
      <c r="Q685" s="6"/>
      <c r="R685" s="6"/>
    </row>
    <row r="686" ht="22.5" customHeight="1">
      <c r="A686" s="49"/>
      <c r="B686" s="72">
        <v>0.7201388888888889</v>
      </c>
      <c r="C686" s="71">
        <v>46122.0</v>
      </c>
      <c r="D686" s="10" t="s">
        <v>1562</v>
      </c>
      <c r="E686" s="11" t="s">
        <v>1563</v>
      </c>
      <c r="F686" s="12" t="s">
        <v>1564</v>
      </c>
      <c r="G686" s="13" t="s">
        <v>1565</v>
      </c>
      <c r="H686" s="14">
        <v>580000.0</v>
      </c>
      <c r="I686" s="15"/>
      <c r="J686" s="37" t="s">
        <v>103</v>
      </c>
      <c r="K686" s="17"/>
      <c r="L686" s="6" t="s">
        <v>1566</v>
      </c>
      <c r="M686" s="6"/>
      <c r="N686" s="6"/>
      <c r="O686" s="6"/>
      <c r="P686" s="6"/>
      <c r="Q686" s="6"/>
      <c r="R686" s="6"/>
    </row>
    <row r="687" ht="22.5" customHeight="1">
      <c r="A687" s="49"/>
      <c r="B687" s="72">
        <v>0.7486111111111111</v>
      </c>
      <c r="C687" s="71">
        <v>46122.0</v>
      </c>
      <c r="D687" s="10" t="s">
        <v>1154</v>
      </c>
      <c r="E687" s="11" t="s">
        <v>1567</v>
      </c>
      <c r="F687" s="43"/>
      <c r="G687" s="13" t="s">
        <v>1157</v>
      </c>
      <c r="H687" s="14">
        <v>2500.0</v>
      </c>
      <c r="I687" s="15">
        <v>0.0</v>
      </c>
      <c r="J687" s="37" t="s">
        <v>121</v>
      </c>
      <c r="K687" s="17"/>
      <c r="L687" s="6" t="s">
        <v>1568</v>
      </c>
      <c r="M687" s="6"/>
      <c r="N687" s="6"/>
      <c r="O687" s="6"/>
      <c r="P687" s="6"/>
      <c r="Q687" s="6"/>
      <c r="R687" s="6"/>
    </row>
    <row r="688" ht="22.5" customHeight="1">
      <c r="A688" s="49"/>
      <c r="B688" s="72">
        <v>0.7805555555555556</v>
      </c>
      <c r="C688" s="71">
        <v>46122.0</v>
      </c>
      <c r="D688" s="10" t="s">
        <v>1569</v>
      </c>
      <c r="E688" s="11" t="s">
        <v>501</v>
      </c>
      <c r="F688" s="12" t="s">
        <v>1570</v>
      </c>
      <c r="G688" s="13" t="s">
        <v>1571</v>
      </c>
      <c r="H688" s="14">
        <v>1000000.0</v>
      </c>
      <c r="I688" s="15">
        <v>1000000.0</v>
      </c>
      <c r="J688" s="37" t="s">
        <v>26</v>
      </c>
      <c r="K688" s="17"/>
      <c r="L688" s="6" t="s">
        <v>1572</v>
      </c>
      <c r="M688" s="6"/>
      <c r="N688" s="6"/>
      <c r="O688" s="6"/>
      <c r="P688" s="6"/>
      <c r="Q688" s="6"/>
      <c r="R688" s="6"/>
    </row>
    <row r="689" ht="22.5" customHeight="1">
      <c r="A689" s="49"/>
      <c r="B689" s="36"/>
      <c r="C689" s="35" t="s">
        <v>195</v>
      </c>
      <c r="D689" s="10" t="s">
        <v>195</v>
      </c>
      <c r="E689" s="11" t="s">
        <v>195</v>
      </c>
      <c r="F689" s="12" t="s">
        <v>195</v>
      </c>
      <c r="G689" s="13" t="s">
        <v>195</v>
      </c>
      <c r="H689" s="14" t="s">
        <v>195</v>
      </c>
      <c r="I689" s="15" t="s">
        <v>195</v>
      </c>
      <c r="J689" s="37" t="s">
        <v>195</v>
      </c>
      <c r="K689" s="17"/>
      <c r="L689" s="6" t="s">
        <v>1573</v>
      </c>
      <c r="M689" s="6"/>
      <c r="N689" s="6"/>
      <c r="O689" s="6"/>
      <c r="P689" s="6"/>
      <c r="Q689" s="6"/>
      <c r="R689" s="6"/>
    </row>
    <row r="690" ht="22.5" customHeight="1">
      <c r="A690" s="49"/>
      <c r="B690" s="36"/>
      <c r="C690" s="35" t="s">
        <v>195</v>
      </c>
      <c r="D690" s="10" t="s">
        <v>195</v>
      </c>
      <c r="E690" s="11" t="s">
        <v>195</v>
      </c>
      <c r="F690" s="12" t="s">
        <v>195</v>
      </c>
      <c r="G690" s="13" t="s">
        <v>195</v>
      </c>
      <c r="H690" s="14" t="s">
        <v>195</v>
      </c>
      <c r="I690" s="15" t="s">
        <v>195</v>
      </c>
      <c r="J690" s="37" t="s">
        <v>195</v>
      </c>
      <c r="K690" s="17"/>
      <c r="L690" s="6" t="s">
        <v>1574</v>
      </c>
      <c r="M690" s="6"/>
      <c r="N690" s="6"/>
      <c r="O690" s="6"/>
      <c r="P690" s="6"/>
      <c r="Q690" s="6"/>
      <c r="R690" s="6"/>
    </row>
    <row r="691" ht="22.5" customHeight="1">
      <c r="A691" s="49"/>
      <c r="B691" s="64">
        <v>0.449346157402033</v>
      </c>
      <c r="C691" s="9">
        <v>46123.0</v>
      </c>
      <c r="D691" s="10" t="s">
        <v>473</v>
      </c>
      <c r="E691" s="11" t="s">
        <v>1575</v>
      </c>
      <c r="F691" s="43"/>
      <c r="G691" s="70" t="s">
        <v>1576</v>
      </c>
      <c r="H691" s="14">
        <v>120000.0</v>
      </c>
      <c r="I691" s="15">
        <v>120000.0</v>
      </c>
      <c r="J691" s="37" t="s">
        <v>26</v>
      </c>
      <c r="K691" s="17"/>
      <c r="L691" s="6" t="s">
        <v>1577</v>
      </c>
      <c r="M691" s="6"/>
      <c r="N691" s="6"/>
      <c r="O691" s="6"/>
      <c r="P691" s="6"/>
      <c r="Q691" s="6"/>
      <c r="R691" s="6"/>
    </row>
    <row r="692" ht="22.5" customHeight="1">
      <c r="A692" s="49"/>
      <c r="B692" s="64">
        <v>0.4588410185169778</v>
      </c>
      <c r="C692" s="9">
        <v>46123.0</v>
      </c>
      <c r="D692" s="10" t="s">
        <v>248</v>
      </c>
      <c r="E692" s="11" t="s">
        <v>1521</v>
      </c>
      <c r="F692" s="43"/>
      <c r="G692" s="13" t="s">
        <v>250</v>
      </c>
      <c r="H692" s="14">
        <v>2000.0</v>
      </c>
      <c r="I692" s="15">
        <v>2000.0</v>
      </c>
      <c r="J692" s="37" t="s">
        <v>26</v>
      </c>
      <c r="K692" s="17"/>
      <c r="L692" s="6" t="s">
        <v>1578</v>
      </c>
      <c r="M692" s="6"/>
      <c r="N692" s="6"/>
      <c r="O692" s="6"/>
      <c r="P692" s="6"/>
      <c r="Q692" s="6"/>
      <c r="R692" s="6"/>
    </row>
    <row r="693" ht="22.5" customHeight="1">
      <c r="A693" s="49"/>
      <c r="B693" s="72">
        <v>0.4326388888888889</v>
      </c>
      <c r="C693" s="71">
        <v>46123.0</v>
      </c>
      <c r="D693" s="10" t="s">
        <v>1579</v>
      </c>
      <c r="E693" s="11" t="s">
        <v>1580</v>
      </c>
      <c r="F693" s="43"/>
      <c r="G693" s="13" t="s">
        <v>1581</v>
      </c>
      <c r="H693" s="14">
        <v>5666.0</v>
      </c>
      <c r="I693" s="15">
        <v>0.0</v>
      </c>
      <c r="J693" s="37" t="s">
        <v>103</v>
      </c>
      <c r="K693" s="17"/>
      <c r="L693" s="6" t="s">
        <v>1582</v>
      </c>
      <c r="M693" s="6"/>
      <c r="N693" s="6"/>
      <c r="O693" s="6"/>
      <c r="P693" s="6"/>
      <c r="Q693" s="6"/>
      <c r="R693" s="6"/>
    </row>
    <row r="694" ht="22.5" customHeight="1">
      <c r="A694" s="49"/>
      <c r="B694" s="72">
        <v>0.43333333333333335</v>
      </c>
      <c r="C694" s="71">
        <v>46123.0</v>
      </c>
      <c r="D694" s="10" t="s">
        <v>1583</v>
      </c>
      <c r="E694" s="11" t="s">
        <v>1584</v>
      </c>
      <c r="F694" s="43"/>
      <c r="G694" s="13" t="s">
        <v>1585</v>
      </c>
      <c r="H694" s="14">
        <v>1.0E11</v>
      </c>
      <c r="I694" s="15">
        <v>0.0</v>
      </c>
      <c r="J694" s="37" t="s">
        <v>103</v>
      </c>
      <c r="K694" s="17"/>
      <c r="L694" s="6" t="s">
        <v>1586</v>
      </c>
      <c r="M694" s="6"/>
      <c r="N694" s="6"/>
      <c r="O694" s="6"/>
      <c r="P694" s="6"/>
      <c r="Q694" s="6"/>
      <c r="R694" s="6"/>
    </row>
    <row r="695" ht="22.5" customHeight="1">
      <c r="A695" s="49"/>
      <c r="B695" s="72">
        <v>0.4527777777777778</v>
      </c>
      <c r="C695" s="71">
        <v>46123.0</v>
      </c>
      <c r="D695" s="10" t="s">
        <v>300</v>
      </c>
      <c r="E695" s="11" t="s">
        <v>1587</v>
      </c>
      <c r="F695" s="43"/>
      <c r="G695" s="13" t="s">
        <v>302</v>
      </c>
      <c r="H695" s="14">
        <v>3000.0</v>
      </c>
      <c r="I695" s="15">
        <v>0.0</v>
      </c>
      <c r="J695" s="37" t="s">
        <v>121</v>
      </c>
      <c r="K695" s="17"/>
      <c r="L695" s="6" t="s">
        <v>1588</v>
      </c>
      <c r="M695" s="6"/>
      <c r="N695" s="6"/>
      <c r="O695" s="6"/>
      <c r="P695" s="6"/>
      <c r="Q695" s="6"/>
      <c r="R695" s="6"/>
    </row>
    <row r="696" ht="22.5" customHeight="1">
      <c r="A696" s="49"/>
      <c r="B696" s="72">
        <v>0.49166666666666664</v>
      </c>
      <c r="C696" s="71">
        <v>46123.0</v>
      </c>
      <c r="D696" s="10" t="s">
        <v>1579</v>
      </c>
      <c r="E696" s="11" t="s">
        <v>1589</v>
      </c>
      <c r="F696" s="43"/>
      <c r="G696" s="13" t="s">
        <v>1581</v>
      </c>
      <c r="H696" s="14">
        <v>187383.0</v>
      </c>
      <c r="I696" s="15">
        <v>0.0</v>
      </c>
      <c r="J696" s="37" t="s">
        <v>103</v>
      </c>
      <c r="K696" s="17"/>
      <c r="L696" s="6" t="s">
        <v>1590</v>
      </c>
      <c r="M696" s="6"/>
      <c r="N696" s="6"/>
      <c r="O696" s="6"/>
      <c r="P696" s="6"/>
      <c r="Q696" s="6"/>
      <c r="R696" s="6"/>
    </row>
    <row r="697" ht="22.5" customHeight="1">
      <c r="A697" s="49"/>
      <c r="B697" s="72">
        <v>0.5215277777777778</v>
      </c>
      <c r="C697" s="71">
        <v>46123.0</v>
      </c>
      <c r="D697" s="10" t="s">
        <v>1591</v>
      </c>
      <c r="E697" s="11" t="s">
        <v>1592</v>
      </c>
      <c r="F697" s="43"/>
      <c r="G697" s="13" t="s">
        <v>1593</v>
      </c>
      <c r="H697" s="14">
        <v>3000.0</v>
      </c>
      <c r="I697" s="15">
        <v>3000.0</v>
      </c>
      <c r="J697" s="37" t="s">
        <v>26</v>
      </c>
      <c r="K697" s="17"/>
      <c r="L697" s="6" t="s">
        <v>1594</v>
      </c>
      <c r="M697" s="6"/>
      <c r="N697" s="6"/>
      <c r="O697" s="6"/>
      <c r="P697" s="6"/>
      <c r="Q697" s="6"/>
      <c r="R697" s="6"/>
    </row>
    <row r="698" ht="22.5" customHeight="1">
      <c r="A698" s="49"/>
      <c r="B698" s="72">
        <v>0.5229166666666667</v>
      </c>
      <c r="C698" s="71">
        <v>46123.0</v>
      </c>
      <c r="D698" s="10" t="s">
        <v>878</v>
      </c>
      <c r="E698" s="11" t="s">
        <v>1595</v>
      </c>
      <c r="F698" s="43"/>
      <c r="G698" s="13" t="s">
        <v>880</v>
      </c>
      <c r="H698" s="14">
        <v>3000.0</v>
      </c>
      <c r="I698" s="15">
        <v>3000.0</v>
      </c>
      <c r="J698" s="37" t="s">
        <v>26</v>
      </c>
      <c r="K698" s="17"/>
      <c r="L698" s="6" t="s">
        <v>1596</v>
      </c>
      <c r="M698" s="6"/>
      <c r="N698" s="6"/>
      <c r="O698" s="6"/>
      <c r="P698" s="6"/>
      <c r="Q698" s="6"/>
      <c r="R698" s="6"/>
    </row>
    <row r="699" ht="22.5" customHeight="1">
      <c r="A699" s="49"/>
      <c r="B699" s="72">
        <v>0.5263888888888889</v>
      </c>
      <c r="C699" s="71">
        <v>46123.0</v>
      </c>
      <c r="D699" s="10" t="s">
        <v>1597</v>
      </c>
      <c r="E699" s="11" t="s">
        <v>1598</v>
      </c>
      <c r="F699" s="43"/>
      <c r="G699" s="13" t="s">
        <v>1599</v>
      </c>
      <c r="H699" s="14">
        <v>2500.0</v>
      </c>
      <c r="I699" s="15">
        <v>2500.0</v>
      </c>
      <c r="J699" s="37" t="s">
        <v>26</v>
      </c>
      <c r="K699" s="17"/>
      <c r="L699" s="6" t="s">
        <v>1600</v>
      </c>
      <c r="M699" s="6"/>
      <c r="N699" s="6"/>
      <c r="O699" s="6"/>
      <c r="P699" s="6"/>
      <c r="Q699" s="6"/>
      <c r="R699" s="6"/>
    </row>
    <row r="700" ht="22.5" customHeight="1">
      <c r="A700" s="49"/>
      <c r="B700" s="72">
        <v>0.5486111111111112</v>
      </c>
      <c r="C700" s="71">
        <v>46123.0</v>
      </c>
      <c r="D700" s="10" t="s">
        <v>473</v>
      </c>
      <c r="E700" s="11" t="s">
        <v>1601</v>
      </c>
      <c r="F700" s="12" t="s">
        <v>1602</v>
      </c>
      <c r="G700" s="13" t="s">
        <v>475</v>
      </c>
      <c r="H700" s="14">
        <v>125000.0</v>
      </c>
      <c r="I700" s="73">
        <v>125000.0</v>
      </c>
      <c r="J700" s="37" t="s">
        <v>26</v>
      </c>
      <c r="K700" s="17"/>
      <c r="L700" s="6" t="s">
        <v>1603</v>
      </c>
      <c r="M700" s="6"/>
      <c r="N700" s="6"/>
      <c r="O700" s="6"/>
      <c r="P700" s="6"/>
      <c r="Q700" s="6"/>
      <c r="R700" s="6"/>
    </row>
    <row r="701" ht="22.5" customHeight="1">
      <c r="A701" s="49"/>
      <c r="B701" s="72">
        <v>0.6006944444444444</v>
      </c>
      <c r="C701" s="71">
        <v>46123.0</v>
      </c>
      <c r="D701" s="10" t="s">
        <v>1604</v>
      </c>
      <c r="E701" s="11" t="s">
        <v>1605</v>
      </c>
      <c r="F701" s="12" t="s">
        <v>1606</v>
      </c>
      <c r="G701" s="13" t="s">
        <v>1607</v>
      </c>
      <c r="H701" s="14">
        <v>610000.0</v>
      </c>
      <c r="I701" s="15">
        <v>610000.0</v>
      </c>
      <c r="J701" s="37" t="s">
        <v>26</v>
      </c>
      <c r="K701" s="17"/>
      <c r="L701" s="6" t="s">
        <v>1608</v>
      </c>
      <c r="M701" s="6"/>
      <c r="N701" s="6"/>
      <c r="O701" s="6"/>
      <c r="P701" s="6"/>
      <c r="Q701" s="6"/>
      <c r="R701" s="6"/>
    </row>
    <row r="702" ht="22.5" customHeight="1">
      <c r="A702" s="49"/>
      <c r="B702" s="72">
        <v>0.6215277777777778</v>
      </c>
      <c r="C702" s="71">
        <v>46123.0</v>
      </c>
      <c r="D702" s="10" t="s">
        <v>442</v>
      </c>
      <c r="E702" s="11" t="s">
        <v>1609</v>
      </c>
      <c r="F702" s="43"/>
      <c r="G702" s="13" t="s">
        <v>210</v>
      </c>
      <c r="H702" s="14">
        <v>5000.0</v>
      </c>
      <c r="I702" s="15">
        <v>0.0</v>
      </c>
      <c r="J702" s="37" t="s">
        <v>103</v>
      </c>
      <c r="K702" s="17"/>
      <c r="L702" s="6" t="s">
        <v>1610</v>
      </c>
      <c r="M702" s="6"/>
      <c r="N702" s="6"/>
      <c r="O702" s="6"/>
      <c r="P702" s="6"/>
      <c r="Q702" s="6"/>
      <c r="R702" s="6"/>
    </row>
    <row r="703" ht="22.5" customHeight="1">
      <c r="A703" s="49"/>
      <c r="B703" s="72">
        <v>0.6881944444444444</v>
      </c>
      <c r="C703" s="71">
        <v>46123.0</v>
      </c>
      <c r="D703" s="10" t="s">
        <v>442</v>
      </c>
      <c r="E703" s="11" t="s">
        <v>1611</v>
      </c>
      <c r="F703" s="43"/>
      <c r="G703" s="13" t="s">
        <v>210</v>
      </c>
      <c r="H703" s="14">
        <v>15000.0</v>
      </c>
      <c r="I703" s="15">
        <v>15000.0</v>
      </c>
      <c r="J703" s="37" t="s">
        <v>103</v>
      </c>
      <c r="K703" s="17"/>
      <c r="L703" s="6" t="s">
        <v>1612</v>
      </c>
      <c r="M703" s="6"/>
      <c r="N703" s="6"/>
      <c r="O703" s="6"/>
      <c r="P703" s="6"/>
      <c r="Q703" s="6"/>
      <c r="R703" s="6"/>
    </row>
    <row r="704" ht="22.5" customHeight="1">
      <c r="A704" s="49"/>
      <c r="B704" s="72">
        <v>0.6888888888888889</v>
      </c>
      <c r="C704" s="71">
        <v>46123.0</v>
      </c>
      <c r="D704" s="10" t="s">
        <v>442</v>
      </c>
      <c r="E704" s="11" t="s">
        <v>1613</v>
      </c>
      <c r="F704" s="43"/>
      <c r="G704" s="13" t="s">
        <v>210</v>
      </c>
      <c r="H704" s="14">
        <v>5000.0</v>
      </c>
      <c r="I704" s="15">
        <v>0.0</v>
      </c>
      <c r="J704" s="37" t="s">
        <v>103</v>
      </c>
      <c r="K704" s="17"/>
      <c r="L704" s="6" t="s">
        <v>1614</v>
      </c>
      <c r="M704" s="6"/>
      <c r="N704" s="6"/>
      <c r="O704" s="6"/>
      <c r="P704" s="6"/>
      <c r="Q704" s="6"/>
      <c r="R704" s="6"/>
    </row>
    <row r="705" ht="22.5" customHeight="1">
      <c r="A705" s="49"/>
      <c r="B705" s="72">
        <v>0.7291666666666666</v>
      </c>
      <c r="C705" s="71">
        <v>46123.0</v>
      </c>
      <c r="D705" s="10" t="s">
        <v>1615</v>
      </c>
      <c r="E705" s="11" t="s">
        <v>1616</v>
      </c>
      <c r="F705" s="12" t="s">
        <v>1617</v>
      </c>
      <c r="G705" s="13" t="s">
        <v>1618</v>
      </c>
      <c r="H705" s="14">
        <v>245000.0</v>
      </c>
      <c r="I705" s="15">
        <v>245000.0</v>
      </c>
      <c r="J705" s="37" t="s">
        <v>26</v>
      </c>
      <c r="K705" s="17"/>
      <c r="L705" s="6" t="s">
        <v>1619</v>
      </c>
      <c r="M705" s="6"/>
      <c r="N705" s="6"/>
      <c r="O705" s="6"/>
      <c r="P705" s="6"/>
      <c r="Q705" s="6"/>
      <c r="R705" s="6"/>
    </row>
    <row r="706" ht="22.5" customHeight="1">
      <c r="A706" s="49"/>
      <c r="B706" s="72">
        <v>0.5666666666666667</v>
      </c>
      <c r="C706" s="71">
        <v>46124.0</v>
      </c>
      <c r="D706" s="10" t="s">
        <v>1620</v>
      </c>
      <c r="E706" s="11" t="s">
        <v>1621</v>
      </c>
      <c r="F706" s="43"/>
      <c r="G706" s="13" t="s">
        <v>1622</v>
      </c>
      <c r="H706" s="14">
        <v>10000.0</v>
      </c>
      <c r="I706" s="15">
        <v>10000.0</v>
      </c>
      <c r="J706" s="37" t="s">
        <v>26</v>
      </c>
      <c r="K706" s="17"/>
      <c r="L706" s="6" t="s">
        <v>1623</v>
      </c>
      <c r="M706" s="6"/>
      <c r="N706" s="6"/>
      <c r="O706" s="6"/>
      <c r="P706" s="6"/>
      <c r="Q706" s="6"/>
      <c r="R706" s="6"/>
    </row>
    <row r="707" ht="22.5" customHeight="1">
      <c r="A707" s="49"/>
      <c r="B707" s="72">
        <v>0.6034722222222222</v>
      </c>
      <c r="C707" s="71">
        <v>46124.0</v>
      </c>
      <c r="D707" s="10" t="s">
        <v>1624</v>
      </c>
      <c r="E707" s="11" t="s">
        <v>1114</v>
      </c>
      <c r="F707" s="43"/>
      <c r="G707" s="13" t="s">
        <v>1625</v>
      </c>
      <c r="H707" s="14">
        <v>5000.0</v>
      </c>
      <c r="I707" s="15">
        <v>5000.0</v>
      </c>
      <c r="J707" s="37" t="s">
        <v>26</v>
      </c>
      <c r="K707" s="17"/>
      <c r="L707" s="6" t="s">
        <v>1626</v>
      </c>
      <c r="M707" s="6"/>
      <c r="N707" s="6"/>
      <c r="O707" s="6"/>
      <c r="P707" s="6"/>
      <c r="Q707" s="6"/>
      <c r="R707" s="6"/>
    </row>
    <row r="708" ht="22.5" customHeight="1">
      <c r="A708" s="49"/>
      <c r="B708" s="72">
        <v>0.41944444444444445</v>
      </c>
      <c r="C708" s="71">
        <v>46125.0</v>
      </c>
      <c r="D708" s="10" t="s">
        <v>473</v>
      </c>
      <c r="E708" s="11" t="s">
        <v>915</v>
      </c>
      <c r="F708" s="43"/>
      <c r="G708" s="13" t="s">
        <v>475</v>
      </c>
      <c r="H708" s="14">
        <v>2500.0</v>
      </c>
      <c r="I708" s="15">
        <v>2500.0</v>
      </c>
      <c r="J708" s="37" t="s">
        <v>26</v>
      </c>
      <c r="K708" s="17"/>
      <c r="L708" s="6" t="s">
        <v>1627</v>
      </c>
      <c r="M708" s="6"/>
      <c r="N708" s="6"/>
      <c r="O708" s="6"/>
      <c r="P708" s="6"/>
      <c r="Q708" s="6"/>
      <c r="R708" s="6"/>
    </row>
    <row r="709" ht="22.5" customHeight="1">
      <c r="A709" s="49"/>
      <c r="B709" s="72">
        <v>0.42916666666666664</v>
      </c>
      <c r="C709" s="71">
        <v>46125.0</v>
      </c>
      <c r="D709" s="10" t="s">
        <v>1628</v>
      </c>
      <c r="E709" s="11" t="s">
        <v>946</v>
      </c>
      <c r="F709" s="43"/>
      <c r="G709" s="13" t="s">
        <v>1629</v>
      </c>
      <c r="H709" s="14">
        <v>3000.0</v>
      </c>
      <c r="I709" s="15">
        <v>3000.0</v>
      </c>
      <c r="J709" s="37" t="s">
        <v>26</v>
      </c>
      <c r="K709" s="17"/>
      <c r="L709" s="6" t="s">
        <v>1630</v>
      </c>
      <c r="M709" s="6"/>
      <c r="N709" s="6"/>
      <c r="O709" s="6"/>
      <c r="P709" s="6"/>
      <c r="Q709" s="6"/>
      <c r="R709" s="6"/>
    </row>
    <row r="710" ht="22.5" customHeight="1">
      <c r="A710" s="49"/>
      <c r="B710" s="72">
        <v>0.50625</v>
      </c>
      <c r="C710" s="71">
        <v>46125.0</v>
      </c>
      <c r="D710" s="10" t="s">
        <v>1597</v>
      </c>
      <c r="E710" s="11" t="s">
        <v>1631</v>
      </c>
      <c r="F710" s="43"/>
      <c r="G710" s="13" t="s">
        <v>1599</v>
      </c>
      <c r="H710" s="14">
        <v>3000.0</v>
      </c>
      <c r="I710" s="15">
        <v>3000.0</v>
      </c>
      <c r="J710" s="37" t="s">
        <v>26</v>
      </c>
      <c r="K710" s="17"/>
      <c r="L710" s="6" t="s">
        <v>1632</v>
      </c>
      <c r="M710" s="6"/>
      <c r="N710" s="6"/>
      <c r="O710" s="6"/>
      <c r="P710" s="6"/>
      <c r="Q710" s="6"/>
      <c r="R710" s="6"/>
    </row>
    <row r="711" ht="22.5" customHeight="1">
      <c r="A711" s="49"/>
      <c r="B711" s="72">
        <v>0.6020833333333333</v>
      </c>
      <c r="C711" s="71">
        <v>46125.0</v>
      </c>
      <c r="D711" s="10" t="s">
        <v>1633</v>
      </c>
      <c r="E711" s="11" t="s">
        <v>1634</v>
      </c>
      <c r="F711" s="12" t="s">
        <v>1635</v>
      </c>
      <c r="G711" s="13" t="s">
        <v>1636</v>
      </c>
      <c r="H711" s="14">
        <v>270000.0</v>
      </c>
      <c r="I711" s="15">
        <v>270000.0</v>
      </c>
      <c r="J711" s="37" t="s">
        <v>26</v>
      </c>
      <c r="K711" s="17"/>
      <c r="L711" s="6" t="s">
        <v>1637</v>
      </c>
      <c r="M711" s="6"/>
      <c r="N711" s="6"/>
      <c r="O711" s="6"/>
      <c r="P711" s="6"/>
      <c r="Q711" s="6"/>
      <c r="R711" s="6"/>
    </row>
    <row r="712" ht="22.5" customHeight="1">
      <c r="A712" s="49"/>
      <c r="B712" s="72">
        <v>0.63125</v>
      </c>
      <c r="C712" s="71">
        <v>46125.0</v>
      </c>
      <c r="D712" s="10" t="s">
        <v>358</v>
      </c>
      <c r="E712" s="11" t="s">
        <v>1638</v>
      </c>
      <c r="F712" s="43"/>
      <c r="G712" s="13" t="s">
        <v>360</v>
      </c>
      <c r="H712" s="14">
        <v>5000.0</v>
      </c>
      <c r="I712" s="15">
        <v>5000.0</v>
      </c>
      <c r="J712" s="37" t="s">
        <v>26</v>
      </c>
      <c r="K712" s="17"/>
      <c r="L712" s="6" t="s">
        <v>1639</v>
      </c>
      <c r="M712" s="6"/>
      <c r="N712" s="6"/>
      <c r="O712" s="6"/>
      <c r="P712" s="6"/>
      <c r="Q712" s="6"/>
      <c r="R712" s="6"/>
    </row>
    <row r="713" ht="22.5" customHeight="1">
      <c r="A713" s="49"/>
      <c r="B713" s="72">
        <v>0.6833333333333333</v>
      </c>
      <c r="C713" s="71">
        <v>46125.0</v>
      </c>
      <c r="D713" s="10" t="s">
        <v>445</v>
      </c>
      <c r="E713" s="11" t="s">
        <v>263</v>
      </c>
      <c r="F713" s="43"/>
      <c r="G713" s="13" t="s">
        <v>1640</v>
      </c>
      <c r="H713" s="14">
        <v>2500.0</v>
      </c>
      <c r="I713" s="15">
        <v>2500.0</v>
      </c>
      <c r="J713" s="37" t="s">
        <v>26</v>
      </c>
      <c r="K713" s="17"/>
      <c r="L713" s="6" t="s">
        <v>1641</v>
      </c>
      <c r="M713" s="6"/>
      <c r="N713" s="6"/>
      <c r="O713" s="6"/>
      <c r="P713" s="6"/>
      <c r="Q713" s="6"/>
      <c r="R713" s="6"/>
    </row>
    <row r="714" ht="22.5" customHeight="1">
      <c r="A714" s="49"/>
      <c r="B714" s="72">
        <v>0.6881944444444444</v>
      </c>
      <c r="C714" s="71">
        <v>46125.0</v>
      </c>
      <c r="D714" s="10" t="s">
        <v>93</v>
      </c>
      <c r="E714" s="11" t="s">
        <v>1642</v>
      </c>
      <c r="F714" s="43"/>
      <c r="G714" s="13" t="s">
        <v>95</v>
      </c>
      <c r="H714" s="14">
        <v>2500.0</v>
      </c>
      <c r="I714" s="15">
        <v>2500.0</v>
      </c>
      <c r="J714" s="37" t="s">
        <v>26</v>
      </c>
      <c r="K714" s="17"/>
      <c r="L714" s="6" t="s">
        <v>1643</v>
      </c>
      <c r="M714" s="6"/>
      <c r="N714" s="6"/>
      <c r="O714" s="6"/>
      <c r="P714" s="6"/>
      <c r="Q714" s="6"/>
      <c r="R714" s="6"/>
    </row>
    <row r="715" ht="22.5" customHeight="1">
      <c r="A715" s="49"/>
      <c r="B715" s="72">
        <v>0.7006944444444444</v>
      </c>
      <c r="C715" s="71">
        <v>46125.0</v>
      </c>
      <c r="D715" s="10" t="s">
        <v>93</v>
      </c>
      <c r="E715" s="11" t="s">
        <v>1288</v>
      </c>
      <c r="F715" s="43"/>
      <c r="G715" s="13" t="s">
        <v>95</v>
      </c>
      <c r="H715" s="14">
        <v>2500.0</v>
      </c>
      <c r="I715" s="15">
        <v>2500.0</v>
      </c>
      <c r="J715" s="37" t="s">
        <v>26</v>
      </c>
      <c r="K715" s="17"/>
      <c r="L715" s="6" t="s">
        <v>1644</v>
      </c>
      <c r="M715" s="6"/>
      <c r="N715" s="6"/>
      <c r="O715" s="6"/>
      <c r="P715" s="6"/>
      <c r="Q715" s="6"/>
      <c r="R715" s="6"/>
    </row>
    <row r="716" ht="22.5" customHeight="1">
      <c r="A716" s="49"/>
      <c r="B716" s="72">
        <v>0.7326388888888888</v>
      </c>
      <c r="C716" s="71">
        <v>46125.0</v>
      </c>
      <c r="D716" s="10" t="s">
        <v>686</v>
      </c>
      <c r="E716" s="11" t="s">
        <v>501</v>
      </c>
      <c r="F716" s="12" t="s">
        <v>1645</v>
      </c>
      <c r="G716" s="13" t="s">
        <v>687</v>
      </c>
      <c r="H716" s="14">
        <v>1100000.0</v>
      </c>
      <c r="I716" s="15">
        <v>0.0</v>
      </c>
      <c r="J716" s="37" t="s">
        <v>103</v>
      </c>
      <c r="K716" s="17"/>
      <c r="L716" s="6" t="s">
        <v>1646</v>
      </c>
      <c r="M716" s="6"/>
      <c r="N716" s="6"/>
      <c r="O716" s="6"/>
      <c r="P716" s="6"/>
      <c r="Q716" s="6"/>
      <c r="R716" s="6"/>
    </row>
    <row r="717" ht="22.5" customHeight="1">
      <c r="A717" s="49"/>
      <c r="B717" s="72">
        <v>0.9361111111111111</v>
      </c>
      <c r="C717" s="71">
        <v>46125.0</v>
      </c>
      <c r="D717" s="10" t="s">
        <v>1647</v>
      </c>
      <c r="E717" s="11" t="s">
        <v>1648</v>
      </c>
      <c r="F717" s="43"/>
      <c r="G717" s="13" t="s">
        <v>1649</v>
      </c>
      <c r="H717" s="14">
        <v>80000.0</v>
      </c>
      <c r="I717" s="15">
        <v>80000.0</v>
      </c>
      <c r="J717" s="37" t="s">
        <v>26</v>
      </c>
      <c r="K717" s="17"/>
      <c r="L717" s="6" t="s">
        <v>1650</v>
      </c>
      <c r="M717" s="6"/>
      <c r="N717" s="6"/>
      <c r="O717" s="6"/>
      <c r="P717" s="6"/>
      <c r="Q717" s="6"/>
      <c r="R717" s="6"/>
    </row>
    <row r="718" ht="22.5" customHeight="1">
      <c r="A718" s="49"/>
      <c r="B718" s="72">
        <v>0.41388888888888886</v>
      </c>
      <c r="C718" s="71">
        <v>46126.0</v>
      </c>
      <c r="D718" s="10" t="s">
        <v>485</v>
      </c>
      <c r="E718" s="11" t="s">
        <v>1651</v>
      </c>
      <c r="F718" s="43"/>
      <c r="G718" s="13" t="s">
        <v>486</v>
      </c>
      <c r="H718" s="14">
        <v>3000.0</v>
      </c>
      <c r="I718" s="15">
        <v>3000.0</v>
      </c>
      <c r="J718" s="37" t="s">
        <v>26</v>
      </c>
      <c r="K718" s="17"/>
      <c r="L718" s="6" t="s">
        <v>1652</v>
      </c>
      <c r="M718" s="6"/>
      <c r="N718" s="6"/>
      <c r="O718" s="6"/>
      <c r="P718" s="6"/>
      <c r="Q718" s="6"/>
      <c r="R718" s="6"/>
    </row>
    <row r="719" ht="22.5" customHeight="1">
      <c r="A719" s="49"/>
      <c r="B719" s="72">
        <v>0.42430555555555555</v>
      </c>
      <c r="C719" s="71">
        <v>46126.0</v>
      </c>
      <c r="D719" s="10" t="s">
        <v>418</v>
      </c>
      <c r="E719" s="11" t="s">
        <v>1653</v>
      </c>
      <c r="F719" s="43"/>
      <c r="G719" s="13" t="s">
        <v>421</v>
      </c>
      <c r="H719" s="14">
        <v>2500.0</v>
      </c>
      <c r="I719" s="15">
        <v>0.0</v>
      </c>
      <c r="J719" s="37" t="s">
        <v>121</v>
      </c>
      <c r="K719" s="17"/>
      <c r="L719" s="6" t="s">
        <v>1654</v>
      </c>
      <c r="M719" s="6"/>
      <c r="N719" s="6"/>
      <c r="O719" s="6"/>
      <c r="P719" s="6"/>
      <c r="Q719" s="6"/>
      <c r="R719" s="6"/>
    </row>
    <row r="720" ht="22.5" customHeight="1">
      <c r="A720" s="49"/>
      <c r="B720" s="72">
        <v>0.49166666666666664</v>
      </c>
      <c r="C720" s="71">
        <v>46126.0</v>
      </c>
      <c r="D720" s="10" t="s">
        <v>54</v>
      </c>
      <c r="E720" s="11" t="s">
        <v>1655</v>
      </c>
      <c r="F720" s="43"/>
      <c r="G720" s="13" t="s">
        <v>56</v>
      </c>
      <c r="H720" s="14">
        <v>2500.0</v>
      </c>
      <c r="I720" s="15">
        <v>2500.0</v>
      </c>
      <c r="J720" s="37" t="s">
        <v>26</v>
      </c>
      <c r="K720" s="17"/>
      <c r="L720" s="6" t="s">
        <v>1656</v>
      </c>
      <c r="M720" s="6"/>
      <c r="N720" s="6"/>
      <c r="O720" s="6"/>
      <c r="P720" s="6"/>
      <c r="Q720" s="6"/>
      <c r="R720" s="6"/>
    </row>
    <row r="721" ht="22.5" customHeight="1">
      <c r="A721" s="49"/>
      <c r="B721" s="72">
        <v>0.5020833333333333</v>
      </c>
      <c r="C721" s="71">
        <v>46126.0</v>
      </c>
      <c r="D721" s="10" t="s">
        <v>1657</v>
      </c>
      <c r="E721" s="11" t="s">
        <v>1658</v>
      </c>
      <c r="F721" s="43"/>
      <c r="G721" s="13" t="s">
        <v>1659</v>
      </c>
      <c r="H721" s="14">
        <v>3000.0</v>
      </c>
      <c r="I721" s="15">
        <v>3000.0</v>
      </c>
      <c r="J721" s="37" t="s">
        <v>26</v>
      </c>
      <c r="K721" s="17"/>
      <c r="L721" s="6" t="s">
        <v>1660</v>
      </c>
      <c r="M721" s="6"/>
      <c r="N721" s="6"/>
      <c r="O721" s="6"/>
      <c r="P721" s="6"/>
      <c r="Q721" s="6"/>
      <c r="R721" s="6"/>
    </row>
    <row r="722" ht="22.5" customHeight="1">
      <c r="A722" s="49"/>
      <c r="B722" s="72">
        <v>0.5104166666666666</v>
      </c>
      <c r="C722" s="71">
        <v>46126.0</v>
      </c>
      <c r="D722" s="10" t="s">
        <v>78</v>
      </c>
      <c r="E722" s="11" t="s">
        <v>1661</v>
      </c>
      <c r="F722" s="43"/>
      <c r="G722" s="13" t="s">
        <v>80</v>
      </c>
      <c r="H722" s="14">
        <v>2500.0</v>
      </c>
      <c r="I722" s="15">
        <v>2500.0</v>
      </c>
      <c r="J722" s="37" t="s">
        <v>26</v>
      </c>
      <c r="K722" s="17"/>
      <c r="L722" s="6" t="s">
        <v>1662</v>
      </c>
      <c r="M722" s="6"/>
      <c r="N722" s="6"/>
      <c r="O722" s="6"/>
      <c r="P722" s="6"/>
      <c r="Q722" s="6"/>
      <c r="R722" s="6"/>
    </row>
    <row r="723" ht="22.5" customHeight="1">
      <c r="A723" s="49"/>
      <c r="B723" s="72">
        <v>0.5180555555555556</v>
      </c>
      <c r="C723" s="71">
        <v>46126.0</v>
      </c>
      <c r="D723" s="10" t="s">
        <v>1663</v>
      </c>
      <c r="E723" s="11" t="s">
        <v>128</v>
      </c>
      <c r="F723" s="43"/>
      <c r="G723" s="13" t="s">
        <v>1664</v>
      </c>
      <c r="H723" s="14">
        <v>10000.0</v>
      </c>
      <c r="I723" s="15">
        <v>0.0</v>
      </c>
      <c r="J723" s="37" t="s">
        <v>103</v>
      </c>
      <c r="K723" s="17"/>
      <c r="L723" s="6" t="s">
        <v>1665</v>
      </c>
      <c r="M723" s="6"/>
      <c r="N723" s="6"/>
      <c r="O723" s="6"/>
      <c r="P723" s="6"/>
      <c r="Q723" s="6"/>
      <c r="R723" s="6"/>
    </row>
    <row r="724" ht="22.5" customHeight="1">
      <c r="A724" s="49"/>
      <c r="B724" s="72">
        <v>0.5319444444444444</v>
      </c>
      <c r="C724" s="71">
        <v>46126.0</v>
      </c>
      <c r="D724" s="10" t="s">
        <v>306</v>
      </c>
      <c r="E724" s="11" t="s">
        <v>1666</v>
      </c>
      <c r="F724" s="43"/>
      <c r="G724" s="13" t="s">
        <v>307</v>
      </c>
      <c r="H724" s="14">
        <v>300000.0</v>
      </c>
      <c r="I724" s="15">
        <v>300000.0</v>
      </c>
      <c r="J724" s="37" t="s">
        <v>26</v>
      </c>
      <c r="K724" s="17"/>
      <c r="L724" s="6" t="s">
        <v>1667</v>
      </c>
      <c r="M724" s="6"/>
      <c r="N724" s="6"/>
      <c r="O724" s="6"/>
      <c r="P724" s="6"/>
      <c r="Q724" s="6"/>
      <c r="R724" s="6"/>
    </row>
    <row r="725" ht="22.5" customHeight="1">
      <c r="A725" s="49"/>
      <c r="B725" s="72">
        <v>0.5625</v>
      </c>
      <c r="C725" s="71">
        <v>46126.0</v>
      </c>
      <c r="D725" s="10" t="s">
        <v>686</v>
      </c>
      <c r="E725" s="11" t="s">
        <v>501</v>
      </c>
      <c r="F725" s="12" t="s">
        <v>1645</v>
      </c>
      <c r="G725" s="13" t="s">
        <v>687</v>
      </c>
      <c r="H725" s="14">
        <v>0.0</v>
      </c>
      <c r="I725" s="15">
        <v>0.0</v>
      </c>
      <c r="J725" s="37" t="s">
        <v>103</v>
      </c>
      <c r="K725" s="17"/>
      <c r="L725" s="6" t="s">
        <v>1668</v>
      </c>
      <c r="M725" s="6"/>
      <c r="N725" s="6"/>
      <c r="O725" s="6"/>
      <c r="P725" s="6"/>
      <c r="Q725" s="6"/>
      <c r="R725" s="6"/>
    </row>
    <row r="726" ht="22.5" customHeight="1">
      <c r="A726" s="49"/>
      <c r="B726" s="72">
        <v>0.5965277777777778</v>
      </c>
      <c r="C726" s="71">
        <v>46126.0</v>
      </c>
      <c r="D726" s="10" t="s">
        <v>693</v>
      </c>
      <c r="E726" s="11" t="s">
        <v>1669</v>
      </c>
      <c r="F726" s="12" t="s">
        <v>1670</v>
      </c>
      <c r="G726" s="13" t="s">
        <v>696</v>
      </c>
      <c r="H726" s="14">
        <v>265000.0</v>
      </c>
      <c r="I726" s="15">
        <v>265000.0</v>
      </c>
      <c r="J726" s="37" t="s">
        <v>26</v>
      </c>
      <c r="K726" s="17"/>
      <c r="L726" s="6" t="s">
        <v>1671</v>
      </c>
      <c r="M726" s="6"/>
      <c r="N726" s="6"/>
      <c r="O726" s="6"/>
      <c r="P726" s="6"/>
      <c r="Q726" s="6"/>
      <c r="R726" s="6"/>
    </row>
    <row r="727" ht="22.5" customHeight="1">
      <c r="A727" s="49"/>
      <c r="B727" s="72">
        <v>0.6020833333333333</v>
      </c>
      <c r="C727" s="71">
        <v>46126.0</v>
      </c>
      <c r="D727" s="10" t="s">
        <v>254</v>
      </c>
      <c r="E727" s="11" t="s">
        <v>1672</v>
      </c>
      <c r="F727" s="43"/>
      <c r="G727" s="13" t="s">
        <v>256</v>
      </c>
      <c r="H727" s="14">
        <v>2500.0</v>
      </c>
      <c r="I727" s="15">
        <v>0.0</v>
      </c>
      <c r="J727" s="37" t="s">
        <v>121</v>
      </c>
      <c r="K727" s="17"/>
      <c r="L727" s="6" t="s">
        <v>1673</v>
      </c>
      <c r="M727" s="6"/>
      <c r="N727" s="6"/>
      <c r="O727" s="6"/>
      <c r="P727" s="6"/>
      <c r="Q727" s="6"/>
      <c r="R727" s="6"/>
    </row>
    <row r="728" ht="22.5" customHeight="1">
      <c r="A728" s="49"/>
      <c r="B728" s="72">
        <v>0.61875</v>
      </c>
      <c r="C728" s="71">
        <v>46126.0</v>
      </c>
      <c r="D728" s="10" t="s">
        <v>54</v>
      </c>
      <c r="E728" s="11" t="s">
        <v>1674</v>
      </c>
      <c r="F728" s="43"/>
      <c r="G728" s="13" t="s">
        <v>56</v>
      </c>
      <c r="H728" s="14">
        <v>2500.0</v>
      </c>
      <c r="I728" s="15">
        <v>2500.0</v>
      </c>
      <c r="J728" s="37" t="s">
        <v>26</v>
      </c>
      <c r="K728" s="17"/>
      <c r="L728" s="6" t="s">
        <v>1675</v>
      </c>
      <c r="M728" s="6"/>
      <c r="N728" s="6"/>
      <c r="O728" s="6"/>
      <c r="P728" s="6"/>
      <c r="Q728" s="6"/>
      <c r="R728" s="6"/>
    </row>
    <row r="729" ht="22.5" customHeight="1">
      <c r="A729" s="49"/>
      <c r="B729" s="72">
        <v>0.7215277777777778</v>
      </c>
      <c r="C729" s="71">
        <v>46126.0</v>
      </c>
      <c r="D729" s="10" t="s">
        <v>874</v>
      </c>
      <c r="E729" s="11" t="s">
        <v>1676</v>
      </c>
      <c r="F729" s="43"/>
      <c r="G729" s="13" t="s">
        <v>876</v>
      </c>
      <c r="H729" s="14">
        <v>2500.0</v>
      </c>
      <c r="I729" s="15">
        <v>2500.0</v>
      </c>
      <c r="J729" s="37" t="s">
        <v>26</v>
      </c>
      <c r="K729" s="17"/>
      <c r="L729" s="6" t="s">
        <v>1677</v>
      </c>
      <c r="M729" s="6"/>
      <c r="N729" s="6"/>
      <c r="O729" s="6"/>
      <c r="P729" s="6"/>
      <c r="Q729" s="6"/>
      <c r="R729" s="6"/>
    </row>
    <row r="730" ht="22.5" customHeight="1">
      <c r="A730" s="49"/>
      <c r="B730" s="72">
        <v>0.37569444444444444</v>
      </c>
      <c r="C730" s="71">
        <v>46127.0</v>
      </c>
      <c r="D730" s="10" t="s">
        <v>874</v>
      </c>
      <c r="E730" s="11" t="s">
        <v>1678</v>
      </c>
      <c r="F730" s="43"/>
      <c r="G730" s="13" t="s">
        <v>876</v>
      </c>
      <c r="H730" s="14">
        <v>2500.0</v>
      </c>
      <c r="I730" s="15">
        <v>2500.0</v>
      </c>
      <c r="J730" s="37" t="s">
        <v>26</v>
      </c>
      <c r="K730" s="17"/>
      <c r="L730" s="6" t="s">
        <v>1679</v>
      </c>
      <c r="M730" s="6"/>
      <c r="N730" s="6"/>
      <c r="O730" s="6"/>
      <c r="P730" s="6"/>
      <c r="Q730" s="6"/>
      <c r="R730" s="6"/>
    </row>
    <row r="731" ht="22.5" customHeight="1">
      <c r="A731" s="49"/>
      <c r="B731" s="72">
        <v>0.4125</v>
      </c>
      <c r="C731" s="71">
        <v>46127.0</v>
      </c>
      <c r="D731" s="10" t="s">
        <v>1680</v>
      </c>
      <c r="E731" s="11" t="s">
        <v>1681</v>
      </c>
      <c r="F731" s="43"/>
      <c r="G731" s="13" t="s">
        <v>1682</v>
      </c>
      <c r="H731" s="14">
        <v>2500.0</v>
      </c>
      <c r="I731" s="15">
        <v>25000.0</v>
      </c>
      <c r="J731" s="37" t="s">
        <v>26</v>
      </c>
      <c r="K731" s="17"/>
      <c r="L731" s="6" t="s">
        <v>1683</v>
      </c>
      <c r="M731" s="6"/>
      <c r="N731" s="6"/>
      <c r="O731" s="6"/>
      <c r="P731" s="6"/>
      <c r="Q731" s="6"/>
      <c r="R731" s="6"/>
    </row>
    <row r="732" ht="22.5" customHeight="1">
      <c r="A732" s="49"/>
      <c r="B732" s="72">
        <v>0.4166666666666667</v>
      </c>
      <c r="C732" s="71">
        <v>46123.0</v>
      </c>
      <c r="D732" s="10" t="s">
        <v>1562</v>
      </c>
      <c r="E732" s="11" t="s">
        <v>1605</v>
      </c>
      <c r="F732" s="12" t="s">
        <v>1684</v>
      </c>
      <c r="G732" s="13" t="s">
        <v>1565</v>
      </c>
      <c r="H732" s="14">
        <v>600000.0</v>
      </c>
      <c r="I732" s="15">
        <v>0.0</v>
      </c>
      <c r="J732" s="37" t="s">
        <v>103</v>
      </c>
      <c r="K732" s="17"/>
      <c r="L732" s="6" t="s">
        <v>1685</v>
      </c>
      <c r="M732" s="6"/>
      <c r="N732" s="6"/>
      <c r="O732" s="6"/>
      <c r="P732" s="6"/>
      <c r="Q732" s="6"/>
      <c r="R732" s="6"/>
    </row>
    <row r="733" ht="22.5" customHeight="1">
      <c r="A733" s="49"/>
      <c r="B733" s="72">
        <v>0.45</v>
      </c>
      <c r="C733" s="71">
        <v>46127.0</v>
      </c>
      <c r="D733" s="10" t="s">
        <v>84</v>
      </c>
      <c r="E733" s="11" t="s">
        <v>1686</v>
      </c>
      <c r="F733" s="43"/>
      <c r="G733" s="13" t="s">
        <v>86</v>
      </c>
      <c r="H733" s="14">
        <v>90000.0</v>
      </c>
      <c r="I733" s="15">
        <v>90000.0</v>
      </c>
      <c r="J733" s="37" t="s">
        <v>26</v>
      </c>
      <c r="K733" s="17"/>
      <c r="L733" s="6" t="s">
        <v>1687</v>
      </c>
      <c r="M733" s="6"/>
      <c r="N733" s="6"/>
      <c r="O733" s="6"/>
      <c r="P733" s="6"/>
      <c r="Q733" s="6"/>
      <c r="R733" s="6"/>
    </row>
    <row r="734" ht="22.5" customHeight="1">
      <c r="A734" s="49"/>
      <c r="B734" s="72">
        <v>0.4708333333333333</v>
      </c>
      <c r="C734" s="71">
        <v>46127.0</v>
      </c>
      <c r="D734" s="10" t="s">
        <v>874</v>
      </c>
      <c r="E734" s="11" t="s">
        <v>1688</v>
      </c>
      <c r="F734" s="12" t="s">
        <v>1689</v>
      </c>
      <c r="G734" s="13" t="s">
        <v>876</v>
      </c>
      <c r="H734" s="14">
        <v>490000.0</v>
      </c>
      <c r="I734" s="15">
        <v>490000.0</v>
      </c>
      <c r="J734" s="37" t="s">
        <v>26</v>
      </c>
      <c r="K734" s="17"/>
      <c r="L734" s="6" t="s">
        <v>1690</v>
      </c>
      <c r="M734" s="6"/>
      <c r="N734" s="6"/>
      <c r="O734" s="6"/>
      <c r="P734" s="6"/>
      <c r="Q734" s="6"/>
      <c r="R734" s="6"/>
    </row>
    <row r="735" ht="22.5" customHeight="1">
      <c r="A735" s="49"/>
      <c r="B735" s="72">
        <v>0.475</v>
      </c>
      <c r="C735" s="71">
        <v>46127.0</v>
      </c>
      <c r="D735" s="10" t="s">
        <v>1691</v>
      </c>
      <c r="E735" s="11" t="s">
        <v>1692</v>
      </c>
      <c r="F735" s="12" t="s">
        <v>1693</v>
      </c>
      <c r="G735" s="13" t="s">
        <v>1694</v>
      </c>
      <c r="H735" s="14">
        <v>850000.0</v>
      </c>
      <c r="I735" s="15">
        <v>0.0</v>
      </c>
      <c r="J735" s="37" t="s">
        <v>103</v>
      </c>
      <c r="K735" s="17"/>
      <c r="L735" s="6" t="s">
        <v>1695</v>
      </c>
      <c r="M735" s="6"/>
      <c r="N735" s="6"/>
      <c r="O735" s="6"/>
      <c r="P735" s="6"/>
      <c r="Q735" s="6"/>
      <c r="R735" s="6"/>
    </row>
    <row r="736" ht="22.5" customHeight="1">
      <c r="A736" s="49"/>
      <c r="B736" s="8" t="s">
        <v>140</v>
      </c>
      <c r="C736" s="35" t="s">
        <v>140</v>
      </c>
      <c r="D736" s="10" t="s">
        <v>508</v>
      </c>
      <c r="E736" s="11" t="s">
        <v>195</v>
      </c>
      <c r="F736" s="12" t="s">
        <v>140</v>
      </c>
      <c r="G736" s="13" t="s">
        <v>140</v>
      </c>
      <c r="H736" s="14" t="s">
        <v>285</v>
      </c>
      <c r="I736" s="38"/>
      <c r="J736" s="37" t="s">
        <v>195</v>
      </c>
      <c r="K736" s="17"/>
      <c r="L736" s="6" t="s">
        <v>1696</v>
      </c>
      <c r="M736" s="6"/>
      <c r="N736" s="6"/>
      <c r="O736" s="6"/>
      <c r="P736" s="6"/>
      <c r="Q736" s="6"/>
      <c r="R736" s="6"/>
    </row>
    <row r="737" ht="22.5" customHeight="1">
      <c r="A737" s="49"/>
      <c r="B737" s="8" t="s">
        <v>140</v>
      </c>
      <c r="C737" s="35" t="s">
        <v>140</v>
      </c>
      <c r="D737" s="10" t="s">
        <v>508</v>
      </c>
      <c r="E737" s="11" t="s">
        <v>195</v>
      </c>
      <c r="F737" s="12" t="s">
        <v>140</v>
      </c>
      <c r="G737" s="13" t="s">
        <v>140</v>
      </c>
      <c r="H737" s="14" t="s">
        <v>285</v>
      </c>
      <c r="I737" s="38"/>
      <c r="J737" s="37" t="s">
        <v>195</v>
      </c>
      <c r="K737" s="17"/>
      <c r="L737" s="6" t="s">
        <v>1697</v>
      </c>
      <c r="M737" s="6"/>
      <c r="N737" s="6"/>
      <c r="O737" s="6"/>
      <c r="P737" s="6"/>
      <c r="Q737" s="6"/>
      <c r="R737" s="6"/>
    </row>
    <row r="738" ht="22.5" customHeight="1">
      <c r="A738" s="49"/>
      <c r="B738" s="8" t="s">
        <v>140</v>
      </c>
      <c r="C738" s="35" t="s">
        <v>140</v>
      </c>
      <c r="D738" s="10" t="s">
        <v>508</v>
      </c>
      <c r="E738" s="11" t="s">
        <v>195</v>
      </c>
      <c r="F738" s="12" t="s">
        <v>140</v>
      </c>
      <c r="G738" s="13" t="s">
        <v>140</v>
      </c>
      <c r="H738" s="14" t="s">
        <v>285</v>
      </c>
      <c r="I738" s="38"/>
      <c r="J738" s="37" t="s">
        <v>195</v>
      </c>
      <c r="K738" s="17"/>
      <c r="L738" s="6" t="s">
        <v>1698</v>
      </c>
      <c r="M738" s="6"/>
      <c r="N738" s="6"/>
      <c r="O738" s="6"/>
      <c r="P738" s="6"/>
      <c r="Q738" s="6"/>
      <c r="R738" s="6"/>
    </row>
    <row r="739" ht="22.5" customHeight="1">
      <c r="A739" s="49"/>
      <c r="B739" s="8" t="s">
        <v>140</v>
      </c>
      <c r="C739" s="35" t="s">
        <v>140</v>
      </c>
      <c r="D739" s="10" t="s">
        <v>508</v>
      </c>
      <c r="E739" s="11" t="s">
        <v>195</v>
      </c>
      <c r="F739" s="12" t="s">
        <v>140</v>
      </c>
      <c r="G739" s="13" t="s">
        <v>140</v>
      </c>
      <c r="H739" s="14" t="s">
        <v>285</v>
      </c>
      <c r="I739" s="38"/>
      <c r="J739" s="37" t="s">
        <v>195</v>
      </c>
      <c r="K739" s="17"/>
      <c r="L739" s="6" t="s">
        <v>1699</v>
      </c>
      <c r="M739" s="6"/>
      <c r="N739" s="6"/>
      <c r="O739" s="6"/>
      <c r="P739" s="6"/>
      <c r="Q739" s="6"/>
      <c r="R739" s="6"/>
    </row>
    <row r="740" ht="22.5" customHeight="1">
      <c r="A740" s="49"/>
      <c r="B740" s="72">
        <v>0.5951388888888889</v>
      </c>
      <c r="C740" s="71">
        <v>46127.0</v>
      </c>
      <c r="D740" s="10" t="s">
        <v>64</v>
      </c>
      <c r="E740" s="11" t="s">
        <v>489</v>
      </c>
      <c r="F740" s="43"/>
      <c r="G740" s="13" t="s">
        <v>66</v>
      </c>
      <c r="H740" s="14">
        <v>2000.0</v>
      </c>
      <c r="I740" s="15">
        <v>2000.0</v>
      </c>
      <c r="J740" s="37" t="s">
        <v>26</v>
      </c>
      <c r="K740" s="17"/>
      <c r="L740" s="6" t="s">
        <v>1700</v>
      </c>
      <c r="M740" s="6"/>
      <c r="N740" s="6"/>
      <c r="O740" s="6"/>
      <c r="P740" s="6"/>
      <c r="Q740" s="6"/>
      <c r="R740" s="6"/>
    </row>
    <row r="741" ht="22.5" customHeight="1">
      <c r="A741" s="49"/>
      <c r="B741" s="72">
        <v>0.6256944444444444</v>
      </c>
      <c r="C741" s="71">
        <v>46127.0</v>
      </c>
      <c r="D741" s="10" t="s">
        <v>236</v>
      </c>
      <c r="E741" s="11" t="s">
        <v>1701</v>
      </c>
      <c r="F741" s="43"/>
      <c r="G741" s="13" t="s">
        <v>237</v>
      </c>
      <c r="H741" s="14">
        <v>5000.0</v>
      </c>
      <c r="I741" s="15">
        <v>5000.0</v>
      </c>
      <c r="J741" s="37" t="s">
        <v>26</v>
      </c>
      <c r="K741" s="17"/>
      <c r="L741" s="6" t="s">
        <v>1702</v>
      </c>
      <c r="M741" s="6"/>
      <c r="N741" s="6"/>
      <c r="O741" s="6"/>
      <c r="P741" s="6"/>
      <c r="Q741" s="6"/>
      <c r="R741" s="6"/>
    </row>
    <row r="742" ht="22.5" customHeight="1">
      <c r="A742" s="49"/>
      <c r="B742" s="72">
        <v>0.6347222222222222</v>
      </c>
      <c r="C742" s="71">
        <v>46127.0</v>
      </c>
      <c r="D742" s="10" t="s">
        <v>46</v>
      </c>
      <c r="E742" s="11" t="s">
        <v>1703</v>
      </c>
      <c r="F742" s="43"/>
      <c r="G742" s="13" t="s">
        <v>1362</v>
      </c>
      <c r="H742" s="14">
        <v>3000.0</v>
      </c>
      <c r="I742" s="15">
        <v>3000.0</v>
      </c>
      <c r="J742" s="37" t="s">
        <v>26</v>
      </c>
      <c r="K742" s="17"/>
      <c r="L742" s="6" t="s">
        <v>1704</v>
      </c>
      <c r="M742" s="6"/>
      <c r="N742" s="6"/>
      <c r="O742" s="6"/>
      <c r="P742" s="6"/>
      <c r="Q742" s="6"/>
      <c r="R742" s="6"/>
    </row>
    <row r="743" ht="22.5" customHeight="1">
      <c r="A743" s="49"/>
      <c r="B743" s="72">
        <v>0.6527777777777778</v>
      </c>
      <c r="C743" s="71">
        <v>46127.0</v>
      </c>
      <c r="D743" s="10" t="s">
        <v>1705</v>
      </c>
      <c r="E743" s="11" t="s">
        <v>1706</v>
      </c>
      <c r="F743" s="12" t="s">
        <v>1707</v>
      </c>
      <c r="G743" s="13" t="s">
        <v>1708</v>
      </c>
      <c r="H743" s="14">
        <v>70000.0</v>
      </c>
      <c r="I743" s="15">
        <v>70000.0</v>
      </c>
      <c r="J743" s="37" t="s">
        <v>26</v>
      </c>
      <c r="K743" s="17"/>
      <c r="L743" s="6" t="s">
        <v>1709</v>
      </c>
      <c r="M743" s="6"/>
      <c r="N743" s="6"/>
      <c r="O743" s="6"/>
      <c r="P743" s="6"/>
      <c r="Q743" s="6"/>
      <c r="R743" s="6"/>
    </row>
    <row r="744" ht="22.5" customHeight="1">
      <c r="A744" s="49"/>
      <c r="B744" s="72">
        <v>0.6666666666666666</v>
      </c>
      <c r="C744" s="71">
        <v>46127.0</v>
      </c>
      <c r="D744" s="10" t="s">
        <v>400</v>
      </c>
      <c r="E744" s="11" t="s">
        <v>1710</v>
      </c>
      <c r="F744" s="43"/>
      <c r="G744" s="13" t="s">
        <v>402</v>
      </c>
      <c r="H744" s="14">
        <v>8000.0</v>
      </c>
      <c r="I744" s="15">
        <v>8000.0</v>
      </c>
      <c r="J744" s="37" t="s">
        <v>26</v>
      </c>
      <c r="K744" s="17"/>
      <c r="L744" s="6" t="s">
        <v>1711</v>
      </c>
      <c r="M744" s="6"/>
      <c r="N744" s="6"/>
      <c r="O744" s="6"/>
      <c r="P744" s="6"/>
      <c r="Q744" s="6"/>
      <c r="R744" s="6"/>
    </row>
    <row r="745" ht="22.5" customHeight="1">
      <c r="A745" s="49"/>
      <c r="B745" s="72">
        <v>0.6819444444444445</v>
      </c>
      <c r="C745" s="71">
        <v>46127.0</v>
      </c>
      <c r="D745" s="10" t="s">
        <v>1417</v>
      </c>
      <c r="E745" s="11" t="s">
        <v>1712</v>
      </c>
      <c r="F745" s="43"/>
      <c r="G745" s="13" t="s">
        <v>1419</v>
      </c>
      <c r="H745" s="14">
        <v>2500.0</v>
      </c>
      <c r="I745" s="15">
        <v>2500.0</v>
      </c>
      <c r="J745" s="37" t="s">
        <v>26</v>
      </c>
      <c r="K745" s="17"/>
      <c r="L745" s="6" t="s">
        <v>1713</v>
      </c>
      <c r="M745" s="6"/>
      <c r="N745" s="6"/>
      <c r="O745" s="6"/>
      <c r="P745" s="6"/>
      <c r="Q745" s="6"/>
      <c r="R745" s="6"/>
    </row>
    <row r="746" ht="22.5" customHeight="1">
      <c r="A746" s="49"/>
      <c r="B746" s="72">
        <v>0.6902777777777778</v>
      </c>
      <c r="C746" s="71">
        <v>46127.0</v>
      </c>
      <c r="D746" s="10" t="s">
        <v>46</v>
      </c>
      <c r="E746" s="11" t="s">
        <v>1714</v>
      </c>
      <c r="F746" s="43"/>
      <c r="G746" s="13" t="s">
        <v>1362</v>
      </c>
      <c r="H746" s="14">
        <v>1000.0</v>
      </c>
      <c r="I746" s="15">
        <v>1000.0</v>
      </c>
      <c r="J746" s="37" t="s">
        <v>26</v>
      </c>
      <c r="K746" s="17"/>
      <c r="L746" s="6" t="s">
        <v>1715</v>
      </c>
      <c r="M746" s="6"/>
      <c r="N746" s="6"/>
      <c r="O746" s="6"/>
      <c r="P746" s="6"/>
      <c r="Q746" s="6"/>
      <c r="R746" s="6"/>
    </row>
    <row r="747" ht="22.5" customHeight="1">
      <c r="A747" s="49"/>
      <c r="B747" s="72">
        <v>0.7027777777777777</v>
      </c>
      <c r="C747" s="71">
        <v>46127.0</v>
      </c>
      <c r="D747" s="10" t="s">
        <v>1716</v>
      </c>
      <c r="E747" s="11" t="s">
        <v>1405</v>
      </c>
      <c r="F747" s="43"/>
      <c r="G747" s="13" t="s">
        <v>1717</v>
      </c>
      <c r="H747" s="14">
        <v>5000.0</v>
      </c>
      <c r="I747" s="15">
        <v>5000.0</v>
      </c>
      <c r="J747" s="37" t="s">
        <v>26</v>
      </c>
      <c r="K747" s="17"/>
      <c r="L747" s="6" t="s">
        <v>1718</v>
      </c>
      <c r="M747" s="6"/>
      <c r="N747" s="6"/>
      <c r="O747" s="6"/>
      <c r="P747" s="6"/>
      <c r="Q747" s="6"/>
      <c r="R747" s="6"/>
    </row>
    <row r="748" ht="22.5" customHeight="1">
      <c r="A748" s="49"/>
      <c r="B748" s="72">
        <v>0.7118055555555556</v>
      </c>
      <c r="C748" s="71">
        <v>46127.0</v>
      </c>
      <c r="D748" s="10" t="s">
        <v>1719</v>
      </c>
      <c r="E748" s="11" t="s">
        <v>1720</v>
      </c>
      <c r="F748" s="43"/>
      <c r="G748" s="13" t="s">
        <v>1721</v>
      </c>
      <c r="H748" s="14">
        <v>2500.0</v>
      </c>
      <c r="I748" s="15">
        <v>2500.0</v>
      </c>
      <c r="J748" s="37" t="s">
        <v>26</v>
      </c>
      <c r="K748" s="17"/>
      <c r="L748" s="6" t="s">
        <v>1722</v>
      </c>
      <c r="M748" s="6"/>
      <c r="N748" s="6"/>
      <c r="O748" s="6"/>
      <c r="P748" s="6"/>
      <c r="Q748" s="6"/>
      <c r="R748" s="6"/>
    </row>
    <row r="749" ht="22.5" customHeight="1">
      <c r="A749" s="49"/>
      <c r="B749" s="72">
        <v>0.30277777777777776</v>
      </c>
      <c r="C749" s="71">
        <v>46128.0</v>
      </c>
      <c r="D749" s="10" t="s">
        <v>600</v>
      </c>
      <c r="E749" s="11" t="s">
        <v>1723</v>
      </c>
      <c r="F749" s="12" t="s">
        <v>978</v>
      </c>
      <c r="G749" s="53" t="str">
        <f>IF(LEN(TRIM(D749))=0,"",IFNA(VLOOKUP(UPPER(TRIM(D749)),'CLIENT DIRECTORY'!A:B,2,FALSE),""))</f>
        <v/>
      </c>
      <c r="H749" s="14">
        <v>0.0</v>
      </c>
      <c r="I749" s="15">
        <v>0.0</v>
      </c>
      <c r="J749" s="37" t="s">
        <v>103</v>
      </c>
      <c r="K749" s="17"/>
      <c r="L749" s="6" t="s">
        <v>1724</v>
      </c>
      <c r="M749" s="6"/>
      <c r="N749" s="6"/>
      <c r="O749" s="6"/>
      <c r="P749" s="6"/>
      <c r="Q749" s="6"/>
      <c r="R749" s="6"/>
    </row>
    <row r="750" ht="22.5" customHeight="1">
      <c r="A750" s="49"/>
      <c r="B750" s="72">
        <v>0.4875</v>
      </c>
      <c r="C750" s="71">
        <v>46128.0</v>
      </c>
      <c r="D750" s="10" t="s">
        <v>1579</v>
      </c>
      <c r="E750" s="11" t="s">
        <v>1579</v>
      </c>
      <c r="F750" s="43"/>
      <c r="G750" s="13" t="s">
        <v>1581</v>
      </c>
      <c r="H750" s="14">
        <v>333.0</v>
      </c>
      <c r="I750" s="15">
        <v>0.0</v>
      </c>
      <c r="J750" s="37" t="s">
        <v>103</v>
      </c>
      <c r="K750" s="17"/>
      <c r="L750" s="6" t="s">
        <v>1725</v>
      </c>
      <c r="M750" s="6"/>
      <c r="N750" s="6"/>
      <c r="O750" s="6"/>
      <c r="P750" s="6"/>
      <c r="Q750" s="6"/>
      <c r="R750" s="6"/>
    </row>
    <row r="751" ht="22.5" customHeight="1">
      <c r="A751" s="49"/>
      <c r="B751" s="72">
        <v>0.5277777777777778</v>
      </c>
      <c r="C751" s="71">
        <v>46128.0</v>
      </c>
      <c r="D751" s="10" t="s">
        <v>1691</v>
      </c>
      <c r="E751" s="11" t="s">
        <v>1726</v>
      </c>
      <c r="F751" s="43"/>
      <c r="G751" s="13" t="s">
        <v>1694</v>
      </c>
      <c r="H751" s="14">
        <v>2500.0</v>
      </c>
      <c r="I751" s="15">
        <v>2500.0</v>
      </c>
      <c r="J751" s="37" t="s">
        <v>26</v>
      </c>
      <c r="K751" s="17"/>
      <c r="L751" s="6" t="s">
        <v>1727</v>
      </c>
      <c r="M751" s="6"/>
      <c r="N751" s="6"/>
      <c r="O751" s="6"/>
      <c r="P751" s="6"/>
      <c r="Q751" s="6"/>
      <c r="R751" s="6"/>
    </row>
    <row r="752" ht="22.5" customHeight="1">
      <c r="A752" s="49"/>
      <c r="B752" s="72">
        <v>0.5277777777777778</v>
      </c>
      <c r="C752" s="71">
        <v>46128.0</v>
      </c>
      <c r="D752" s="10" t="s">
        <v>1691</v>
      </c>
      <c r="E752" s="11" t="s">
        <v>1728</v>
      </c>
      <c r="F752" s="43"/>
      <c r="G752" s="13" t="s">
        <v>1694</v>
      </c>
      <c r="H752" s="14">
        <v>5000.0</v>
      </c>
      <c r="I752" s="15">
        <v>5000.0</v>
      </c>
      <c r="J752" s="37" t="s">
        <v>26</v>
      </c>
      <c r="K752" s="17"/>
      <c r="L752" s="6" t="s">
        <v>1729</v>
      </c>
      <c r="M752" s="6"/>
      <c r="N752" s="6"/>
      <c r="O752" s="6"/>
      <c r="P752" s="6"/>
      <c r="Q752" s="6"/>
      <c r="R752" s="6"/>
    </row>
    <row r="753" ht="22.5" customHeight="1">
      <c r="A753" s="49"/>
      <c r="B753" s="72">
        <v>0.5354166666666667</v>
      </c>
      <c r="C753" s="71">
        <v>46128.0</v>
      </c>
      <c r="D753" s="10" t="s">
        <v>70</v>
      </c>
      <c r="E753" s="11" t="s">
        <v>1359</v>
      </c>
      <c r="F753" s="43"/>
      <c r="G753" s="13" t="s">
        <v>72</v>
      </c>
      <c r="H753" s="14">
        <v>2500.0</v>
      </c>
      <c r="I753" s="15">
        <v>2500.0</v>
      </c>
      <c r="J753" s="37" t="s">
        <v>26</v>
      </c>
      <c r="K753" s="17"/>
      <c r="L753" s="6" t="s">
        <v>1730</v>
      </c>
      <c r="M753" s="6"/>
      <c r="N753" s="6"/>
      <c r="O753" s="6"/>
      <c r="P753" s="6"/>
      <c r="Q753" s="6"/>
      <c r="R753" s="6"/>
    </row>
    <row r="754" ht="22.5" customHeight="1">
      <c r="A754" s="49"/>
      <c r="B754" s="72">
        <v>0.5791666666666667</v>
      </c>
      <c r="C754" s="71">
        <v>46128.0</v>
      </c>
      <c r="D754" s="10" t="s">
        <v>1691</v>
      </c>
      <c r="E754" s="11" t="s">
        <v>1193</v>
      </c>
      <c r="F754" s="43"/>
      <c r="G754" s="13" t="s">
        <v>1694</v>
      </c>
      <c r="H754" s="14">
        <v>2500.0</v>
      </c>
      <c r="I754" s="15">
        <v>2500.0</v>
      </c>
      <c r="J754" s="37" t="s">
        <v>26</v>
      </c>
      <c r="K754" s="17"/>
      <c r="L754" s="6" t="s">
        <v>1731</v>
      </c>
      <c r="M754" s="6"/>
      <c r="N754" s="6"/>
      <c r="O754" s="6"/>
      <c r="P754" s="6"/>
      <c r="Q754" s="6"/>
      <c r="R754" s="6"/>
    </row>
    <row r="755" ht="22.5" customHeight="1">
      <c r="A755" s="49"/>
      <c r="B755" s="72">
        <v>0.5868055555555556</v>
      </c>
      <c r="C755" s="71">
        <v>46128.0</v>
      </c>
      <c r="D755" s="10" t="s">
        <v>212</v>
      </c>
      <c r="E755" s="11" t="s">
        <v>1732</v>
      </c>
      <c r="F755" s="43"/>
      <c r="G755" s="13" t="s">
        <v>214</v>
      </c>
      <c r="H755" s="14">
        <v>2500.0</v>
      </c>
      <c r="I755" s="15">
        <v>2500.0</v>
      </c>
      <c r="J755" s="37" t="s">
        <v>26</v>
      </c>
      <c r="K755" s="17"/>
      <c r="L755" s="6" t="s">
        <v>1733</v>
      </c>
      <c r="M755" s="6"/>
      <c r="N755" s="6"/>
      <c r="O755" s="6"/>
      <c r="P755" s="6"/>
      <c r="Q755" s="6"/>
      <c r="R755" s="6"/>
    </row>
    <row r="756" ht="22.5" customHeight="1">
      <c r="A756" s="49"/>
      <c r="B756" s="72">
        <v>0.6770833333333334</v>
      </c>
      <c r="C756" s="71">
        <v>46128.0</v>
      </c>
      <c r="D756" s="10" t="s">
        <v>1334</v>
      </c>
      <c r="E756" s="11" t="s">
        <v>1734</v>
      </c>
      <c r="F756" s="43"/>
      <c r="G756" s="13" t="s">
        <v>1336</v>
      </c>
      <c r="H756" s="14">
        <v>3000.0</v>
      </c>
      <c r="I756" s="15">
        <v>3000.0</v>
      </c>
      <c r="J756" s="37" t="s">
        <v>26</v>
      </c>
      <c r="K756" s="17"/>
      <c r="L756" s="6" t="s">
        <v>1735</v>
      </c>
      <c r="M756" s="6"/>
      <c r="N756" s="6"/>
      <c r="O756" s="6"/>
      <c r="P756" s="6"/>
      <c r="Q756" s="6"/>
      <c r="R756" s="6"/>
    </row>
    <row r="757" ht="22.5" customHeight="1">
      <c r="A757" s="49"/>
      <c r="B757" s="72">
        <v>0.6791666666666667</v>
      </c>
      <c r="C757" s="71">
        <v>46128.0</v>
      </c>
      <c r="D757" s="10" t="s">
        <v>1736</v>
      </c>
      <c r="E757" s="11" t="s">
        <v>1737</v>
      </c>
      <c r="F757" s="43"/>
      <c r="G757" s="13" t="s">
        <v>1738</v>
      </c>
      <c r="H757" s="14">
        <v>25000.0</v>
      </c>
      <c r="I757" s="15">
        <v>25000.0</v>
      </c>
      <c r="J757" s="37" t="s">
        <v>26</v>
      </c>
      <c r="K757" s="17"/>
      <c r="L757" s="6" t="s">
        <v>1739</v>
      </c>
      <c r="M757" s="6"/>
      <c r="N757" s="6"/>
      <c r="O757" s="6"/>
      <c r="P757" s="6"/>
      <c r="Q757" s="6"/>
      <c r="R757" s="6"/>
    </row>
    <row r="758" ht="22.5" customHeight="1">
      <c r="A758" s="49"/>
      <c r="B758" s="72">
        <v>0.6791666666666667</v>
      </c>
      <c r="C758" s="71">
        <v>46128.0</v>
      </c>
      <c r="D758" s="10" t="s">
        <v>54</v>
      </c>
      <c r="E758" s="11" t="s">
        <v>913</v>
      </c>
      <c r="F758" s="43"/>
      <c r="G758" s="13" t="s">
        <v>56</v>
      </c>
      <c r="H758" s="14">
        <v>2500.0</v>
      </c>
      <c r="I758" s="15">
        <v>2500.0</v>
      </c>
      <c r="J758" s="37" t="s">
        <v>26</v>
      </c>
      <c r="K758" s="17"/>
      <c r="L758" s="6" t="s">
        <v>1740</v>
      </c>
      <c r="M758" s="6"/>
      <c r="N758" s="6"/>
      <c r="O758" s="6"/>
      <c r="P758" s="6"/>
      <c r="Q758" s="6"/>
      <c r="R758" s="6"/>
    </row>
    <row r="759" ht="22.5" customHeight="1">
      <c r="A759" s="49"/>
      <c r="B759" s="72">
        <v>0.7291666666666666</v>
      </c>
      <c r="C759" s="71">
        <v>46128.0</v>
      </c>
      <c r="D759" s="10" t="s">
        <v>1741</v>
      </c>
      <c r="E759" s="11" t="s">
        <v>1465</v>
      </c>
      <c r="F759" s="43"/>
      <c r="G759" s="13" t="s">
        <v>1742</v>
      </c>
      <c r="H759" s="14">
        <v>5000.0</v>
      </c>
      <c r="I759" s="15">
        <v>5000.0</v>
      </c>
      <c r="J759" s="37" t="s">
        <v>26</v>
      </c>
      <c r="K759" s="17"/>
      <c r="L759" s="6" t="s">
        <v>1743</v>
      </c>
      <c r="M759" s="6"/>
      <c r="N759" s="6"/>
      <c r="O759" s="6"/>
      <c r="P759" s="6"/>
      <c r="Q759" s="6"/>
      <c r="R759" s="6"/>
    </row>
    <row r="760" ht="22.5" customHeight="1">
      <c r="A760" s="49"/>
      <c r="B760" s="72">
        <v>0.7298611111111111</v>
      </c>
      <c r="C760" s="71">
        <v>46128.0</v>
      </c>
      <c r="D760" s="10" t="s">
        <v>306</v>
      </c>
      <c r="E760" s="11" t="s">
        <v>1114</v>
      </c>
      <c r="F760" s="43"/>
      <c r="G760" s="13" t="s">
        <v>307</v>
      </c>
      <c r="H760" s="14">
        <v>5000.0</v>
      </c>
      <c r="I760" s="15">
        <v>5000.0</v>
      </c>
      <c r="J760" s="37" t="s">
        <v>26</v>
      </c>
      <c r="K760" s="17"/>
      <c r="L760" s="6" t="s">
        <v>1744</v>
      </c>
      <c r="M760" s="6"/>
      <c r="N760" s="6"/>
      <c r="O760" s="6"/>
      <c r="P760" s="6"/>
      <c r="Q760" s="6"/>
      <c r="R760" s="6"/>
    </row>
    <row r="761" ht="22.5" customHeight="1">
      <c r="A761" s="49"/>
      <c r="B761" s="72">
        <v>0.7326388888888888</v>
      </c>
      <c r="C761" s="71">
        <v>46128.0</v>
      </c>
      <c r="D761" s="10" t="s">
        <v>1745</v>
      </c>
      <c r="E761" s="11" t="s">
        <v>1746</v>
      </c>
      <c r="F761" s="43"/>
      <c r="G761" s="13" t="s">
        <v>1747</v>
      </c>
      <c r="H761" s="14">
        <v>70000.0</v>
      </c>
      <c r="I761" s="15">
        <v>70000.0</v>
      </c>
      <c r="J761" s="37" t="s">
        <v>26</v>
      </c>
      <c r="K761" s="17"/>
      <c r="L761" s="6" t="s">
        <v>1748</v>
      </c>
      <c r="M761" s="6"/>
      <c r="N761" s="6"/>
      <c r="O761" s="6"/>
      <c r="P761" s="6"/>
      <c r="Q761" s="6"/>
      <c r="R761" s="6"/>
    </row>
    <row r="762" ht="22.5" customHeight="1">
      <c r="A762" s="49"/>
      <c r="B762" s="72">
        <v>0.4027777777777778</v>
      </c>
      <c r="C762" s="71">
        <v>46129.0</v>
      </c>
      <c r="D762" s="10" t="s">
        <v>400</v>
      </c>
      <c r="E762" s="11" t="s">
        <v>1749</v>
      </c>
      <c r="F762" s="12" t="s">
        <v>1750</v>
      </c>
      <c r="G762" s="13" t="s">
        <v>402</v>
      </c>
      <c r="H762" s="14">
        <v>1780000.0</v>
      </c>
      <c r="I762" s="15">
        <v>1780000.0</v>
      </c>
      <c r="J762" s="37" t="s">
        <v>26</v>
      </c>
      <c r="K762" s="17"/>
      <c r="L762" s="6" t="s">
        <v>1751</v>
      </c>
      <c r="M762" s="6"/>
      <c r="N762" s="6"/>
      <c r="O762" s="6"/>
      <c r="P762" s="6"/>
      <c r="Q762" s="6"/>
      <c r="R762" s="6"/>
    </row>
    <row r="763" ht="22.5" customHeight="1">
      <c r="A763" s="49"/>
      <c r="B763" s="72">
        <v>0.4027777777777778</v>
      </c>
      <c r="C763" s="71">
        <v>46129.0</v>
      </c>
      <c r="D763" s="10" t="s">
        <v>1752</v>
      </c>
      <c r="E763" s="11" t="s">
        <v>1634</v>
      </c>
      <c r="F763" s="12" t="s">
        <v>1753</v>
      </c>
      <c r="G763" s="13" t="s">
        <v>1754</v>
      </c>
      <c r="H763" s="14">
        <v>200000.0</v>
      </c>
      <c r="I763" s="15">
        <v>200000.0</v>
      </c>
      <c r="J763" s="37" t="s">
        <v>26</v>
      </c>
      <c r="K763" s="17"/>
      <c r="L763" s="6" t="s">
        <v>1755</v>
      </c>
      <c r="M763" s="6"/>
      <c r="N763" s="6"/>
      <c r="O763" s="6"/>
      <c r="P763" s="6"/>
      <c r="Q763" s="6"/>
      <c r="R763" s="6"/>
    </row>
    <row r="764" ht="22.5" customHeight="1">
      <c r="A764" s="49"/>
      <c r="B764" s="72">
        <v>0.4395833333333333</v>
      </c>
      <c r="C764" s="71">
        <v>46129.0</v>
      </c>
      <c r="D764" s="10" t="s">
        <v>400</v>
      </c>
      <c r="E764" s="11" t="s">
        <v>946</v>
      </c>
      <c r="F764" s="43"/>
      <c r="G764" s="13" t="s">
        <v>402</v>
      </c>
      <c r="H764" s="14">
        <v>3000.0</v>
      </c>
      <c r="I764" s="15">
        <v>3000.0</v>
      </c>
      <c r="J764" s="37" t="s">
        <v>26</v>
      </c>
      <c r="K764" s="17"/>
      <c r="L764" s="6" t="s">
        <v>1756</v>
      </c>
      <c r="M764" s="6"/>
      <c r="N764" s="6"/>
      <c r="O764" s="6"/>
      <c r="P764" s="6"/>
      <c r="Q764" s="6"/>
      <c r="R764" s="6"/>
    </row>
    <row r="765" ht="22.5" customHeight="1">
      <c r="A765" s="49"/>
      <c r="B765" s="72">
        <v>0.4756944444444444</v>
      </c>
      <c r="C765" s="71">
        <v>46129.0</v>
      </c>
      <c r="D765" s="10" t="s">
        <v>23</v>
      </c>
      <c r="E765" s="11" t="s">
        <v>1757</v>
      </c>
      <c r="F765" s="43"/>
      <c r="G765" s="13" t="s">
        <v>25</v>
      </c>
      <c r="H765" s="14">
        <v>2500.0</v>
      </c>
      <c r="I765" s="15">
        <v>0.0</v>
      </c>
      <c r="J765" s="37" t="s">
        <v>121</v>
      </c>
      <c r="K765" s="17"/>
      <c r="L765" s="6" t="s">
        <v>1758</v>
      </c>
      <c r="M765" s="6"/>
      <c r="N765" s="6"/>
      <c r="O765" s="6"/>
      <c r="P765" s="6"/>
      <c r="Q765" s="6"/>
      <c r="R765" s="6"/>
    </row>
    <row r="766" ht="22.5" customHeight="1">
      <c r="A766" s="49"/>
      <c r="B766" s="72">
        <v>0.5458333333333333</v>
      </c>
      <c r="C766" s="71">
        <v>46129.0</v>
      </c>
      <c r="D766" s="10" t="s">
        <v>1759</v>
      </c>
      <c r="E766" s="11" t="s">
        <v>1760</v>
      </c>
      <c r="F766" s="43"/>
      <c r="G766" s="13" t="s">
        <v>1761</v>
      </c>
      <c r="H766" s="14">
        <v>3000.0</v>
      </c>
      <c r="I766" s="15">
        <v>3000.0</v>
      </c>
      <c r="J766" s="37" t="s">
        <v>26</v>
      </c>
      <c r="K766" s="17"/>
      <c r="L766" s="6" t="s">
        <v>1762</v>
      </c>
      <c r="M766" s="6"/>
      <c r="N766" s="6"/>
      <c r="O766" s="6"/>
      <c r="P766" s="6"/>
      <c r="Q766" s="6"/>
      <c r="R766" s="6"/>
    </row>
    <row r="767" ht="22.5" customHeight="1">
      <c r="A767" s="49"/>
      <c r="B767" s="72">
        <v>0.5472222222222223</v>
      </c>
      <c r="C767" s="71">
        <v>46129.0</v>
      </c>
      <c r="D767" s="10" t="s">
        <v>485</v>
      </c>
      <c r="E767" s="11" t="s">
        <v>1763</v>
      </c>
      <c r="F767" s="43"/>
      <c r="G767" s="13" t="s">
        <v>486</v>
      </c>
      <c r="H767" s="14">
        <v>2500.0</v>
      </c>
      <c r="I767" s="15">
        <v>2500.0</v>
      </c>
      <c r="J767" s="37" t="s">
        <v>26</v>
      </c>
      <c r="K767" s="17"/>
      <c r="L767" s="6" t="s">
        <v>1764</v>
      </c>
      <c r="M767" s="6"/>
      <c r="N767" s="6"/>
      <c r="O767" s="6"/>
      <c r="P767" s="6"/>
      <c r="Q767" s="6"/>
      <c r="R767" s="6"/>
    </row>
    <row r="768" ht="22.5" customHeight="1">
      <c r="A768" s="49"/>
      <c r="B768" s="72">
        <v>0.5618055555555556</v>
      </c>
      <c r="C768" s="71">
        <v>46129.0</v>
      </c>
      <c r="D768" s="10" t="s">
        <v>485</v>
      </c>
      <c r="E768" s="11" t="s">
        <v>1765</v>
      </c>
      <c r="F768" s="43"/>
      <c r="G768" s="13" t="s">
        <v>486</v>
      </c>
      <c r="H768" s="14">
        <v>2500.0</v>
      </c>
      <c r="I768" s="15">
        <v>0.0</v>
      </c>
      <c r="J768" s="37" t="s">
        <v>103</v>
      </c>
      <c r="K768" s="17"/>
      <c r="L768" s="6" t="s">
        <v>1766</v>
      </c>
      <c r="M768" s="6"/>
      <c r="N768" s="6"/>
      <c r="O768" s="6"/>
      <c r="P768" s="6"/>
      <c r="Q768" s="6"/>
      <c r="R768" s="6"/>
    </row>
    <row r="769" ht="22.5" customHeight="1">
      <c r="A769" s="49"/>
      <c r="B769" s="72">
        <v>0.5958333333333333</v>
      </c>
      <c r="C769" s="71">
        <v>46129.0</v>
      </c>
      <c r="D769" s="10" t="s">
        <v>424</v>
      </c>
      <c r="E769" s="11" t="s">
        <v>1767</v>
      </c>
      <c r="F769" s="43"/>
      <c r="G769" s="13" t="s">
        <v>1519</v>
      </c>
      <c r="H769" s="14">
        <v>2500.0</v>
      </c>
      <c r="I769" s="15">
        <v>0.0</v>
      </c>
      <c r="J769" s="37" t="s">
        <v>121</v>
      </c>
      <c r="K769" s="17"/>
      <c r="L769" s="6" t="s">
        <v>1768</v>
      </c>
      <c r="M769" s="6"/>
      <c r="N769" s="6"/>
      <c r="O769" s="6"/>
      <c r="P769" s="6"/>
      <c r="Q769" s="6"/>
      <c r="R769" s="6"/>
    </row>
    <row r="770" ht="22.5" customHeight="1">
      <c r="A770" s="49"/>
      <c r="B770" s="72">
        <v>0.6388888888888888</v>
      </c>
      <c r="C770" s="71">
        <v>46129.0</v>
      </c>
      <c r="D770" s="10" t="s">
        <v>1691</v>
      </c>
      <c r="E770" s="11" t="s">
        <v>1692</v>
      </c>
      <c r="F770" s="12" t="s">
        <v>1693</v>
      </c>
      <c r="G770" s="13" t="s">
        <v>1694</v>
      </c>
      <c r="H770" s="14">
        <v>0.0</v>
      </c>
      <c r="I770" s="15">
        <v>0.0</v>
      </c>
      <c r="J770" s="37" t="s">
        <v>103</v>
      </c>
      <c r="K770" s="17"/>
      <c r="L770" s="6" t="s">
        <v>1769</v>
      </c>
      <c r="M770" s="6"/>
      <c r="N770" s="6"/>
      <c r="O770" s="6"/>
      <c r="P770" s="6"/>
      <c r="Q770" s="6"/>
      <c r="R770" s="6"/>
    </row>
    <row r="771" ht="22.5" customHeight="1">
      <c r="A771" s="49"/>
      <c r="B771" s="72">
        <v>0.6131944444444445</v>
      </c>
      <c r="C771" s="71">
        <v>46129.0</v>
      </c>
      <c r="D771" s="10" t="s">
        <v>74</v>
      </c>
      <c r="E771" s="11" t="s">
        <v>1770</v>
      </c>
      <c r="F771" s="43"/>
      <c r="G771" s="13" t="s">
        <v>76</v>
      </c>
      <c r="H771" s="14">
        <v>2500.0</v>
      </c>
      <c r="I771" s="15">
        <v>2500.0</v>
      </c>
      <c r="J771" s="37" t="s">
        <v>26</v>
      </c>
      <c r="K771" s="17"/>
      <c r="L771" s="6" t="s">
        <v>1771</v>
      </c>
      <c r="M771" s="6"/>
      <c r="N771" s="6"/>
      <c r="O771" s="6"/>
      <c r="P771" s="6"/>
      <c r="Q771" s="6"/>
      <c r="R771" s="6"/>
    </row>
    <row r="772" ht="22.5" customHeight="1">
      <c r="A772" s="49"/>
      <c r="B772" s="72">
        <v>0.7166666666666667</v>
      </c>
      <c r="C772" s="71">
        <v>46129.0</v>
      </c>
      <c r="D772" s="10" t="s">
        <v>1772</v>
      </c>
      <c r="E772" s="11" t="s">
        <v>1773</v>
      </c>
      <c r="F772" s="43"/>
      <c r="G772" s="13" t="s">
        <v>1774</v>
      </c>
      <c r="H772" s="14">
        <v>3000.0</v>
      </c>
      <c r="I772" s="15">
        <v>3000.0</v>
      </c>
      <c r="J772" s="37" t="s">
        <v>26</v>
      </c>
      <c r="K772" s="17"/>
      <c r="L772" s="6" t="s">
        <v>1775</v>
      </c>
      <c r="M772" s="6"/>
      <c r="N772" s="6"/>
      <c r="O772" s="6"/>
      <c r="P772" s="6"/>
      <c r="Q772" s="6"/>
      <c r="R772" s="6"/>
    </row>
    <row r="773" ht="22.5" customHeight="1">
      <c r="A773" s="49"/>
      <c r="B773" s="72">
        <v>0.7368055555555556</v>
      </c>
      <c r="C773" s="71">
        <v>46129.0</v>
      </c>
      <c r="D773" s="10" t="s">
        <v>1776</v>
      </c>
      <c r="E773" s="11" t="s">
        <v>1777</v>
      </c>
      <c r="F773" s="43"/>
      <c r="G773" s="13" t="s">
        <v>1778</v>
      </c>
      <c r="H773" s="14">
        <v>45000.0</v>
      </c>
      <c r="I773" s="15">
        <v>0.0</v>
      </c>
      <c r="J773" s="37" t="s">
        <v>103</v>
      </c>
      <c r="K773" s="17"/>
      <c r="L773" s="6" t="s">
        <v>1779</v>
      </c>
      <c r="M773" s="6"/>
      <c r="N773" s="6"/>
      <c r="O773" s="6"/>
      <c r="P773" s="6"/>
      <c r="Q773" s="6"/>
      <c r="R773" s="6"/>
    </row>
    <row r="774" ht="22.5" customHeight="1">
      <c r="A774" s="49"/>
      <c r="B774" s="72">
        <v>0.7451388888888889</v>
      </c>
      <c r="C774" s="71">
        <v>46129.0</v>
      </c>
      <c r="D774" s="10" t="s">
        <v>364</v>
      </c>
      <c r="E774" s="11" t="s">
        <v>1780</v>
      </c>
      <c r="F774" s="43"/>
      <c r="G774" s="13" t="s">
        <v>366</v>
      </c>
      <c r="H774" s="14">
        <v>2500.0</v>
      </c>
      <c r="I774" s="15">
        <v>500.0</v>
      </c>
      <c r="J774" s="37" t="s">
        <v>481</v>
      </c>
      <c r="K774" s="17"/>
      <c r="L774" s="6" t="s">
        <v>1781</v>
      </c>
      <c r="M774" s="6"/>
      <c r="N774" s="6"/>
      <c r="O774" s="6"/>
      <c r="P774" s="6"/>
      <c r="Q774" s="6"/>
      <c r="R774" s="6"/>
    </row>
    <row r="775" ht="22.5" customHeight="1">
      <c r="A775" s="49"/>
      <c r="B775" s="72">
        <v>0.7479166666666667</v>
      </c>
      <c r="C775" s="71">
        <v>46129.0</v>
      </c>
      <c r="D775" s="10" t="s">
        <v>1782</v>
      </c>
      <c r="E775" s="11" t="s">
        <v>1783</v>
      </c>
      <c r="F775" s="43"/>
      <c r="G775" s="13" t="s">
        <v>1784</v>
      </c>
      <c r="H775" s="14">
        <v>20000.0</v>
      </c>
      <c r="I775" s="15">
        <v>20000.0</v>
      </c>
      <c r="J775" s="37" t="s">
        <v>26</v>
      </c>
      <c r="K775" s="17"/>
      <c r="L775" s="6" t="s">
        <v>1785</v>
      </c>
      <c r="M775" s="6"/>
      <c r="N775" s="6"/>
      <c r="O775" s="6"/>
      <c r="P775" s="6"/>
      <c r="Q775" s="6"/>
      <c r="R775" s="6"/>
    </row>
    <row r="776" ht="22.5" customHeight="1">
      <c r="A776" s="49"/>
      <c r="B776" s="64">
        <v>0.7694120717642363</v>
      </c>
      <c r="C776" s="9">
        <v>46129.0</v>
      </c>
      <c r="D776" s="10" t="s">
        <v>1786</v>
      </c>
      <c r="E776" s="11" t="s">
        <v>1787</v>
      </c>
      <c r="F776" s="43"/>
      <c r="G776" s="13" t="s">
        <v>1788</v>
      </c>
      <c r="H776" s="14">
        <v>5000.0</v>
      </c>
      <c r="I776" s="15">
        <v>5000.0</v>
      </c>
      <c r="J776" s="37" t="s">
        <v>26</v>
      </c>
      <c r="K776" s="17"/>
      <c r="L776" s="6" t="s">
        <v>1789</v>
      </c>
      <c r="M776" s="6"/>
      <c r="N776" s="6"/>
      <c r="O776" s="6"/>
      <c r="P776" s="6"/>
      <c r="Q776" s="6"/>
      <c r="R776" s="6"/>
    </row>
    <row r="777" ht="22.5" customHeight="1">
      <c r="A777" s="49"/>
      <c r="B777" s="8" t="s">
        <v>285</v>
      </c>
      <c r="C777" s="35" t="s">
        <v>285</v>
      </c>
      <c r="D777" s="10" t="s">
        <v>140</v>
      </c>
      <c r="E777" s="11" t="s">
        <v>285</v>
      </c>
      <c r="F777" s="12" t="s">
        <v>285</v>
      </c>
      <c r="G777" s="13" t="s">
        <v>285</v>
      </c>
      <c r="H777" s="14" t="s">
        <v>285</v>
      </c>
      <c r="I777" s="15" t="s">
        <v>285</v>
      </c>
      <c r="J777" s="37" t="s">
        <v>285</v>
      </c>
      <c r="K777" s="31" t="s">
        <v>285</v>
      </c>
      <c r="L777" s="6" t="s">
        <v>1790</v>
      </c>
      <c r="M777" s="6"/>
      <c r="N777" s="6"/>
      <c r="O777" s="6"/>
      <c r="P777" s="6"/>
      <c r="Q777" s="6"/>
      <c r="R777" s="6"/>
    </row>
    <row r="778" ht="22.5" customHeight="1">
      <c r="A778" s="49"/>
      <c r="B778" s="64">
        <v>0.47369405092467787</v>
      </c>
      <c r="C778" s="9">
        <v>46130.0</v>
      </c>
      <c r="D778" s="10" t="s">
        <v>1628</v>
      </c>
      <c r="E778" s="11" t="s">
        <v>1377</v>
      </c>
      <c r="F778" s="43"/>
      <c r="G778" s="13" t="s">
        <v>1629</v>
      </c>
      <c r="H778" s="14">
        <v>3000.0</v>
      </c>
      <c r="I778" s="15">
        <v>3000.0</v>
      </c>
      <c r="J778" s="37" t="s">
        <v>26</v>
      </c>
      <c r="K778" s="17"/>
      <c r="L778" s="6" t="s">
        <v>1791</v>
      </c>
      <c r="M778" s="6"/>
      <c r="N778" s="6"/>
      <c r="O778" s="6"/>
      <c r="P778" s="6"/>
      <c r="Q778" s="6"/>
      <c r="R778" s="6"/>
    </row>
    <row r="779" ht="22.5" customHeight="1">
      <c r="A779" s="49"/>
      <c r="B779" s="64">
        <v>0.47538865740352776</v>
      </c>
      <c r="C779" s="9">
        <v>46130.0</v>
      </c>
      <c r="D779" s="10" t="s">
        <v>23</v>
      </c>
      <c r="E779" s="11" t="s">
        <v>1792</v>
      </c>
      <c r="F779" s="43"/>
      <c r="G779" s="13" t="s">
        <v>25</v>
      </c>
      <c r="H779" s="14">
        <v>2500.0</v>
      </c>
      <c r="I779" s="38"/>
      <c r="J779" s="37" t="s">
        <v>121</v>
      </c>
      <c r="K779" s="17"/>
      <c r="L779" s="6" t="s">
        <v>1793</v>
      </c>
      <c r="M779" s="6"/>
      <c r="N779" s="6"/>
      <c r="O779" s="6"/>
      <c r="P779" s="6"/>
      <c r="Q779" s="6"/>
      <c r="R779" s="6"/>
    </row>
    <row r="780" ht="22.5" customHeight="1">
      <c r="A780" s="7" t="s">
        <v>285</v>
      </c>
      <c r="B780" s="8" t="s">
        <v>285</v>
      </c>
      <c r="C780" s="35" t="s">
        <v>140</v>
      </c>
      <c r="D780" s="10" t="s">
        <v>140</v>
      </c>
      <c r="E780" s="11" t="s">
        <v>285</v>
      </c>
      <c r="F780" s="12" t="s">
        <v>285</v>
      </c>
      <c r="G780" s="13" t="s">
        <v>285</v>
      </c>
      <c r="H780" s="14" t="s">
        <v>285</v>
      </c>
      <c r="I780" s="15" t="s">
        <v>285</v>
      </c>
      <c r="J780" s="37" t="s">
        <v>285</v>
      </c>
      <c r="K780" s="17"/>
      <c r="L780" s="6" t="s">
        <v>1794</v>
      </c>
      <c r="M780" s="6"/>
      <c r="N780" s="6"/>
      <c r="O780" s="6"/>
      <c r="P780" s="6"/>
      <c r="Q780" s="6"/>
      <c r="R780" s="6"/>
    </row>
    <row r="781" ht="22.5" customHeight="1">
      <c r="A781" s="49"/>
      <c r="B781" s="8" t="s">
        <v>285</v>
      </c>
      <c r="C781" s="35" t="s">
        <v>285</v>
      </c>
      <c r="D781" s="10" t="s">
        <v>140</v>
      </c>
      <c r="E781" s="11" t="s">
        <v>285</v>
      </c>
      <c r="F781" s="12" t="s">
        <v>285</v>
      </c>
      <c r="G781" s="13" t="s">
        <v>285</v>
      </c>
      <c r="H781" s="54"/>
      <c r="I781" s="15" t="s">
        <v>285</v>
      </c>
      <c r="J781" s="37" t="s">
        <v>285</v>
      </c>
      <c r="K781" s="17"/>
      <c r="L781" s="6" t="s">
        <v>1795</v>
      </c>
      <c r="M781" s="6"/>
      <c r="N781" s="6"/>
      <c r="O781" s="6"/>
      <c r="P781" s="6"/>
      <c r="Q781" s="6"/>
      <c r="R781" s="6"/>
    </row>
    <row r="782" ht="22.5" customHeight="1">
      <c r="A782" s="7" t="s">
        <v>285</v>
      </c>
      <c r="B782" s="36"/>
      <c r="C782" s="35" t="s">
        <v>285</v>
      </c>
      <c r="D782" s="10" t="s">
        <v>140</v>
      </c>
      <c r="E782" s="11" t="s">
        <v>285</v>
      </c>
      <c r="F782" s="12" t="s">
        <v>285</v>
      </c>
      <c r="G782" s="13" t="s">
        <v>285</v>
      </c>
      <c r="H782" s="14" t="s">
        <v>285</v>
      </c>
      <c r="I782" s="15" t="s">
        <v>285</v>
      </c>
      <c r="J782" s="37" t="s">
        <v>285</v>
      </c>
      <c r="K782" s="17"/>
      <c r="L782" s="6" t="s">
        <v>1796</v>
      </c>
      <c r="M782" s="6"/>
      <c r="N782" s="6"/>
      <c r="O782" s="6"/>
      <c r="P782" s="6"/>
      <c r="Q782" s="6"/>
      <c r="R782" s="6"/>
    </row>
    <row r="783" ht="22.5" customHeight="1">
      <c r="A783" s="49"/>
      <c r="B783" s="72">
        <v>0.5652777777777778</v>
      </c>
      <c r="C783" s="71">
        <v>46130.0</v>
      </c>
      <c r="D783" s="10" t="s">
        <v>424</v>
      </c>
      <c r="E783" s="11" t="s">
        <v>1797</v>
      </c>
      <c r="F783" s="12" t="s">
        <v>1798</v>
      </c>
      <c r="G783" s="13" t="s">
        <v>1519</v>
      </c>
      <c r="H783" s="14">
        <v>670000.0</v>
      </c>
      <c r="I783" s="15">
        <v>0.0</v>
      </c>
      <c r="J783" s="37" t="s">
        <v>103</v>
      </c>
      <c r="K783" s="17"/>
      <c r="L783" s="6" t="s">
        <v>1799</v>
      </c>
      <c r="M783" s="6"/>
      <c r="N783" s="6"/>
      <c r="O783" s="6"/>
      <c r="P783" s="6"/>
      <c r="Q783" s="6"/>
      <c r="R783" s="6"/>
    </row>
    <row r="784" ht="22.5" customHeight="1">
      <c r="A784" s="49"/>
      <c r="B784" s="72">
        <v>0.58125</v>
      </c>
      <c r="C784" s="71">
        <v>46130.0</v>
      </c>
      <c r="D784" s="10" t="s">
        <v>424</v>
      </c>
      <c r="E784" s="11" t="s">
        <v>1797</v>
      </c>
      <c r="F784" s="12" t="s">
        <v>1798</v>
      </c>
      <c r="G784" s="13" t="s">
        <v>1519</v>
      </c>
      <c r="H784" s="14">
        <v>0.0</v>
      </c>
      <c r="I784" s="15">
        <v>0.0</v>
      </c>
      <c r="J784" s="37" t="s">
        <v>103</v>
      </c>
      <c r="K784" s="17"/>
      <c r="L784" s="6" t="s">
        <v>1800</v>
      </c>
      <c r="M784" s="6"/>
      <c r="N784" s="6"/>
      <c r="O784" s="6"/>
      <c r="P784" s="6"/>
      <c r="Q784" s="6"/>
      <c r="R784" s="6"/>
    </row>
    <row r="785" ht="22.5" customHeight="1">
      <c r="A785" s="49"/>
      <c r="B785" s="72">
        <v>0.5881944444444445</v>
      </c>
      <c r="C785" s="71">
        <v>46130.0</v>
      </c>
      <c r="D785" s="10" t="s">
        <v>198</v>
      </c>
      <c r="E785" s="11" t="s">
        <v>569</v>
      </c>
      <c r="F785" s="43"/>
      <c r="G785" s="13" t="s">
        <v>200</v>
      </c>
      <c r="H785" s="14">
        <v>2500.0</v>
      </c>
      <c r="I785" s="15">
        <v>2500.0</v>
      </c>
      <c r="J785" s="37" t="s">
        <v>26</v>
      </c>
      <c r="K785" s="17"/>
      <c r="L785" s="6" t="s">
        <v>1801</v>
      </c>
      <c r="M785" s="6"/>
      <c r="N785" s="6"/>
      <c r="O785" s="6"/>
      <c r="P785" s="6"/>
      <c r="Q785" s="6"/>
      <c r="R785" s="6"/>
    </row>
    <row r="786" ht="22.5" customHeight="1">
      <c r="A786" s="49"/>
      <c r="B786" s="72">
        <v>0.7111111111111111</v>
      </c>
      <c r="C786" s="71">
        <v>46130.0</v>
      </c>
      <c r="D786" s="10" t="s">
        <v>424</v>
      </c>
      <c r="E786" s="11" t="s">
        <v>1802</v>
      </c>
      <c r="F786" s="43"/>
      <c r="G786" s="13" t="s">
        <v>1519</v>
      </c>
      <c r="H786" s="14">
        <v>2500.0</v>
      </c>
      <c r="I786" s="15">
        <v>0.0</v>
      </c>
      <c r="J786" s="37" t="s">
        <v>121</v>
      </c>
      <c r="K786" s="17"/>
      <c r="L786" s="6" t="s">
        <v>1803</v>
      </c>
      <c r="M786" s="6"/>
      <c r="N786" s="6"/>
      <c r="O786" s="6"/>
      <c r="P786" s="6"/>
      <c r="Q786" s="6"/>
      <c r="R786" s="6"/>
    </row>
    <row r="787" ht="22.5" customHeight="1">
      <c r="A787" s="49"/>
      <c r="B787" s="8" t="s">
        <v>195</v>
      </c>
      <c r="C787" s="35" t="s">
        <v>195</v>
      </c>
      <c r="D787" s="10" t="s">
        <v>195</v>
      </c>
      <c r="E787" s="11" t="s">
        <v>195</v>
      </c>
      <c r="F787" s="12" t="s">
        <v>195</v>
      </c>
      <c r="G787" s="13" t="s">
        <v>195</v>
      </c>
      <c r="H787" s="14" t="s">
        <v>195</v>
      </c>
      <c r="I787" s="15" t="s">
        <v>195</v>
      </c>
      <c r="J787" s="37" t="s">
        <v>195</v>
      </c>
      <c r="K787" s="17"/>
      <c r="L787" s="6" t="s">
        <v>1804</v>
      </c>
      <c r="M787" s="6"/>
      <c r="N787" s="6"/>
      <c r="O787" s="6"/>
      <c r="P787" s="6"/>
      <c r="Q787" s="6"/>
      <c r="R787" s="6"/>
    </row>
    <row r="788" ht="22.5" customHeight="1">
      <c r="A788" s="49"/>
      <c r="B788" s="8" t="s">
        <v>195</v>
      </c>
      <c r="C788" s="35" t="s">
        <v>195</v>
      </c>
      <c r="D788" s="10" t="s">
        <v>195</v>
      </c>
      <c r="E788" s="11" t="s">
        <v>195</v>
      </c>
      <c r="F788" s="12" t="s">
        <v>195</v>
      </c>
      <c r="G788" s="13" t="s">
        <v>195</v>
      </c>
      <c r="H788" s="14" t="s">
        <v>195</v>
      </c>
      <c r="I788" s="15" t="s">
        <v>195</v>
      </c>
      <c r="J788" s="37" t="s">
        <v>195</v>
      </c>
      <c r="K788" s="17"/>
      <c r="L788" s="6" t="s">
        <v>1805</v>
      </c>
      <c r="M788" s="6"/>
      <c r="N788" s="6"/>
      <c r="O788" s="6"/>
      <c r="P788" s="6"/>
      <c r="Q788" s="6"/>
      <c r="R788" s="6"/>
    </row>
    <row r="789" ht="22.5" customHeight="1">
      <c r="A789" s="49"/>
      <c r="B789" s="8" t="s">
        <v>195</v>
      </c>
      <c r="C789" s="35" t="s">
        <v>195</v>
      </c>
      <c r="D789" s="10" t="s">
        <v>195</v>
      </c>
      <c r="E789" s="11" t="s">
        <v>195</v>
      </c>
      <c r="F789" s="12" t="s">
        <v>195</v>
      </c>
      <c r="G789" s="13" t="s">
        <v>195</v>
      </c>
      <c r="H789" s="14" t="s">
        <v>195</v>
      </c>
      <c r="I789" s="15" t="s">
        <v>195</v>
      </c>
      <c r="J789" s="37" t="s">
        <v>195</v>
      </c>
      <c r="K789" s="17"/>
      <c r="L789" s="6" t="s">
        <v>1806</v>
      </c>
      <c r="M789" s="6"/>
      <c r="N789" s="6"/>
      <c r="O789" s="6"/>
      <c r="P789" s="6"/>
      <c r="Q789" s="6"/>
      <c r="R789" s="6"/>
    </row>
    <row r="790" ht="22.5" customHeight="1">
      <c r="A790" s="49"/>
      <c r="B790" s="64">
        <v>0.44209513888927177</v>
      </c>
      <c r="C790" s="9">
        <v>46132.0</v>
      </c>
      <c r="D790" s="10" t="s">
        <v>74</v>
      </c>
      <c r="E790" s="11" t="s">
        <v>1807</v>
      </c>
      <c r="F790" s="43"/>
      <c r="G790" s="13" t="s">
        <v>76</v>
      </c>
      <c r="H790" s="14">
        <v>2500.0</v>
      </c>
      <c r="I790" s="15">
        <v>2500.0</v>
      </c>
      <c r="J790" s="37" t="s">
        <v>26</v>
      </c>
      <c r="K790" s="17"/>
      <c r="L790" s="6" t="s">
        <v>1808</v>
      </c>
      <c r="M790" s="6"/>
      <c r="N790" s="6"/>
      <c r="O790" s="6"/>
      <c r="P790" s="6"/>
      <c r="Q790" s="6"/>
      <c r="R790" s="6"/>
    </row>
    <row r="791" ht="22.5" customHeight="1">
      <c r="A791" s="49"/>
      <c r="B791" s="8" t="s">
        <v>285</v>
      </c>
      <c r="C791" s="35" t="s">
        <v>285</v>
      </c>
      <c r="D791" s="10" t="s">
        <v>285</v>
      </c>
      <c r="E791" s="11" t="s">
        <v>285</v>
      </c>
      <c r="F791" s="12" t="s">
        <v>285</v>
      </c>
      <c r="G791" s="13" t="s">
        <v>285</v>
      </c>
      <c r="H791" s="14" t="s">
        <v>285</v>
      </c>
      <c r="I791" s="15" t="s">
        <v>285</v>
      </c>
      <c r="J791" s="37" t="s">
        <v>285</v>
      </c>
      <c r="K791" s="17"/>
      <c r="L791" s="6" t="s">
        <v>1809</v>
      </c>
      <c r="M791" s="6"/>
      <c r="N791" s="6"/>
      <c r="O791" s="6"/>
      <c r="P791" s="6"/>
      <c r="Q791" s="6"/>
      <c r="R791" s="6"/>
    </row>
    <row r="792" ht="22.5" customHeight="1">
      <c r="A792" s="49"/>
      <c r="B792" s="8" t="s">
        <v>285</v>
      </c>
      <c r="C792" s="35" t="s">
        <v>285</v>
      </c>
      <c r="D792" s="10" t="s">
        <v>140</v>
      </c>
      <c r="E792" s="11" t="s">
        <v>285</v>
      </c>
      <c r="F792" s="12" t="s">
        <v>285</v>
      </c>
      <c r="G792" s="13" t="s">
        <v>285</v>
      </c>
      <c r="H792" s="14" t="s">
        <v>285</v>
      </c>
      <c r="I792" s="15" t="s">
        <v>285</v>
      </c>
      <c r="J792" s="37" t="s">
        <v>285</v>
      </c>
      <c r="K792" s="17"/>
      <c r="L792" s="6" t="s">
        <v>1810</v>
      </c>
      <c r="M792" s="6"/>
      <c r="N792" s="6"/>
      <c r="O792" s="6"/>
      <c r="P792" s="6"/>
      <c r="Q792" s="6"/>
      <c r="R792" s="6"/>
    </row>
    <row r="793" ht="22.5" customHeight="1">
      <c r="A793" s="49"/>
      <c r="B793" s="8" t="s">
        <v>285</v>
      </c>
      <c r="C793" s="35" t="s">
        <v>285</v>
      </c>
      <c r="D793" s="10" t="s">
        <v>140</v>
      </c>
      <c r="E793" s="11" t="s">
        <v>285</v>
      </c>
      <c r="F793" s="12" t="s">
        <v>285</v>
      </c>
      <c r="G793" s="13" t="s">
        <v>285</v>
      </c>
      <c r="H793" s="14" t="s">
        <v>285</v>
      </c>
      <c r="I793" s="15" t="s">
        <v>285</v>
      </c>
      <c r="J793" s="37" t="s">
        <v>285</v>
      </c>
      <c r="K793" s="17"/>
      <c r="L793" s="6" t="s">
        <v>1811</v>
      </c>
      <c r="M793" s="6"/>
      <c r="N793" s="6"/>
      <c r="O793" s="6"/>
      <c r="P793" s="6"/>
      <c r="Q793" s="6"/>
      <c r="R793" s="6"/>
    </row>
    <row r="794" ht="22.5" customHeight="1">
      <c r="A794" s="49"/>
      <c r="B794" s="72">
        <v>0.43819444444444444</v>
      </c>
      <c r="C794" s="71">
        <v>46132.0</v>
      </c>
      <c r="D794" s="10" t="s">
        <v>127</v>
      </c>
      <c r="E794" s="11" t="s">
        <v>1812</v>
      </c>
      <c r="F794" s="12" t="s">
        <v>1813</v>
      </c>
      <c r="G794" s="13" t="s">
        <v>129</v>
      </c>
      <c r="H794" s="14">
        <v>180000.0</v>
      </c>
      <c r="I794" s="15">
        <v>180000.0</v>
      </c>
      <c r="J794" s="37" t="s">
        <v>26</v>
      </c>
      <c r="K794" s="17"/>
      <c r="L794" s="6" t="s">
        <v>1814</v>
      </c>
      <c r="M794" s="6"/>
      <c r="N794" s="6"/>
      <c r="O794" s="6"/>
      <c r="P794" s="6"/>
      <c r="Q794" s="6"/>
      <c r="R794" s="6"/>
    </row>
    <row r="795" ht="22.5" customHeight="1">
      <c r="A795" s="49"/>
      <c r="B795" s="72">
        <v>0.43819444444444444</v>
      </c>
      <c r="C795" s="71">
        <v>46132.0</v>
      </c>
      <c r="D795" s="10" t="s">
        <v>133</v>
      </c>
      <c r="E795" s="11" t="s">
        <v>1815</v>
      </c>
      <c r="F795" s="12" t="s">
        <v>1816</v>
      </c>
      <c r="G795" s="13" t="s">
        <v>136</v>
      </c>
      <c r="H795" s="14">
        <v>350000.0</v>
      </c>
      <c r="I795" s="15">
        <v>0.0</v>
      </c>
      <c r="J795" s="37" t="s">
        <v>103</v>
      </c>
      <c r="K795" s="17"/>
      <c r="L795" s="6" t="s">
        <v>1817</v>
      </c>
      <c r="M795" s="6"/>
      <c r="N795" s="6"/>
      <c r="O795" s="6"/>
      <c r="P795" s="6"/>
      <c r="Q795" s="6"/>
      <c r="R795" s="6"/>
    </row>
    <row r="796" ht="22.5" customHeight="1">
      <c r="A796" s="49"/>
      <c r="B796" s="64">
        <v>0.5432543634233298</v>
      </c>
      <c r="C796" s="9">
        <v>46132.0</v>
      </c>
      <c r="D796" s="10" t="s">
        <v>874</v>
      </c>
      <c r="E796" s="11" t="s">
        <v>1429</v>
      </c>
      <c r="F796" s="55" t="s">
        <v>1684</v>
      </c>
      <c r="G796" s="13" t="s">
        <v>876</v>
      </c>
      <c r="H796" s="14">
        <v>560000.0</v>
      </c>
      <c r="I796" s="15">
        <v>0.0</v>
      </c>
      <c r="J796" s="37" t="s">
        <v>103</v>
      </c>
      <c r="K796" s="17"/>
      <c r="L796" s="6" t="s">
        <v>1818</v>
      </c>
      <c r="M796" s="6"/>
      <c r="N796" s="6"/>
      <c r="O796" s="6"/>
      <c r="P796" s="6"/>
      <c r="Q796" s="6"/>
      <c r="R796" s="6"/>
    </row>
    <row r="797" ht="22.5" customHeight="1">
      <c r="A797" s="49"/>
      <c r="B797" s="64">
        <v>0.554527199070435</v>
      </c>
      <c r="C797" s="9">
        <v>46132.0</v>
      </c>
      <c r="D797" s="10" t="s">
        <v>54</v>
      </c>
      <c r="E797" s="11" t="s">
        <v>1819</v>
      </c>
      <c r="F797" s="43"/>
      <c r="G797" s="13" t="s">
        <v>56</v>
      </c>
      <c r="H797" s="14">
        <v>2500.0</v>
      </c>
      <c r="I797" s="15">
        <v>2500.0</v>
      </c>
      <c r="J797" s="37" t="s">
        <v>26</v>
      </c>
      <c r="K797" s="17"/>
      <c r="L797" s="6" t="s">
        <v>1820</v>
      </c>
      <c r="M797" s="6"/>
      <c r="N797" s="6"/>
      <c r="O797" s="6"/>
      <c r="P797" s="6"/>
      <c r="Q797" s="6"/>
      <c r="R797" s="6"/>
    </row>
    <row r="798" ht="22.5" customHeight="1">
      <c r="A798" s="49"/>
      <c r="B798" s="64">
        <v>0.554545636572584</v>
      </c>
      <c r="C798" s="9">
        <v>46132.0</v>
      </c>
      <c r="D798" s="10" t="s">
        <v>300</v>
      </c>
      <c r="E798" s="11" t="s">
        <v>739</v>
      </c>
      <c r="F798" s="43"/>
      <c r="G798" s="13" t="s">
        <v>302</v>
      </c>
      <c r="H798" s="14">
        <v>3000.0</v>
      </c>
      <c r="I798" s="38"/>
      <c r="J798" s="37" t="s">
        <v>121</v>
      </c>
      <c r="K798" s="17"/>
      <c r="L798" s="6" t="s">
        <v>1821</v>
      </c>
      <c r="M798" s="6"/>
      <c r="N798" s="6"/>
      <c r="O798" s="6"/>
      <c r="P798" s="6"/>
      <c r="Q798" s="6"/>
      <c r="R798" s="6"/>
    </row>
    <row r="799" ht="22.5" customHeight="1">
      <c r="A799" s="49"/>
      <c r="B799" s="72">
        <v>0.5291666666666667</v>
      </c>
      <c r="C799" s="71">
        <v>46132.0</v>
      </c>
      <c r="D799" s="10" t="s">
        <v>485</v>
      </c>
      <c r="E799" s="11" t="s">
        <v>1822</v>
      </c>
      <c r="F799" s="43"/>
      <c r="G799" s="13" t="s">
        <v>486</v>
      </c>
      <c r="H799" s="14">
        <v>3000.0</v>
      </c>
      <c r="I799" s="15">
        <v>3000.0</v>
      </c>
      <c r="J799" s="37" t="s">
        <v>26</v>
      </c>
      <c r="K799" s="17"/>
      <c r="L799" s="6" t="s">
        <v>1823</v>
      </c>
      <c r="M799" s="6"/>
      <c r="N799" s="6"/>
      <c r="O799" s="6"/>
      <c r="P799" s="6"/>
      <c r="Q799" s="6"/>
      <c r="R799" s="6"/>
    </row>
    <row r="800" ht="22.5" customHeight="1">
      <c r="A800" s="49"/>
      <c r="B800" s="72">
        <v>0.5319444444444444</v>
      </c>
      <c r="C800" s="71">
        <v>46132.0</v>
      </c>
      <c r="D800" s="10" t="s">
        <v>364</v>
      </c>
      <c r="E800" s="11" t="s">
        <v>1824</v>
      </c>
      <c r="F800" s="43"/>
      <c r="G800" s="13" t="s">
        <v>366</v>
      </c>
      <c r="H800" s="14">
        <v>2500.0</v>
      </c>
      <c r="I800" s="15">
        <v>0.0</v>
      </c>
      <c r="J800" s="37" t="s">
        <v>121</v>
      </c>
      <c r="K800" s="17"/>
      <c r="L800" s="6" t="s">
        <v>1825</v>
      </c>
      <c r="M800" s="6"/>
      <c r="N800" s="6"/>
      <c r="O800" s="6"/>
      <c r="P800" s="6"/>
      <c r="Q800" s="6"/>
      <c r="R800" s="6"/>
    </row>
    <row r="801" ht="22.5" customHeight="1">
      <c r="A801" s="49"/>
      <c r="B801" s="72">
        <v>0.5340277777777778</v>
      </c>
      <c r="C801" s="71">
        <v>46132.0</v>
      </c>
      <c r="D801" s="10" t="s">
        <v>874</v>
      </c>
      <c r="E801" s="11" t="s">
        <v>1826</v>
      </c>
      <c r="F801" s="12" t="s">
        <v>1684</v>
      </c>
      <c r="G801" s="13" t="s">
        <v>876</v>
      </c>
      <c r="H801" s="14">
        <v>560000.0</v>
      </c>
      <c r="I801" s="15">
        <v>0.0</v>
      </c>
      <c r="J801" s="37" t="s">
        <v>103</v>
      </c>
      <c r="K801" s="17"/>
      <c r="L801" s="6" t="s">
        <v>1827</v>
      </c>
      <c r="M801" s="6"/>
      <c r="N801" s="6"/>
      <c r="O801" s="6"/>
      <c r="P801" s="6"/>
      <c r="Q801" s="6"/>
      <c r="R801" s="6"/>
    </row>
    <row r="802" ht="22.5" customHeight="1">
      <c r="A802" s="49"/>
      <c r="B802" s="72">
        <v>0.5472222222222223</v>
      </c>
      <c r="C802" s="71">
        <v>46132.0</v>
      </c>
      <c r="D802" s="10" t="s">
        <v>1562</v>
      </c>
      <c r="E802" s="11" t="s">
        <v>1828</v>
      </c>
      <c r="F802" s="12" t="s">
        <v>1829</v>
      </c>
      <c r="G802" s="13" t="s">
        <v>1565</v>
      </c>
      <c r="H802" s="14">
        <v>240000.0</v>
      </c>
      <c r="I802" s="15">
        <v>240000.0</v>
      </c>
      <c r="J802" s="37" t="s">
        <v>26</v>
      </c>
      <c r="K802" s="17"/>
      <c r="L802" s="6" t="s">
        <v>1830</v>
      </c>
      <c r="M802" s="6"/>
      <c r="N802" s="6"/>
      <c r="O802" s="6"/>
      <c r="P802" s="6"/>
      <c r="Q802" s="6"/>
      <c r="R802" s="6"/>
    </row>
    <row r="803" ht="22.5" customHeight="1">
      <c r="A803" s="49"/>
      <c r="B803" s="72">
        <v>0.5791666666666667</v>
      </c>
      <c r="C803" s="71">
        <v>46132.0</v>
      </c>
      <c r="D803" s="10" t="s">
        <v>1831</v>
      </c>
      <c r="E803" s="11" t="s">
        <v>1692</v>
      </c>
      <c r="F803" s="12" t="s">
        <v>1693</v>
      </c>
      <c r="G803" s="13" t="s">
        <v>1832</v>
      </c>
      <c r="H803" s="14">
        <v>855000.0</v>
      </c>
      <c r="I803" s="15">
        <v>855000.0</v>
      </c>
      <c r="J803" s="37" t="s">
        <v>26</v>
      </c>
      <c r="K803" s="17"/>
      <c r="L803" s="6" t="s">
        <v>1833</v>
      </c>
      <c r="M803" s="6"/>
      <c r="N803" s="6"/>
      <c r="O803" s="6"/>
      <c r="P803" s="6"/>
      <c r="Q803" s="6"/>
      <c r="R803" s="6"/>
    </row>
    <row r="804" ht="22.5" customHeight="1">
      <c r="A804" s="49"/>
      <c r="B804" s="72">
        <v>0.5805555555555556</v>
      </c>
      <c r="C804" s="71">
        <v>46132.0</v>
      </c>
      <c r="D804" s="10" t="s">
        <v>400</v>
      </c>
      <c r="E804" s="11" t="s">
        <v>1834</v>
      </c>
      <c r="F804" s="43"/>
      <c r="G804" s="13" t="s">
        <v>402</v>
      </c>
      <c r="H804" s="14">
        <v>3000.0</v>
      </c>
      <c r="I804" s="15">
        <v>3000.0</v>
      </c>
      <c r="J804" s="37" t="s">
        <v>26</v>
      </c>
      <c r="K804" s="17"/>
      <c r="L804" s="6" t="s">
        <v>1835</v>
      </c>
      <c r="M804" s="6"/>
      <c r="N804" s="6"/>
      <c r="O804" s="6"/>
      <c r="P804" s="6"/>
      <c r="Q804" s="6"/>
      <c r="R804" s="6"/>
    </row>
    <row r="805" ht="22.5" customHeight="1">
      <c r="A805" s="49"/>
      <c r="B805" s="72">
        <v>0.5909722222222222</v>
      </c>
      <c r="C805" s="71">
        <v>46132.0</v>
      </c>
      <c r="D805" s="10" t="s">
        <v>874</v>
      </c>
      <c r="E805" s="11" t="s">
        <v>1815</v>
      </c>
      <c r="F805" s="12" t="s">
        <v>1816</v>
      </c>
      <c r="G805" s="13" t="s">
        <v>876</v>
      </c>
      <c r="H805" s="14">
        <v>345000.0</v>
      </c>
      <c r="I805" s="15">
        <v>0.0</v>
      </c>
      <c r="J805" s="37" t="s">
        <v>103</v>
      </c>
      <c r="K805" s="17"/>
      <c r="L805" s="6" t="s">
        <v>1836</v>
      </c>
      <c r="M805" s="6"/>
      <c r="N805" s="6"/>
      <c r="O805" s="6"/>
      <c r="P805" s="6"/>
      <c r="Q805" s="6"/>
      <c r="R805" s="6"/>
    </row>
    <row r="806" ht="22.5" customHeight="1">
      <c r="A806" s="49"/>
      <c r="B806" s="72">
        <v>0.5986111111111111</v>
      </c>
      <c r="C806" s="71">
        <v>46132.0</v>
      </c>
      <c r="D806" s="10" t="s">
        <v>1837</v>
      </c>
      <c r="E806" s="11" t="s">
        <v>1838</v>
      </c>
      <c r="F806" s="43"/>
      <c r="G806" s="13" t="s">
        <v>1839</v>
      </c>
      <c r="H806" s="14">
        <v>2500.0</v>
      </c>
      <c r="I806" s="15">
        <v>2500.0</v>
      </c>
      <c r="J806" s="37" t="s">
        <v>26</v>
      </c>
      <c r="K806" s="17"/>
      <c r="L806" s="6" t="s">
        <v>1840</v>
      </c>
      <c r="M806" s="6"/>
      <c r="N806" s="6"/>
      <c r="O806" s="6"/>
      <c r="P806" s="6"/>
      <c r="Q806" s="6"/>
      <c r="R806" s="6"/>
    </row>
    <row r="807" ht="22.5" customHeight="1">
      <c r="A807" s="49"/>
      <c r="B807" s="64">
        <v>0.6460616550903069</v>
      </c>
      <c r="C807" s="9">
        <v>46132.0</v>
      </c>
      <c r="D807" s="10" t="s">
        <v>1841</v>
      </c>
      <c r="E807" s="11" t="s">
        <v>1842</v>
      </c>
      <c r="F807" s="43"/>
      <c r="G807" s="13" t="s">
        <v>1843</v>
      </c>
      <c r="H807" s="14">
        <v>2500.0</v>
      </c>
      <c r="I807" s="15">
        <v>2500.0</v>
      </c>
      <c r="J807" s="37" t="s">
        <v>26</v>
      </c>
      <c r="K807" s="17"/>
      <c r="L807" s="6" t="s">
        <v>1844</v>
      </c>
      <c r="M807" s="6"/>
      <c r="N807" s="6"/>
      <c r="O807" s="6"/>
      <c r="P807" s="6"/>
      <c r="Q807" s="6"/>
      <c r="R807" s="6"/>
    </row>
    <row r="808" ht="22.5" customHeight="1">
      <c r="A808" s="49"/>
      <c r="B808" s="72">
        <v>0.6034722222222222</v>
      </c>
      <c r="C808" s="71">
        <v>46132.0</v>
      </c>
      <c r="D808" s="10" t="s">
        <v>1759</v>
      </c>
      <c r="E808" s="11" t="s">
        <v>1465</v>
      </c>
      <c r="F808" s="43"/>
      <c r="G808" s="13" t="s">
        <v>1761</v>
      </c>
      <c r="H808" s="14">
        <v>5000.0</v>
      </c>
      <c r="I808" s="15">
        <v>5000.0</v>
      </c>
      <c r="J808" s="37" t="s">
        <v>26</v>
      </c>
      <c r="K808" s="17"/>
      <c r="L808" s="6" t="s">
        <v>1845</v>
      </c>
      <c r="M808" s="6"/>
      <c r="N808" s="6"/>
      <c r="O808" s="6"/>
      <c r="P808" s="6"/>
      <c r="Q808" s="6"/>
      <c r="R808" s="6"/>
    </row>
    <row r="809" ht="22.5" customHeight="1">
      <c r="A809" s="49"/>
      <c r="B809" s="72">
        <v>0.6229166666666667</v>
      </c>
      <c r="C809" s="71">
        <v>46132.0</v>
      </c>
      <c r="D809" s="10" t="s">
        <v>70</v>
      </c>
      <c r="E809" s="11" t="s">
        <v>1846</v>
      </c>
      <c r="F809" s="43"/>
      <c r="G809" s="13" t="s">
        <v>72</v>
      </c>
      <c r="H809" s="14">
        <v>2500.0</v>
      </c>
      <c r="I809" s="15">
        <v>2500.0</v>
      </c>
      <c r="J809" s="37" t="s">
        <v>26</v>
      </c>
      <c r="K809" s="17"/>
      <c r="L809" s="6" t="s">
        <v>1847</v>
      </c>
      <c r="M809" s="6"/>
      <c r="N809" s="6"/>
      <c r="O809" s="6"/>
      <c r="P809" s="6"/>
      <c r="Q809" s="6"/>
      <c r="R809" s="6"/>
    </row>
    <row r="810" ht="22.5" customHeight="1">
      <c r="A810" s="49"/>
      <c r="B810" s="72">
        <v>0.6416666666666667</v>
      </c>
      <c r="C810" s="71">
        <v>46132.0</v>
      </c>
      <c r="D810" s="10" t="s">
        <v>78</v>
      </c>
      <c r="E810" s="11" t="s">
        <v>1848</v>
      </c>
      <c r="F810" s="43"/>
      <c r="G810" s="13" t="s">
        <v>80</v>
      </c>
      <c r="H810" s="14">
        <v>2500.0</v>
      </c>
      <c r="I810" s="15">
        <v>2500.0</v>
      </c>
      <c r="J810" s="37" t="s">
        <v>26</v>
      </c>
      <c r="K810" s="17"/>
      <c r="L810" s="6" t="s">
        <v>1849</v>
      </c>
      <c r="M810" s="6"/>
      <c r="N810" s="6"/>
      <c r="O810" s="6"/>
      <c r="P810" s="6"/>
      <c r="Q810" s="6"/>
      <c r="R810" s="6"/>
    </row>
    <row r="811" ht="22.5" customHeight="1">
      <c r="A811" s="49"/>
      <c r="B811" s="72">
        <v>0.6534722222222222</v>
      </c>
      <c r="C811" s="71">
        <v>46132.0</v>
      </c>
      <c r="D811" s="10" t="s">
        <v>1850</v>
      </c>
      <c r="E811" s="11" t="s">
        <v>1851</v>
      </c>
      <c r="F811" s="43"/>
      <c r="G811" s="13" t="s">
        <v>1852</v>
      </c>
      <c r="H811" s="14">
        <v>25000.0</v>
      </c>
      <c r="I811" s="15">
        <v>25000.0</v>
      </c>
      <c r="J811" s="37" t="s">
        <v>26</v>
      </c>
      <c r="K811" s="17"/>
      <c r="L811" s="6" t="s">
        <v>1853</v>
      </c>
      <c r="M811" s="6"/>
      <c r="N811" s="6"/>
      <c r="O811" s="6"/>
      <c r="P811" s="6"/>
      <c r="Q811" s="6"/>
      <c r="R811" s="6"/>
    </row>
    <row r="812" ht="22.5" customHeight="1">
      <c r="A812" s="49"/>
      <c r="B812" s="72">
        <v>0.7048611111111112</v>
      </c>
      <c r="C812" s="71">
        <v>46132.0</v>
      </c>
      <c r="D812" s="10" t="s">
        <v>1854</v>
      </c>
      <c r="E812" s="11" t="s">
        <v>1855</v>
      </c>
      <c r="F812" s="43"/>
      <c r="G812" s="13" t="s">
        <v>1856</v>
      </c>
      <c r="H812" s="14">
        <v>5000.0</v>
      </c>
      <c r="I812" s="15">
        <v>5000.0</v>
      </c>
      <c r="J812" s="37" t="s">
        <v>26</v>
      </c>
      <c r="K812" s="17"/>
      <c r="L812" s="6" t="s">
        <v>1857</v>
      </c>
      <c r="M812" s="6"/>
      <c r="N812" s="6"/>
      <c r="O812" s="6"/>
      <c r="P812" s="6"/>
      <c r="Q812" s="6"/>
      <c r="R812" s="6"/>
    </row>
    <row r="813" ht="22.5" customHeight="1">
      <c r="A813" s="49"/>
      <c r="B813" s="72">
        <v>0.7111111111111111</v>
      </c>
      <c r="C813" s="71">
        <v>46132.0</v>
      </c>
      <c r="D813" s="10" t="s">
        <v>386</v>
      </c>
      <c r="E813" s="11" t="s">
        <v>1858</v>
      </c>
      <c r="F813" s="12" t="s">
        <v>1859</v>
      </c>
      <c r="G813" s="13" t="s">
        <v>388</v>
      </c>
      <c r="H813" s="14">
        <v>1100000.0</v>
      </c>
      <c r="I813" s="15">
        <v>1100000.0</v>
      </c>
      <c r="J813" s="37" t="s">
        <v>26</v>
      </c>
      <c r="K813" s="17"/>
      <c r="L813" s="6" t="s">
        <v>1860</v>
      </c>
      <c r="M813" s="6"/>
      <c r="N813" s="6"/>
      <c r="O813" s="6"/>
      <c r="P813" s="6"/>
      <c r="Q813" s="6"/>
      <c r="R813" s="6"/>
    </row>
    <row r="814" ht="22.5" customHeight="1">
      <c r="A814" s="49"/>
      <c r="B814" s="72">
        <v>0.7111111111111111</v>
      </c>
      <c r="C814" s="71">
        <v>46132.0</v>
      </c>
      <c r="D814" s="10" t="s">
        <v>418</v>
      </c>
      <c r="E814" s="11" t="s">
        <v>1861</v>
      </c>
      <c r="F814" s="43"/>
      <c r="G814" s="13" t="s">
        <v>421</v>
      </c>
      <c r="H814" s="14">
        <v>5000.0</v>
      </c>
      <c r="I814" s="15">
        <v>5000.0</v>
      </c>
      <c r="J814" s="37" t="s">
        <v>26</v>
      </c>
      <c r="K814" s="17"/>
      <c r="L814" s="6" t="s">
        <v>1862</v>
      </c>
      <c r="M814" s="6"/>
      <c r="N814" s="6"/>
      <c r="O814" s="6"/>
      <c r="P814" s="6"/>
      <c r="Q814" s="6"/>
      <c r="R814" s="6"/>
    </row>
    <row r="815" ht="22.5" customHeight="1">
      <c r="A815" s="49"/>
      <c r="B815" s="8" t="s">
        <v>285</v>
      </c>
      <c r="C815" s="35" t="s">
        <v>285</v>
      </c>
      <c r="D815" s="10" t="s">
        <v>140</v>
      </c>
      <c r="E815" s="11" t="s">
        <v>285</v>
      </c>
      <c r="F815" s="12" t="s">
        <v>285</v>
      </c>
      <c r="G815" s="13" t="s">
        <v>285</v>
      </c>
      <c r="H815" s="14" t="s">
        <v>285</v>
      </c>
      <c r="I815" s="15" t="s">
        <v>285</v>
      </c>
      <c r="J815" s="37" t="s">
        <v>285</v>
      </c>
      <c r="K815" s="17"/>
      <c r="L815" s="6" t="s">
        <v>1863</v>
      </c>
      <c r="M815" s="6"/>
      <c r="N815" s="6"/>
      <c r="O815" s="6"/>
      <c r="P815" s="6"/>
      <c r="Q815" s="6"/>
      <c r="R815" s="6"/>
    </row>
    <row r="816" ht="22.5" customHeight="1">
      <c r="A816" s="49"/>
      <c r="B816" s="8" t="s">
        <v>285</v>
      </c>
      <c r="C816" s="35" t="s">
        <v>285</v>
      </c>
      <c r="D816" s="10" t="s">
        <v>140</v>
      </c>
      <c r="E816" s="11" t="s">
        <v>285</v>
      </c>
      <c r="F816" s="12" t="s">
        <v>285</v>
      </c>
      <c r="G816" s="13" t="s">
        <v>285</v>
      </c>
      <c r="H816" s="14" t="s">
        <v>285</v>
      </c>
      <c r="I816" s="15" t="s">
        <v>285</v>
      </c>
      <c r="J816" s="37" t="s">
        <v>285</v>
      </c>
      <c r="K816" s="17"/>
      <c r="L816" s="6" t="s">
        <v>1864</v>
      </c>
      <c r="M816" s="6"/>
      <c r="N816" s="6"/>
      <c r="O816" s="6"/>
      <c r="P816" s="6"/>
      <c r="Q816" s="6"/>
      <c r="R816" s="6"/>
    </row>
    <row r="817" ht="22.5" customHeight="1">
      <c r="A817" s="49"/>
      <c r="B817" s="8" t="s">
        <v>285</v>
      </c>
      <c r="C817" s="35" t="s">
        <v>285</v>
      </c>
      <c r="D817" s="10" t="s">
        <v>140</v>
      </c>
      <c r="E817" s="11" t="s">
        <v>285</v>
      </c>
      <c r="F817" s="12" t="s">
        <v>285</v>
      </c>
      <c r="G817" s="13" t="s">
        <v>285</v>
      </c>
      <c r="H817" s="14" t="s">
        <v>285</v>
      </c>
      <c r="I817" s="15" t="s">
        <v>285</v>
      </c>
      <c r="J817" s="37" t="s">
        <v>285</v>
      </c>
      <c r="K817" s="17"/>
      <c r="L817" s="6" t="s">
        <v>1865</v>
      </c>
      <c r="M817" s="6"/>
      <c r="N817" s="6"/>
      <c r="O817" s="6"/>
      <c r="P817" s="6"/>
      <c r="Q817" s="6"/>
      <c r="R817" s="6"/>
    </row>
    <row r="818" ht="22.5" customHeight="1">
      <c r="A818" s="49"/>
      <c r="B818" s="64">
        <v>0.4548771412082715</v>
      </c>
      <c r="C818" s="9">
        <v>46133.0</v>
      </c>
      <c r="D818" s="10" t="s">
        <v>851</v>
      </c>
      <c r="E818" s="11" t="s">
        <v>1866</v>
      </c>
      <c r="F818" s="12" t="s">
        <v>1684</v>
      </c>
      <c r="G818" s="13" t="s">
        <v>853</v>
      </c>
      <c r="H818" s="14">
        <v>560000.0</v>
      </c>
      <c r="I818" s="15">
        <v>560000.0</v>
      </c>
      <c r="J818" s="37" t="s">
        <v>26</v>
      </c>
      <c r="K818" s="17"/>
      <c r="L818" s="6" t="s">
        <v>1867</v>
      </c>
      <c r="M818" s="6"/>
      <c r="N818" s="6"/>
      <c r="O818" s="6"/>
      <c r="P818" s="6"/>
      <c r="Q818" s="6"/>
      <c r="R818" s="6"/>
    </row>
    <row r="819" ht="22.5" customHeight="1">
      <c r="A819" s="49"/>
      <c r="B819" s="64">
        <v>0.468609965275391</v>
      </c>
      <c r="C819" s="9">
        <v>46133.0</v>
      </c>
      <c r="D819" s="10" t="s">
        <v>306</v>
      </c>
      <c r="E819" s="11" t="s">
        <v>1868</v>
      </c>
      <c r="F819" s="43"/>
      <c r="G819" s="13" t="s">
        <v>307</v>
      </c>
      <c r="H819" s="14">
        <v>2500.0</v>
      </c>
      <c r="I819" s="38"/>
      <c r="J819" s="37" t="s">
        <v>121</v>
      </c>
      <c r="K819" s="17"/>
      <c r="L819" s="6" t="s">
        <v>1869</v>
      </c>
      <c r="M819" s="6"/>
      <c r="N819" s="6"/>
      <c r="O819" s="6"/>
      <c r="P819" s="6"/>
      <c r="Q819" s="6"/>
      <c r="R819" s="6"/>
    </row>
    <row r="820" ht="22.5" customHeight="1">
      <c r="A820" s="49"/>
      <c r="B820" s="72">
        <v>0.4527777777777778</v>
      </c>
      <c r="C820" s="71">
        <v>46133.0</v>
      </c>
      <c r="D820" s="10" t="s">
        <v>1870</v>
      </c>
      <c r="E820" s="11" t="s">
        <v>501</v>
      </c>
      <c r="F820" s="12" t="s">
        <v>1645</v>
      </c>
      <c r="G820" s="13" t="s">
        <v>1871</v>
      </c>
      <c r="H820" s="14">
        <v>1100000.0</v>
      </c>
      <c r="I820" s="15">
        <v>1100000.0</v>
      </c>
      <c r="J820" s="37" t="s">
        <v>26</v>
      </c>
      <c r="K820" s="17"/>
      <c r="L820" s="6" t="s">
        <v>1872</v>
      </c>
      <c r="M820" s="6"/>
      <c r="N820" s="6"/>
      <c r="O820" s="6"/>
      <c r="P820" s="6"/>
      <c r="Q820" s="6"/>
      <c r="R820" s="6"/>
    </row>
    <row r="821" ht="22.5" customHeight="1">
      <c r="A821" s="49"/>
      <c r="B821" s="8" t="s">
        <v>285</v>
      </c>
      <c r="C821" s="35" t="s">
        <v>285</v>
      </c>
      <c r="D821" s="10" t="s">
        <v>140</v>
      </c>
      <c r="E821" s="11" t="s">
        <v>285</v>
      </c>
      <c r="F821" s="12" t="s">
        <v>285</v>
      </c>
      <c r="G821" s="13" t="s">
        <v>285</v>
      </c>
      <c r="H821" s="14" t="s">
        <v>285</v>
      </c>
      <c r="I821" s="15" t="s">
        <v>285</v>
      </c>
      <c r="J821" s="37" t="s">
        <v>285</v>
      </c>
      <c r="K821" s="17"/>
      <c r="L821" s="6" t="s">
        <v>1873</v>
      </c>
      <c r="M821" s="6"/>
      <c r="N821" s="6"/>
      <c r="O821" s="6"/>
      <c r="P821" s="6"/>
      <c r="Q821" s="6"/>
      <c r="R821" s="6"/>
    </row>
    <row r="822" ht="22.5" customHeight="1">
      <c r="A822" s="7" t="s">
        <v>285</v>
      </c>
      <c r="B822" s="8" t="s">
        <v>285</v>
      </c>
      <c r="C822" s="35" t="s">
        <v>285</v>
      </c>
      <c r="D822" s="10" t="s">
        <v>140</v>
      </c>
      <c r="E822" s="11" t="s">
        <v>285</v>
      </c>
      <c r="F822" s="12" t="s">
        <v>285</v>
      </c>
      <c r="G822" s="13" t="s">
        <v>285</v>
      </c>
      <c r="H822" s="14" t="s">
        <v>285</v>
      </c>
      <c r="I822" s="15" t="s">
        <v>285</v>
      </c>
      <c r="J822" s="37" t="s">
        <v>285</v>
      </c>
      <c r="K822" s="17"/>
      <c r="L822" s="6" t="s">
        <v>1874</v>
      </c>
      <c r="M822" s="6"/>
      <c r="N822" s="6"/>
      <c r="O822" s="6"/>
      <c r="P822" s="6"/>
      <c r="Q822" s="6"/>
      <c r="R822" s="6"/>
    </row>
    <row r="823" ht="22.5" customHeight="1">
      <c r="A823" s="49"/>
      <c r="B823" s="8" t="s">
        <v>285</v>
      </c>
      <c r="C823" s="35" t="s">
        <v>285</v>
      </c>
      <c r="D823" s="10" t="s">
        <v>140</v>
      </c>
      <c r="E823" s="11" t="s">
        <v>285</v>
      </c>
      <c r="F823" s="12" t="s">
        <v>285</v>
      </c>
      <c r="G823" s="13" t="s">
        <v>285</v>
      </c>
      <c r="H823" s="14" t="s">
        <v>285</v>
      </c>
      <c r="I823" s="15" t="s">
        <v>285</v>
      </c>
      <c r="J823" s="37" t="s">
        <v>285</v>
      </c>
      <c r="K823" s="17"/>
      <c r="L823" s="6" t="s">
        <v>1875</v>
      </c>
      <c r="M823" s="6"/>
      <c r="N823" s="6"/>
      <c r="O823" s="6"/>
      <c r="P823" s="6"/>
      <c r="Q823" s="6"/>
      <c r="R823" s="6"/>
    </row>
    <row r="824" ht="22.5" customHeight="1">
      <c r="A824" s="49"/>
      <c r="B824" s="72">
        <v>0.49444444444444446</v>
      </c>
      <c r="C824" s="71">
        <v>46133.0</v>
      </c>
      <c r="D824" s="10" t="s">
        <v>1876</v>
      </c>
      <c r="E824" s="11" t="s">
        <v>1877</v>
      </c>
      <c r="F824" s="43"/>
      <c r="G824" s="53" t="str">
        <f>IF(LEN(TRIM(D824))=0,"",IFNA(VLOOKUP(UPPER(TRIM(D824)),'CLIENT DIRECTORY'!A:B,2,FALSE),""))</f>
        <v/>
      </c>
      <c r="H824" s="14">
        <v>4000.0</v>
      </c>
      <c r="I824" s="15">
        <v>4000.0</v>
      </c>
      <c r="J824" s="37" t="s">
        <v>26</v>
      </c>
      <c r="K824" s="17"/>
      <c r="L824" s="6" t="s">
        <v>1878</v>
      </c>
      <c r="M824" s="6"/>
      <c r="N824" s="6"/>
      <c r="O824" s="6"/>
      <c r="P824" s="6"/>
      <c r="Q824" s="6"/>
      <c r="R824" s="6"/>
    </row>
    <row r="825" ht="22.5" customHeight="1">
      <c r="A825" s="49"/>
      <c r="B825" s="72">
        <v>0.5048611111111111</v>
      </c>
      <c r="C825" s="71">
        <v>46133.0</v>
      </c>
      <c r="D825" s="10" t="s">
        <v>1879</v>
      </c>
      <c r="E825" s="11" t="s">
        <v>1880</v>
      </c>
      <c r="F825" s="43"/>
      <c r="G825" s="13" t="s">
        <v>1881</v>
      </c>
      <c r="H825" s="14">
        <v>5000.0</v>
      </c>
      <c r="I825" s="15">
        <v>5000.0</v>
      </c>
      <c r="J825" s="37" t="s">
        <v>26</v>
      </c>
      <c r="K825" s="17"/>
      <c r="L825" s="6" t="s">
        <v>1882</v>
      </c>
      <c r="M825" s="6"/>
      <c r="N825" s="6"/>
      <c r="O825" s="6"/>
      <c r="P825" s="6"/>
      <c r="Q825" s="6"/>
      <c r="R825" s="6"/>
    </row>
    <row r="826" ht="22.5" customHeight="1">
      <c r="A826" s="49"/>
      <c r="B826" s="64">
        <v>0.6278253240743652</v>
      </c>
      <c r="C826" s="9">
        <v>46133.0</v>
      </c>
      <c r="D826" s="10" t="s">
        <v>1782</v>
      </c>
      <c r="E826" s="11" t="s">
        <v>1883</v>
      </c>
      <c r="F826" s="43"/>
      <c r="G826" s="13" t="s">
        <v>1784</v>
      </c>
      <c r="H826" s="14">
        <v>2500.0</v>
      </c>
      <c r="I826" s="15">
        <v>2500.0</v>
      </c>
      <c r="J826" s="37" t="s">
        <v>26</v>
      </c>
      <c r="K826" s="17"/>
      <c r="L826" s="6" t="s">
        <v>1884</v>
      </c>
      <c r="M826" s="6"/>
      <c r="N826" s="6"/>
      <c r="O826" s="6"/>
      <c r="P826" s="6"/>
      <c r="Q826" s="6"/>
      <c r="R826" s="6"/>
    </row>
    <row r="827" ht="22.5" customHeight="1">
      <c r="A827" s="49"/>
      <c r="B827" s="64">
        <v>0.6701102314837044</v>
      </c>
      <c r="C827" s="9">
        <v>46133.0</v>
      </c>
      <c r="D827" s="10" t="s">
        <v>1782</v>
      </c>
      <c r="E827" s="11" t="s">
        <v>1885</v>
      </c>
      <c r="F827" s="43"/>
      <c r="G827" s="13" t="s">
        <v>1784</v>
      </c>
      <c r="H827" s="14">
        <v>2500.0</v>
      </c>
      <c r="I827" s="15">
        <v>2500.0</v>
      </c>
      <c r="J827" s="37" t="s">
        <v>26</v>
      </c>
      <c r="K827" s="17"/>
      <c r="L827" s="6" t="s">
        <v>1886</v>
      </c>
      <c r="M827" s="6"/>
      <c r="N827" s="6"/>
      <c r="O827" s="6"/>
      <c r="P827" s="6"/>
      <c r="Q827" s="6"/>
      <c r="R827" s="6"/>
    </row>
    <row r="828" ht="22.5" customHeight="1">
      <c r="A828" s="49"/>
      <c r="B828" s="64">
        <v>0.7323429398165899</v>
      </c>
      <c r="C828" s="9">
        <v>46133.0</v>
      </c>
      <c r="D828" s="10" t="s">
        <v>1782</v>
      </c>
      <c r="E828" s="11" t="s">
        <v>1887</v>
      </c>
      <c r="F828" s="43"/>
      <c r="G828" s="13" t="s">
        <v>1784</v>
      </c>
      <c r="H828" s="14">
        <v>2500.0</v>
      </c>
      <c r="I828" s="15">
        <v>2500.0</v>
      </c>
      <c r="J828" s="37" t="s">
        <v>26</v>
      </c>
      <c r="K828" s="17"/>
      <c r="L828" s="6" t="s">
        <v>1888</v>
      </c>
      <c r="M828" s="6"/>
      <c r="N828" s="6"/>
      <c r="O828" s="6"/>
      <c r="P828" s="6"/>
      <c r="Q828" s="6"/>
      <c r="R828" s="6"/>
    </row>
    <row r="829" ht="22.5" customHeight="1">
      <c r="A829" s="49"/>
      <c r="B829" s="64">
        <v>0.7485295023143408</v>
      </c>
      <c r="C829" s="9">
        <v>46133.0</v>
      </c>
      <c r="D829" s="10" t="s">
        <v>1154</v>
      </c>
      <c r="E829" s="11" t="s">
        <v>1889</v>
      </c>
      <c r="F829" s="43"/>
      <c r="G829" s="13" t="s">
        <v>1157</v>
      </c>
      <c r="H829" s="14">
        <v>2500.0</v>
      </c>
      <c r="I829" s="38"/>
      <c r="J829" s="37" t="s">
        <v>121</v>
      </c>
      <c r="K829" s="17"/>
      <c r="L829" s="6" t="s">
        <v>1890</v>
      </c>
      <c r="M829" s="6"/>
      <c r="N829" s="6"/>
      <c r="O829" s="6"/>
      <c r="P829" s="6"/>
      <c r="Q829" s="6"/>
      <c r="R829" s="6"/>
    </row>
    <row r="830" ht="22.5" customHeight="1">
      <c r="A830" s="49"/>
      <c r="B830" s="64">
        <v>0.765898414349067</v>
      </c>
      <c r="C830" s="9">
        <v>46133.0</v>
      </c>
      <c r="D830" s="10" t="s">
        <v>620</v>
      </c>
      <c r="E830" s="11" t="s">
        <v>1377</v>
      </c>
      <c r="F830" s="43"/>
      <c r="G830" s="70" t="s">
        <v>1891</v>
      </c>
      <c r="H830" s="14">
        <v>3000.0</v>
      </c>
      <c r="I830" s="15">
        <v>3000.0</v>
      </c>
      <c r="J830" s="37" t="s">
        <v>26</v>
      </c>
      <c r="K830" s="17"/>
      <c r="L830" s="6" t="s">
        <v>1892</v>
      </c>
      <c r="M830" s="6"/>
      <c r="N830" s="6"/>
      <c r="O830" s="6"/>
      <c r="P830" s="6"/>
      <c r="Q830" s="6"/>
      <c r="R830" s="6"/>
    </row>
    <row r="831" ht="22.5" customHeight="1">
      <c r="A831" s="49"/>
      <c r="B831" s="8" t="s">
        <v>285</v>
      </c>
      <c r="C831" s="35" t="s">
        <v>285</v>
      </c>
      <c r="D831" s="10" t="s">
        <v>140</v>
      </c>
      <c r="E831" s="11" t="s">
        <v>285</v>
      </c>
      <c r="F831" s="12" t="s">
        <v>285</v>
      </c>
      <c r="G831" s="13" t="s">
        <v>285</v>
      </c>
      <c r="H831" s="14" t="s">
        <v>285</v>
      </c>
      <c r="I831" s="15" t="s">
        <v>285</v>
      </c>
      <c r="J831" s="37" t="s">
        <v>285</v>
      </c>
      <c r="K831" s="17"/>
      <c r="L831" s="6" t="s">
        <v>1893</v>
      </c>
      <c r="M831" s="6"/>
      <c r="N831" s="6"/>
      <c r="O831" s="6"/>
      <c r="P831" s="6"/>
      <c r="Q831" s="6"/>
      <c r="R831" s="6"/>
    </row>
    <row r="832" ht="22.5" customHeight="1">
      <c r="A832" s="7" t="s">
        <v>285</v>
      </c>
      <c r="B832" s="8" t="s">
        <v>285</v>
      </c>
      <c r="C832" s="35" t="s">
        <v>285</v>
      </c>
      <c r="D832" s="10" t="s">
        <v>140</v>
      </c>
      <c r="E832" s="11" t="s">
        <v>285</v>
      </c>
      <c r="F832" s="12" t="s">
        <v>285</v>
      </c>
      <c r="G832" s="13" t="s">
        <v>285</v>
      </c>
      <c r="H832" s="14" t="s">
        <v>285</v>
      </c>
      <c r="I832" s="15" t="s">
        <v>285</v>
      </c>
      <c r="J832" s="37" t="s">
        <v>285</v>
      </c>
      <c r="K832" s="17"/>
      <c r="L832" s="6" t="s">
        <v>1894</v>
      </c>
      <c r="M832" s="6"/>
      <c r="N832" s="6"/>
      <c r="O832" s="6"/>
      <c r="P832" s="6"/>
      <c r="Q832" s="6"/>
      <c r="R832" s="6"/>
    </row>
    <row r="833" ht="22.5" customHeight="1">
      <c r="A833" s="49"/>
      <c r="B833" s="8" t="s">
        <v>285</v>
      </c>
      <c r="C833" s="35" t="s">
        <v>285</v>
      </c>
      <c r="D833" s="10" t="s">
        <v>140</v>
      </c>
      <c r="E833" s="11" t="s">
        <v>285</v>
      </c>
      <c r="F833" s="12" t="s">
        <v>285</v>
      </c>
      <c r="G833" s="13" t="s">
        <v>285</v>
      </c>
      <c r="H833" s="14" t="s">
        <v>285</v>
      </c>
      <c r="I833" s="15" t="s">
        <v>285</v>
      </c>
      <c r="J833" s="37" t="s">
        <v>285</v>
      </c>
      <c r="K833" s="17"/>
      <c r="L833" s="6" t="s">
        <v>1895</v>
      </c>
      <c r="M833" s="6"/>
      <c r="N833" s="6"/>
      <c r="O833" s="6"/>
      <c r="P833" s="6"/>
      <c r="Q833" s="6"/>
      <c r="R833" s="6"/>
    </row>
    <row r="834" ht="22.5" customHeight="1">
      <c r="A834" s="49"/>
      <c r="B834" s="72">
        <v>0.8423611111111111</v>
      </c>
      <c r="C834" s="71">
        <v>46133.0</v>
      </c>
      <c r="D834" s="10" t="s">
        <v>1782</v>
      </c>
      <c r="E834" s="11" t="s">
        <v>1896</v>
      </c>
      <c r="F834" s="12" t="s">
        <v>1502</v>
      </c>
      <c r="G834" s="13" t="s">
        <v>1784</v>
      </c>
      <c r="H834" s="14">
        <v>355000.0</v>
      </c>
      <c r="I834" s="15">
        <v>172500.0</v>
      </c>
      <c r="J834" s="37" t="s">
        <v>481</v>
      </c>
      <c r="K834" s="17"/>
      <c r="L834" s="6" t="s">
        <v>1897</v>
      </c>
      <c r="M834" s="6"/>
      <c r="N834" s="6"/>
      <c r="O834" s="6"/>
      <c r="P834" s="6"/>
      <c r="Q834" s="6"/>
      <c r="R834" s="6"/>
    </row>
    <row r="835" ht="22.5" customHeight="1">
      <c r="A835" s="49"/>
      <c r="B835" s="64">
        <v>0.47447840277891373</v>
      </c>
      <c r="C835" s="9">
        <v>46134.0</v>
      </c>
      <c r="D835" s="10" t="s">
        <v>23</v>
      </c>
      <c r="E835" s="11" t="s">
        <v>1898</v>
      </c>
      <c r="F835" s="43"/>
      <c r="G835" s="13" t="s">
        <v>25</v>
      </c>
      <c r="H835" s="14">
        <v>2500.0</v>
      </c>
      <c r="I835" s="38"/>
      <c r="J835" s="37" t="s">
        <v>121</v>
      </c>
      <c r="K835" s="17"/>
      <c r="L835" s="6" t="s">
        <v>1899</v>
      </c>
      <c r="M835" s="6"/>
      <c r="N835" s="6"/>
      <c r="O835" s="6"/>
      <c r="P835" s="6"/>
      <c r="Q835" s="6"/>
      <c r="R835" s="6"/>
    </row>
    <row r="836" ht="22.5" customHeight="1">
      <c r="A836" s="49"/>
      <c r="B836" s="72">
        <v>0.44305555555555554</v>
      </c>
      <c r="C836" s="71">
        <v>46134.0</v>
      </c>
      <c r="D836" s="10" t="s">
        <v>620</v>
      </c>
      <c r="E836" s="11" t="s">
        <v>1900</v>
      </c>
      <c r="F836" s="43"/>
      <c r="G836" s="13" t="s">
        <v>622</v>
      </c>
      <c r="H836" s="14">
        <v>3000.0</v>
      </c>
      <c r="I836" s="15">
        <v>3000.0</v>
      </c>
      <c r="J836" s="37" t="s">
        <v>26</v>
      </c>
      <c r="K836" s="17"/>
      <c r="L836" s="6" t="s">
        <v>1901</v>
      </c>
      <c r="M836" s="6"/>
      <c r="N836" s="6"/>
      <c r="O836" s="6"/>
      <c r="P836" s="6"/>
      <c r="Q836" s="6"/>
      <c r="R836" s="6"/>
    </row>
    <row r="837" ht="22.5" customHeight="1">
      <c r="A837" s="49"/>
      <c r="B837" s="72">
        <v>0.4479166666666667</v>
      </c>
      <c r="C837" s="71">
        <v>46134.0</v>
      </c>
      <c r="D837" s="10" t="s">
        <v>664</v>
      </c>
      <c r="E837" s="11" t="s">
        <v>1902</v>
      </c>
      <c r="F837" s="43"/>
      <c r="G837" s="13" t="s">
        <v>666</v>
      </c>
      <c r="H837" s="14">
        <v>130000.0</v>
      </c>
      <c r="I837" s="15">
        <v>130000.0</v>
      </c>
      <c r="J837" s="37" t="s">
        <v>26</v>
      </c>
      <c r="K837" s="17"/>
      <c r="L837" s="6" t="s">
        <v>1903</v>
      </c>
      <c r="M837" s="6"/>
      <c r="N837" s="6"/>
      <c r="O837" s="6"/>
      <c r="P837" s="6"/>
      <c r="Q837" s="6"/>
      <c r="R837" s="6"/>
    </row>
    <row r="838" ht="22.5" customHeight="1">
      <c r="A838" s="49"/>
      <c r="B838" s="72">
        <v>0.46875</v>
      </c>
      <c r="C838" s="71">
        <v>46134.0</v>
      </c>
      <c r="D838" s="10" t="s">
        <v>408</v>
      </c>
      <c r="E838" s="11" t="s">
        <v>1904</v>
      </c>
      <c r="F838" s="43"/>
      <c r="G838" s="13" t="s">
        <v>1295</v>
      </c>
      <c r="H838" s="14">
        <v>2500.0</v>
      </c>
      <c r="I838" s="15">
        <v>0.0</v>
      </c>
      <c r="J838" s="37" t="s">
        <v>121</v>
      </c>
      <c r="K838" s="17"/>
      <c r="L838" s="6" t="s">
        <v>1905</v>
      </c>
      <c r="M838" s="6"/>
      <c r="N838" s="6"/>
      <c r="O838" s="6"/>
      <c r="P838" s="6"/>
      <c r="Q838" s="6"/>
      <c r="R838" s="6"/>
    </row>
    <row r="839" ht="22.5" customHeight="1">
      <c r="A839" s="49"/>
      <c r="B839" s="72">
        <v>0.4736111111111111</v>
      </c>
      <c r="C839" s="71">
        <v>46134.0</v>
      </c>
      <c r="D839" s="10" t="s">
        <v>1906</v>
      </c>
      <c r="E839" s="11" t="s">
        <v>1465</v>
      </c>
      <c r="F839" s="43"/>
      <c r="G839" s="13" t="s">
        <v>1907</v>
      </c>
      <c r="H839" s="14">
        <v>5000.0</v>
      </c>
      <c r="I839" s="15">
        <v>5000.0</v>
      </c>
      <c r="J839" s="37" t="s">
        <v>26</v>
      </c>
      <c r="K839" s="17"/>
      <c r="L839" s="6" t="s">
        <v>1908</v>
      </c>
      <c r="M839" s="6"/>
      <c r="N839" s="6"/>
      <c r="O839" s="6"/>
      <c r="P839" s="6"/>
      <c r="Q839" s="6"/>
      <c r="R839" s="6"/>
    </row>
    <row r="840" ht="22.5" customHeight="1">
      <c r="A840" s="49"/>
      <c r="B840" s="72">
        <v>0.47708333333333336</v>
      </c>
      <c r="C840" s="71">
        <v>46134.0</v>
      </c>
      <c r="D840" s="10" t="s">
        <v>855</v>
      </c>
      <c r="E840" s="11" t="s">
        <v>1909</v>
      </c>
      <c r="F840" s="43"/>
      <c r="G840" s="13" t="s">
        <v>857</v>
      </c>
      <c r="H840" s="14">
        <v>55000.0</v>
      </c>
      <c r="I840" s="15">
        <v>55000.0</v>
      </c>
      <c r="J840" s="37" t="s">
        <v>26</v>
      </c>
      <c r="K840" s="17"/>
      <c r="L840" s="6" t="s">
        <v>1910</v>
      </c>
      <c r="M840" s="6"/>
      <c r="N840" s="6"/>
      <c r="O840" s="6"/>
      <c r="P840" s="6"/>
      <c r="Q840" s="6"/>
      <c r="R840" s="6"/>
    </row>
    <row r="841" ht="22.5" customHeight="1">
      <c r="A841" s="49"/>
      <c r="B841" s="72">
        <v>0.48680555555555555</v>
      </c>
      <c r="C841" s="71">
        <v>46134.0</v>
      </c>
      <c r="D841" s="10" t="s">
        <v>93</v>
      </c>
      <c r="E841" s="11" t="s">
        <v>1911</v>
      </c>
      <c r="F841" s="43"/>
      <c r="G841" s="13" t="s">
        <v>95</v>
      </c>
      <c r="H841" s="14">
        <v>2500.0</v>
      </c>
      <c r="I841" s="15">
        <v>2500.0</v>
      </c>
      <c r="J841" s="37" t="s">
        <v>26</v>
      </c>
      <c r="K841" s="17"/>
      <c r="L841" s="6" t="s">
        <v>1912</v>
      </c>
      <c r="M841" s="6"/>
      <c r="N841" s="6"/>
      <c r="O841" s="6"/>
      <c r="P841" s="6"/>
      <c r="Q841" s="6"/>
      <c r="R841" s="6"/>
    </row>
    <row r="842" ht="22.5" customHeight="1">
      <c r="A842" s="49"/>
      <c r="B842" s="72">
        <v>0.48819444444444443</v>
      </c>
      <c r="C842" s="71">
        <v>46134.0</v>
      </c>
      <c r="D842" s="10" t="s">
        <v>1913</v>
      </c>
      <c r="E842" s="11" t="s">
        <v>1914</v>
      </c>
      <c r="F842" s="43"/>
      <c r="G842" s="13" t="s">
        <v>1915</v>
      </c>
      <c r="H842" s="14">
        <v>35000.0</v>
      </c>
      <c r="I842" s="15">
        <v>35000.0</v>
      </c>
      <c r="J842" s="37" t="s">
        <v>26</v>
      </c>
      <c r="K842" s="17"/>
      <c r="L842" s="6" t="s">
        <v>1916</v>
      </c>
      <c r="M842" s="6"/>
      <c r="N842" s="6"/>
      <c r="O842" s="6"/>
      <c r="P842" s="6"/>
      <c r="Q842" s="6"/>
      <c r="R842" s="6"/>
    </row>
    <row r="843" ht="22.5" customHeight="1">
      <c r="A843" s="49"/>
      <c r="B843" s="64">
        <v>0.624778981480631</v>
      </c>
      <c r="C843" s="9">
        <v>46134.0</v>
      </c>
      <c r="D843" s="10" t="s">
        <v>1691</v>
      </c>
      <c r="E843" s="11" t="s">
        <v>1917</v>
      </c>
      <c r="F843" s="43"/>
      <c r="G843" s="13" t="s">
        <v>1694</v>
      </c>
      <c r="H843" s="14">
        <v>2500.0</v>
      </c>
      <c r="I843" s="38"/>
      <c r="J843" s="37" t="s">
        <v>121</v>
      </c>
      <c r="K843" s="17"/>
      <c r="L843" s="6" t="s">
        <v>1918</v>
      </c>
      <c r="M843" s="6"/>
      <c r="N843" s="6"/>
      <c r="O843" s="6"/>
      <c r="P843" s="6"/>
      <c r="Q843" s="6"/>
      <c r="R843" s="6"/>
    </row>
    <row r="844" ht="22.5" customHeight="1">
      <c r="A844" s="49"/>
      <c r="B844" s="72">
        <v>0.5840277777777778</v>
      </c>
      <c r="C844" s="71">
        <v>46134.0</v>
      </c>
      <c r="D844" s="10" t="s">
        <v>50</v>
      </c>
      <c r="E844" s="11" t="s">
        <v>1919</v>
      </c>
      <c r="F844" s="43"/>
      <c r="G844" s="13" t="s">
        <v>52</v>
      </c>
      <c r="H844" s="14">
        <v>2500.0</v>
      </c>
      <c r="I844" s="15">
        <v>0.0</v>
      </c>
      <c r="J844" s="37" t="s">
        <v>121</v>
      </c>
      <c r="K844" s="17"/>
      <c r="L844" s="6" t="s">
        <v>1920</v>
      </c>
      <c r="M844" s="6"/>
      <c r="N844" s="6"/>
      <c r="O844" s="6"/>
      <c r="P844" s="6"/>
      <c r="Q844" s="6"/>
      <c r="R844" s="6"/>
    </row>
    <row r="845" ht="22.5" customHeight="1">
      <c r="A845" s="49"/>
      <c r="B845" s="64">
        <v>0.6497901967595681</v>
      </c>
      <c r="C845" s="9">
        <v>46134.0</v>
      </c>
      <c r="D845" s="10" t="s">
        <v>1340</v>
      </c>
      <c r="E845" s="11" t="s">
        <v>1921</v>
      </c>
      <c r="F845" s="43"/>
      <c r="G845" s="13" t="s">
        <v>1342</v>
      </c>
      <c r="H845" s="14">
        <v>2500.0</v>
      </c>
      <c r="I845" s="15">
        <v>2500.0</v>
      </c>
      <c r="J845" s="37" t="s">
        <v>26</v>
      </c>
      <c r="K845" s="17"/>
      <c r="L845" s="6" t="s">
        <v>1922</v>
      </c>
      <c r="M845" s="6"/>
      <c r="N845" s="6"/>
      <c r="O845" s="6"/>
      <c r="P845" s="6"/>
      <c r="Q845" s="6"/>
      <c r="R845" s="6"/>
    </row>
    <row r="846" ht="22.5" customHeight="1">
      <c r="A846" s="49"/>
      <c r="B846" s="72">
        <v>0.6319444444444444</v>
      </c>
      <c r="C846" s="71">
        <v>46134.0</v>
      </c>
      <c r="D846" s="10" t="s">
        <v>64</v>
      </c>
      <c r="E846" s="11" t="s">
        <v>1923</v>
      </c>
      <c r="F846" s="43"/>
      <c r="G846" s="13" t="s">
        <v>66</v>
      </c>
      <c r="H846" s="14">
        <v>2000.0</v>
      </c>
      <c r="I846" s="15">
        <v>2000.0</v>
      </c>
      <c r="J846" s="37" t="s">
        <v>26</v>
      </c>
      <c r="K846" s="17"/>
      <c r="L846" s="6" t="s">
        <v>1924</v>
      </c>
      <c r="M846" s="6"/>
      <c r="N846" s="6"/>
      <c r="O846" s="6"/>
      <c r="P846" s="6"/>
      <c r="Q846" s="6"/>
      <c r="R846" s="6"/>
    </row>
    <row r="847" ht="22.5" customHeight="1">
      <c r="A847" s="49"/>
      <c r="B847" s="64">
        <v>0.6748099652759265</v>
      </c>
      <c r="C847" s="9">
        <v>46134.0</v>
      </c>
      <c r="D847" s="10" t="s">
        <v>400</v>
      </c>
      <c r="E847" s="11" t="s">
        <v>1323</v>
      </c>
      <c r="F847" s="43"/>
      <c r="G847" s="13" t="s">
        <v>402</v>
      </c>
      <c r="H847" s="14">
        <v>2500.0</v>
      </c>
      <c r="I847" s="38"/>
      <c r="J847" s="37" t="s">
        <v>121</v>
      </c>
      <c r="K847" s="17"/>
      <c r="L847" s="6" t="s">
        <v>1925</v>
      </c>
      <c r="M847" s="6"/>
      <c r="N847" s="6"/>
      <c r="O847" s="6"/>
      <c r="P847" s="6"/>
      <c r="Q847" s="6"/>
      <c r="R847" s="6"/>
    </row>
    <row r="848" ht="22.5" customHeight="1">
      <c r="A848" s="49"/>
      <c r="B848" s="8" t="s">
        <v>285</v>
      </c>
      <c r="C848" s="35" t="s">
        <v>285</v>
      </c>
      <c r="D848" s="10" t="s">
        <v>140</v>
      </c>
      <c r="E848" s="11" t="s">
        <v>285</v>
      </c>
      <c r="F848" s="12" t="s">
        <v>285</v>
      </c>
      <c r="G848" s="13" t="s">
        <v>285</v>
      </c>
      <c r="H848" s="14" t="s">
        <v>285</v>
      </c>
      <c r="I848" s="15" t="s">
        <v>285</v>
      </c>
      <c r="J848" s="37" t="s">
        <v>285</v>
      </c>
      <c r="K848" s="17"/>
      <c r="L848" s="6" t="s">
        <v>1926</v>
      </c>
      <c r="M848" s="6"/>
      <c r="N848" s="6"/>
      <c r="O848" s="6"/>
      <c r="P848" s="6"/>
      <c r="Q848" s="6"/>
      <c r="R848" s="6"/>
    </row>
    <row r="849" ht="22.5" customHeight="1">
      <c r="A849" s="49"/>
      <c r="B849" s="8" t="s">
        <v>285</v>
      </c>
      <c r="C849" s="35" t="s">
        <v>285</v>
      </c>
      <c r="D849" s="10" t="s">
        <v>285</v>
      </c>
      <c r="E849" s="11" t="s">
        <v>285</v>
      </c>
      <c r="F849" s="12" t="s">
        <v>285</v>
      </c>
      <c r="G849" s="13" t="s">
        <v>285</v>
      </c>
      <c r="H849" s="14" t="s">
        <v>285</v>
      </c>
      <c r="I849" s="15" t="s">
        <v>285</v>
      </c>
      <c r="J849" s="37" t="s">
        <v>285</v>
      </c>
      <c r="K849" s="17"/>
      <c r="L849" s="6" t="s">
        <v>1927</v>
      </c>
      <c r="M849" s="6"/>
      <c r="N849" s="6"/>
      <c r="O849" s="6"/>
      <c r="P849" s="6"/>
      <c r="Q849" s="6"/>
      <c r="R849" s="6"/>
    </row>
    <row r="850" ht="22.5" customHeight="1">
      <c r="A850" s="49"/>
      <c r="B850" s="8" t="s">
        <v>285</v>
      </c>
      <c r="C850" s="35" t="s">
        <v>285</v>
      </c>
      <c r="D850" s="10" t="s">
        <v>285</v>
      </c>
      <c r="E850" s="11" t="s">
        <v>285</v>
      </c>
      <c r="F850" s="12" t="s">
        <v>285</v>
      </c>
      <c r="G850" s="13" t="s">
        <v>285</v>
      </c>
      <c r="H850" s="14" t="s">
        <v>285</v>
      </c>
      <c r="I850" s="15" t="s">
        <v>285</v>
      </c>
      <c r="J850" s="37" t="s">
        <v>285</v>
      </c>
      <c r="K850" s="17"/>
      <c r="L850" s="6" t="s">
        <v>1928</v>
      </c>
      <c r="M850" s="6"/>
      <c r="N850" s="6"/>
      <c r="O850" s="6"/>
      <c r="P850" s="6"/>
      <c r="Q850" s="6"/>
      <c r="R850" s="6"/>
    </row>
    <row r="851" ht="22.5" customHeight="1">
      <c r="A851" s="49"/>
      <c r="B851" s="72">
        <v>0.6958333333333333</v>
      </c>
      <c r="C851" s="71">
        <v>46134.0</v>
      </c>
      <c r="D851" s="10" t="s">
        <v>108</v>
      </c>
      <c r="E851" s="11" t="s">
        <v>1929</v>
      </c>
      <c r="F851" s="12" t="s">
        <v>1930</v>
      </c>
      <c r="G851" s="13" t="s">
        <v>110</v>
      </c>
      <c r="H851" s="14">
        <v>650000.0</v>
      </c>
      <c r="I851" s="15">
        <v>650000.0</v>
      </c>
      <c r="J851" s="37" t="s">
        <v>26</v>
      </c>
      <c r="K851" s="17"/>
      <c r="L851" s="6" t="s">
        <v>1931</v>
      </c>
      <c r="M851" s="6"/>
      <c r="N851" s="6"/>
      <c r="O851" s="6"/>
      <c r="P851" s="6"/>
      <c r="Q851" s="6"/>
      <c r="R851" s="6"/>
    </row>
    <row r="852" ht="22.5" customHeight="1">
      <c r="A852" s="49"/>
      <c r="B852" s="64">
        <v>0.7382815162054612</v>
      </c>
      <c r="C852" s="9">
        <v>46134.0</v>
      </c>
      <c r="D852" s="10" t="s">
        <v>948</v>
      </c>
      <c r="E852" s="11" t="s">
        <v>1932</v>
      </c>
      <c r="F852" s="12" t="s">
        <v>1798</v>
      </c>
      <c r="G852" s="53" t="str">
        <f>IF(LEN(TRIM(D852))=0,"",IFNA(VLOOKUP(UPPER(TRIM(D852)),'CLIENT DIRECTORY'!A:B,2,FALSE),""))</f>
        <v/>
      </c>
      <c r="H852" s="54"/>
      <c r="I852" s="15">
        <v>0.0</v>
      </c>
      <c r="J852" s="37" t="s">
        <v>103</v>
      </c>
      <c r="K852" s="17"/>
      <c r="L852" s="6" t="s">
        <v>1933</v>
      </c>
      <c r="M852" s="6"/>
      <c r="N852" s="6"/>
      <c r="O852" s="6"/>
      <c r="P852" s="6"/>
      <c r="Q852" s="6"/>
      <c r="R852" s="6"/>
    </row>
    <row r="853" ht="22.5" customHeight="1">
      <c r="A853" s="49"/>
      <c r="B853" s="8" t="s">
        <v>285</v>
      </c>
      <c r="C853" s="35" t="s">
        <v>285</v>
      </c>
      <c r="D853" s="10" t="s">
        <v>140</v>
      </c>
      <c r="E853" s="11" t="s">
        <v>285</v>
      </c>
      <c r="F853" s="12" t="s">
        <v>285</v>
      </c>
      <c r="G853" s="13" t="s">
        <v>285</v>
      </c>
      <c r="H853" s="14" t="s">
        <v>285</v>
      </c>
      <c r="I853" s="15" t="s">
        <v>285</v>
      </c>
      <c r="J853" s="37" t="s">
        <v>285</v>
      </c>
      <c r="K853" s="17"/>
      <c r="L853" s="6" t="s">
        <v>1934</v>
      </c>
      <c r="M853" s="6"/>
      <c r="N853" s="6"/>
      <c r="O853" s="6"/>
      <c r="P853" s="6"/>
      <c r="Q853" s="6"/>
      <c r="R853" s="6"/>
    </row>
    <row r="854" ht="22.5" customHeight="1">
      <c r="A854" s="49"/>
      <c r="B854" s="8" t="s">
        <v>285</v>
      </c>
      <c r="C854" s="35" t="s">
        <v>285</v>
      </c>
      <c r="D854" s="10" t="s">
        <v>140</v>
      </c>
      <c r="E854" s="11" t="s">
        <v>285</v>
      </c>
      <c r="F854" s="12" t="s">
        <v>285</v>
      </c>
      <c r="G854" s="13" t="s">
        <v>285</v>
      </c>
      <c r="H854" s="14" t="s">
        <v>285</v>
      </c>
      <c r="I854" s="15" t="s">
        <v>285</v>
      </c>
      <c r="J854" s="37" t="s">
        <v>285</v>
      </c>
      <c r="K854" s="17"/>
      <c r="L854" s="6" t="s">
        <v>1935</v>
      </c>
      <c r="M854" s="6"/>
      <c r="N854" s="6"/>
      <c r="O854" s="6"/>
      <c r="P854" s="6"/>
      <c r="Q854" s="6"/>
      <c r="R854" s="6"/>
    </row>
    <row r="855" ht="22.5" customHeight="1">
      <c r="A855" s="49"/>
      <c r="B855" s="64">
        <v>0.5019856597209582</v>
      </c>
      <c r="C855" s="9">
        <v>46135.0</v>
      </c>
      <c r="D855" s="10" t="s">
        <v>605</v>
      </c>
      <c r="E855" s="11" t="s">
        <v>1936</v>
      </c>
      <c r="F855" s="12" t="s">
        <v>1937</v>
      </c>
      <c r="G855" s="13" t="s">
        <v>608</v>
      </c>
      <c r="H855" s="14">
        <v>550000.0</v>
      </c>
      <c r="I855" s="38"/>
      <c r="J855" s="37" t="s">
        <v>1938</v>
      </c>
      <c r="K855" s="17"/>
      <c r="L855" s="6" t="s">
        <v>1939</v>
      </c>
      <c r="M855" s="6"/>
      <c r="N855" s="6"/>
      <c r="O855" s="6"/>
      <c r="P855" s="6"/>
      <c r="Q855" s="6"/>
      <c r="R855" s="6"/>
    </row>
    <row r="856" ht="22.5" customHeight="1">
      <c r="A856" s="49"/>
      <c r="B856" s="72">
        <v>0.49375</v>
      </c>
      <c r="C856" s="71">
        <v>46135.0</v>
      </c>
      <c r="D856" s="10" t="s">
        <v>1940</v>
      </c>
      <c r="E856" s="11" t="s">
        <v>1941</v>
      </c>
      <c r="F856" s="43"/>
      <c r="G856" s="13" t="s">
        <v>1942</v>
      </c>
      <c r="H856" s="14">
        <v>3000.0</v>
      </c>
      <c r="I856" s="15">
        <v>0.0</v>
      </c>
      <c r="J856" s="37" t="s">
        <v>121</v>
      </c>
      <c r="K856" s="17"/>
      <c r="L856" s="6" t="s">
        <v>1943</v>
      </c>
      <c r="M856" s="6"/>
      <c r="N856" s="6"/>
      <c r="O856" s="6"/>
      <c r="P856" s="6"/>
      <c r="Q856" s="6"/>
      <c r="R856" s="6"/>
    </row>
    <row r="857" ht="22.5" customHeight="1">
      <c r="A857" s="49"/>
      <c r="B857" s="72">
        <v>0.4965277777777778</v>
      </c>
      <c r="C857" s="71">
        <v>46135.0</v>
      </c>
      <c r="D857" s="10" t="s">
        <v>74</v>
      </c>
      <c r="E857" s="11" t="s">
        <v>1944</v>
      </c>
      <c r="F857" s="43"/>
      <c r="G857" s="13" t="s">
        <v>76</v>
      </c>
      <c r="H857" s="14">
        <v>2500.0</v>
      </c>
      <c r="I857" s="15">
        <v>2500.0</v>
      </c>
      <c r="J857" s="37" t="s">
        <v>26</v>
      </c>
      <c r="K857" s="17"/>
      <c r="L857" s="6" t="s">
        <v>1945</v>
      </c>
      <c r="M857" s="6"/>
      <c r="N857" s="6"/>
      <c r="O857" s="6"/>
      <c r="P857" s="6"/>
      <c r="Q857" s="6"/>
      <c r="R857" s="6"/>
    </row>
    <row r="858" ht="22.5" customHeight="1">
      <c r="A858" s="49"/>
      <c r="B858" s="72">
        <v>0.4965277777777778</v>
      </c>
      <c r="C858" s="71">
        <v>46135.0</v>
      </c>
      <c r="D858" s="10" t="s">
        <v>78</v>
      </c>
      <c r="E858" s="11" t="s">
        <v>1946</v>
      </c>
      <c r="F858" s="43"/>
      <c r="G858" s="13" t="s">
        <v>80</v>
      </c>
      <c r="H858" s="14">
        <v>2500.0</v>
      </c>
      <c r="I858" s="15">
        <v>0.0</v>
      </c>
      <c r="J858" s="37" t="s">
        <v>103</v>
      </c>
      <c r="K858" s="17"/>
      <c r="L858" s="6" t="s">
        <v>1947</v>
      </c>
      <c r="M858" s="6"/>
      <c r="N858" s="6"/>
      <c r="O858" s="6"/>
      <c r="P858" s="6"/>
      <c r="Q858" s="6"/>
      <c r="R858" s="6"/>
    </row>
    <row r="859" ht="22.5" customHeight="1">
      <c r="A859" s="49"/>
      <c r="B859" s="72">
        <v>0.5013888888888889</v>
      </c>
      <c r="C859" s="71">
        <v>46135.0</v>
      </c>
      <c r="D859" s="10" t="s">
        <v>442</v>
      </c>
      <c r="E859" s="11" t="s">
        <v>1948</v>
      </c>
      <c r="F859" s="43"/>
      <c r="G859" s="13" t="s">
        <v>210</v>
      </c>
      <c r="H859" s="14">
        <v>2500.0</v>
      </c>
      <c r="I859" s="15">
        <v>2500.0</v>
      </c>
      <c r="J859" s="37" t="s">
        <v>26</v>
      </c>
      <c r="K859" s="17"/>
      <c r="L859" s="6" t="s">
        <v>1949</v>
      </c>
      <c r="M859" s="6"/>
      <c r="N859" s="6"/>
      <c r="O859" s="6"/>
      <c r="P859" s="6"/>
      <c r="Q859" s="6"/>
      <c r="R859" s="6"/>
    </row>
    <row r="860" ht="22.5" customHeight="1">
      <c r="A860" s="49"/>
      <c r="B860" s="72">
        <v>0.5041666666666667</v>
      </c>
      <c r="C860" s="71">
        <v>46135.0</v>
      </c>
      <c r="D860" s="10" t="s">
        <v>54</v>
      </c>
      <c r="E860" s="11" t="s">
        <v>1797</v>
      </c>
      <c r="F860" s="12" t="s">
        <v>1950</v>
      </c>
      <c r="G860" s="13" t="s">
        <v>56</v>
      </c>
      <c r="H860" s="14">
        <v>530000.0</v>
      </c>
      <c r="I860" s="15">
        <v>487500.0</v>
      </c>
      <c r="J860" s="37" t="s">
        <v>481</v>
      </c>
      <c r="K860" s="17"/>
      <c r="L860" s="6" t="s">
        <v>1951</v>
      </c>
      <c r="M860" s="6"/>
      <c r="N860" s="6"/>
      <c r="O860" s="6"/>
      <c r="P860" s="6"/>
      <c r="Q860" s="6"/>
      <c r="R860" s="6"/>
    </row>
    <row r="861" ht="22.5" customHeight="1">
      <c r="A861" s="49"/>
      <c r="B861" s="72">
        <v>0.6013888888888889</v>
      </c>
      <c r="C861" s="71">
        <v>46135.0</v>
      </c>
      <c r="D861" s="10" t="s">
        <v>1952</v>
      </c>
      <c r="E861" s="11" t="s">
        <v>1797</v>
      </c>
      <c r="F861" s="12" t="s">
        <v>1798</v>
      </c>
      <c r="G861" s="13" t="s">
        <v>1953</v>
      </c>
      <c r="H861" s="14">
        <v>655000.0</v>
      </c>
      <c r="I861" s="15">
        <v>0.0</v>
      </c>
      <c r="J861" s="37" t="s">
        <v>103</v>
      </c>
      <c r="K861" s="17"/>
      <c r="L861" s="6" t="s">
        <v>1954</v>
      </c>
      <c r="M861" s="6"/>
      <c r="N861" s="6"/>
      <c r="O861" s="6"/>
      <c r="P861" s="6"/>
      <c r="Q861" s="6"/>
      <c r="R861" s="6"/>
    </row>
    <row r="862" ht="22.5" customHeight="1">
      <c r="A862" s="49"/>
      <c r="B862" s="72">
        <v>0.6347222222222222</v>
      </c>
      <c r="C862" s="71">
        <v>46135.0</v>
      </c>
      <c r="D862" s="10" t="s">
        <v>64</v>
      </c>
      <c r="E862" s="11" t="s">
        <v>1955</v>
      </c>
      <c r="F862" s="43"/>
      <c r="G862" s="13" t="s">
        <v>66</v>
      </c>
      <c r="H862" s="14">
        <v>2000.0</v>
      </c>
      <c r="I862" s="15">
        <v>2000.0</v>
      </c>
      <c r="J862" s="37" t="s">
        <v>26</v>
      </c>
      <c r="K862" s="17"/>
      <c r="L862" s="6" t="s">
        <v>1956</v>
      </c>
      <c r="M862" s="6"/>
      <c r="N862" s="6"/>
      <c r="O862" s="6"/>
      <c r="P862" s="6"/>
      <c r="Q862" s="6"/>
      <c r="R862" s="6"/>
    </row>
    <row r="863" ht="22.5" customHeight="1">
      <c r="A863" s="49"/>
      <c r="B863" s="72">
        <v>0.6361111111111111</v>
      </c>
      <c r="C863" s="71">
        <v>46135.0</v>
      </c>
      <c r="D863" s="10" t="s">
        <v>64</v>
      </c>
      <c r="E863" s="11" t="s">
        <v>1957</v>
      </c>
      <c r="F863" s="43"/>
      <c r="G863" s="13" t="s">
        <v>66</v>
      </c>
      <c r="H863" s="14">
        <v>2000.0</v>
      </c>
      <c r="I863" s="15">
        <v>2000.0</v>
      </c>
      <c r="J863" s="37" t="s">
        <v>26</v>
      </c>
      <c r="K863" s="17"/>
      <c r="L863" s="6" t="s">
        <v>1958</v>
      </c>
      <c r="M863" s="6"/>
      <c r="N863" s="6"/>
      <c r="O863" s="6"/>
      <c r="P863" s="6"/>
      <c r="Q863" s="6"/>
      <c r="R863" s="6"/>
    </row>
    <row r="864" ht="22.5" customHeight="1">
      <c r="A864" s="49"/>
      <c r="B864" s="72">
        <v>0.6631944444444444</v>
      </c>
      <c r="C864" s="71">
        <v>46135.0</v>
      </c>
      <c r="D864" s="10" t="s">
        <v>1959</v>
      </c>
      <c r="E864" s="11" t="s">
        <v>1960</v>
      </c>
      <c r="F864" s="43"/>
      <c r="G864" s="13" t="s">
        <v>1961</v>
      </c>
      <c r="H864" s="14">
        <v>28000.0</v>
      </c>
      <c r="I864" s="15">
        <v>28000.0</v>
      </c>
      <c r="J864" s="37" t="s">
        <v>26</v>
      </c>
      <c r="K864" s="17"/>
      <c r="L864" s="6" t="s">
        <v>1962</v>
      </c>
      <c r="M864" s="6"/>
      <c r="N864" s="6"/>
      <c r="O864" s="6"/>
      <c r="P864" s="6"/>
      <c r="Q864" s="6"/>
      <c r="R864" s="6"/>
    </row>
    <row r="865" ht="22.5" customHeight="1">
      <c r="A865" s="49"/>
      <c r="B865" s="72">
        <v>0.7083333333333334</v>
      </c>
      <c r="C865" s="71">
        <v>46135.0</v>
      </c>
      <c r="D865" s="10" t="s">
        <v>1963</v>
      </c>
      <c r="E865" s="11" t="s">
        <v>1964</v>
      </c>
      <c r="F865" s="43"/>
      <c r="G865" s="13" t="s">
        <v>1965</v>
      </c>
      <c r="H865" s="14">
        <v>2500.0</v>
      </c>
      <c r="I865" s="15">
        <v>0.0</v>
      </c>
      <c r="J865" s="37" t="s">
        <v>121</v>
      </c>
      <c r="K865" s="17"/>
      <c r="L865" s="6" t="s">
        <v>1966</v>
      </c>
      <c r="M865" s="6"/>
      <c r="N865" s="6"/>
      <c r="O865" s="6"/>
      <c r="P865" s="6"/>
      <c r="Q865" s="6"/>
      <c r="R865" s="6"/>
    </row>
    <row r="866" ht="22.5" customHeight="1">
      <c r="A866" s="49"/>
      <c r="B866" s="72">
        <v>0.7597222222222222</v>
      </c>
      <c r="C866" s="71">
        <v>46135.0</v>
      </c>
      <c r="D866" s="10" t="s">
        <v>1967</v>
      </c>
      <c r="E866" s="11" t="s">
        <v>1968</v>
      </c>
      <c r="F866" s="43"/>
      <c r="G866" s="13" t="s">
        <v>1969</v>
      </c>
      <c r="H866" s="14">
        <v>4000.0</v>
      </c>
      <c r="I866" s="15">
        <v>0.0</v>
      </c>
      <c r="J866" s="37" t="s">
        <v>121</v>
      </c>
      <c r="K866" s="17"/>
      <c r="L866" s="6" t="s">
        <v>1970</v>
      </c>
      <c r="M866" s="6"/>
      <c r="N866" s="6"/>
      <c r="O866" s="6"/>
      <c r="P866" s="6"/>
      <c r="Q866" s="6"/>
      <c r="R866" s="6"/>
    </row>
    <row r="867" ht="22.5" customHeight="1">
      <c r="A867" s="49"/>
      <c r="B867" s="72">
        <v>0.375</v>
      </c>
      <c r="C867" s="71">
        <v>46136.0</v>
      </c>
      <c r="D867" s="10" t="s">
        <v>1971</v>
      </c>
      <c r="E867" s="11" t="s">
        <v>1972</v>
      </c>
      <c r="F867" s="43"/>
      <c r="G867" s="13" t="s">
        <v>1973</v>
      </c>
      <c r="H867" s="14">
        <v>3000.0</v>
      </c>
      <c r="I867" s="15">
        <v>3000.0</v>
      </c>
      <c r="J867" s="37" t="s">
        <v>26</v>
      </c>
      <c r="K867" s="17"/>
      <c r="L867" s="6" t="s">
        <v>1974</v>
      </c>
      <c r="M867" s="6"/>
      <c r="N867" s="6"/>
      <c r="O867" s="6"/>
      <c r="P867" s="6"/>
      <c r="Q867" s="6"/>
      <c r="R867" s="6"/>
    </row>
    <row r="868" ht="22.5" customHeight="1">
      <c r="A868" s="49"/>
      <c r="B868" s="72">
        <v>0.38055555555555554</v>
      </c>
      <c r="C868" s="71">
        <v>46136.0</v>
      </c>
      <c r="D868" s="10" t="s">
        <v>874</v>
      </c>
      <c r="E868" s="11" t="s">
        <v>1797</v>
      </c>
      <c r="F868" s="12" t="s">
        <v>1798</v>
      </c>
      <c r="G868" s="13" t="s">
        <v>876</v>
      </c>
      <c r="H868" s="14">
        <v>655000.0</v>
      </c>
      <c r="I868" s="15">
        <v>0.0</v>
      </c>
      <c r="J868" s="37" t="s">
        <v>103</v>
      </c>
      <c r="K868" s="17"/>
      <c r="L868" s="6" t="s">
        <v>1975</v>
      </c>
      <c r="M868" s="6"/>
      <c r="N868" s="6"/>
      <c r="O868" s="6"/>
      <c r="P868" s="6"/>
      <c r="Q868" s="6"/>
      <c r="R868" s="6"/>
    </row>
    <row r="869" ht="22.5" customHeight="1">
      <c r="A869" s="49"/>
      <c r="B869" s="72">
        <v>0.4111111111111111</v>
      </c>
      <c r="C869" s="71">
        <v>46136.0</v>
      </c>
      <c r="D869" s="10" t="s">
        <v>46</v>
      </c>
      <c r="E869" s="11" t="s">
        <v>1797</v>
      </c>
      <c r="F869" s="12" t="s">
        <v>1798</v>
      </c>
      <c r="G869" s="13" t="s">
        <v>1362</v>
      </c>
      <c r="H869" s="14">
        <v>650000.0</v>
      </c>
      <c r="I869" s="15">
        <v>0.0</v>
      </c>
      <c r="J869" s="37" t="s">
        <v>103</v>
      </c>
      <c r="K869" s="17"/>
      <c r="L869" s="6" t="s">
        <v>1976</v>
      </c>
      <c r="M869" s="6"/>
      <c r="N869" s="6"/>
      <c r="O869" s="6"/>
      <c r="P869" s="6"/>
      <c r="Q869" s="6"/>
      <c r="R869" s="6"/>
    </row>
    <row r="870" ht="22.5" customHeight="1">
      <c r="A870" s="49"/>
      <c r="B870" s="72">
        <v>0.43333333333333335</v>
      </c>
      <c r="C870" s="71">
        <v>46136.0</v>
      </c>
      <c r="D870" s="10" t="s">
        <v>254</v>
      </c>
      <c r="E870" s="11" t="s">
        <v>1977</v>
      </c>
      <c r="F870" s="43"/>
      <c r="G870" s="13" t="s">
        <v>256</v>
      </c>
      <c r="H870" s="14">
        <v>2500.0</v>
      </c>
      <c r="I870" s="15">
        <v>0.0</v>
      </c>
      <c r="J870" s="37" t="s">
        <v>121</v>
      </c>
      <c r="K870" s="17"/>
      <c r="L870" s="6" t="s">
        <v>1978</v>
      </c>
      <c r="M870" s="6"/>
      <c r="N870" s="6"/>
      <c r="O870" s="6"/>
      <c r="P870" s="6"/>
      <c r="Q870" s="6"/>
      <c r="R870" s="6"/>
    </row>
    <row r="871" ht="22.5" customHeight="1">
      <c r="A871" s="49"/>
      <c r="B871" s="72">
        <v>0.5097222222222222</v>
      </c>
      <c r="C871" s="71">
        <v>46136.0</v>
      </c>
      <c r="D871" s="10" t="s">
        <v>874</v>
      </c>
      <c r="E871" s="11" t="s">
        <v>1797</v>
      </c>
      <c r="F871" s="12" t="s">
        <v>1798</v>
      </c>
      <c r="G871" s="13" t="s">
        <v>876</v>
      </c>
      <c r="H871" s="14">
        <v>650000.0</v>
      </c>
      <c r="I871" s="15">
        <v>0.0</v>
      </c>
      <c r="J871" s="37" t="s">
        <v>103</v>
      </c>
      <c r="K871" s="17"/>
      <c r="L871" s="6" t="s">
        <v>1979</v>
      </c>
      <c r="M871" s="6"/>
      <c r="N871" s="6"/>
      <c r="O871" s="6"/>
      <c r="P871" s="6"/>
      <c r="Q871" s="6"/>
      <c r="R871" s="6"/>
    </row>
    <row r="872" ht="22.5" customHeight="1">
      <c r="A872" s="49"/>
      <c r="B872" s="72">
        <v>0.5381944444444444</v>
      </c>
      <c r="C872" s="71">
        <v>46136.0</v>
      </c>
      <c r="D872" s="10" t="s">
        <v>1980</v>
      </c>
      <c r="E872" s="11" t="s">
        <v>1981</v>
      </c>
      <c r="F872" s="43"/>
      <c r="G872" s="13" t="s">
        <v>1982</v>
      </c>
      <c r="H872" s="14">
        <v>18000.0</v>
      </c>
      <c r="I872" s="15">
        <v>18000.0</v>
      </c>
      <c r="J872" s="37" t="s">
        <v>26</v>
      </c>
      <c r="K872" s="17"/>
      <c r="L872" s="6" t="s">
        <v>1983</v>
      </c>
      <c r="M872" s="6"/>
      <c r="N872" s="6"/>
      <c r="O872" s="6"/>
      <c r="P872" s="6"/>
      <c r="Q872" s="6"/>
      <c r="R872" s="6"/>
    </row>
    <row r="873" ht="22.5" customHeight="1">
      <c r="A873" s="49"/>
      <c r="B873" s="72">
        <v>0.5534722222222223</v>
      </c>
      <c r="C873" s="71">
        <v>46136.0</v>
      </c>
      <c r="D873" s="10" t="s">
        <v>212</v>
      </c>
      <c r="E873" s="11" t="s">
        <v>1984</v>
      </c>
      <c r="F873" s="43"/>
      <c r="G873" s="13" t="s">
        <v>214</v>
      </c>
      <c r="H873" s="14">
        <v>3000.0</v>
      </c>
      <c r="I873" s="15">
        <v>3000.0</v>
      </c>
      <c r="J873" s="37" t="s">
        <v>26</v>
      </c>
      <c r="K873" s="17"/>
      <c r="L873" s="6" t="s">
        <v>1985</v>
      </c>
      <c r="M873" s="6"/>
      <c r="N873" s="6"/>
      <c r="O873" s="6"/>
      <c r="P873" s="6"/>
      <c r="Q873" s="6"/>
      <c r="R873" s="6"/>
    </row>
    <row r="874" ht="22.5" customHeight="1">
      <c r="A874" s="49"/>
      <c r="B874" s="72">
        <v>0.5923611111111111</v>
      </c>
      <c r="C874" s="71">
        <v>46136.0</v>
      </c>
      <c r="D874" s="10" t="s">
        <v>1597</v>
      </c>
      <c r="E874" s="11" t="s">
        <v>915</v>
      </c>
      <c r="F874" s="43"/>
      <c r="G874" s="13" t="s">
        <v>1599</v>
      </c>
      <c r="H874" s="14">
        <v>3000.0</v>
      </c>
      <c r="I874" s="15">
        <v>0.0</v>
      </c>
      <c r="J874" s="37" t="s">
        <v>121</v>
      </c>
      <c r="K874" s="17"/>
      <c r="L874" s="6" t="s">
        <v>1986</v>
      </c>
      <c r="M874" s="6"/>
      <c r="N874" s="6"/>
      <c r="O874" s="6"/>
      <c r="P874" s="6"/>
      <c r="Q874" s="6"/>
      <c r="R874" s="6"/>
    </row>
    <row r="875" ht="22.5" customHeight="1">
      <c r="A875" s="49"/>
      <c r="B875" s="72">
        <v>0.5951388888888889</v>
      </c>
      <c r="C875" s="71">
        <v>46136.0</v>
      </c>
      <c r="D875" s="10" t="s">
        <v>198</v>
      </c>
      <c r="E875" s="11" t="s">
        <v>1987</v>
      </c>
      <c r="F875" s="43"/>
      <c r="G875" s="13" t="s">
        <v>200</v>
      </c>
      <c r="H875" s="14">
        <v>2500.0</v>
      </c>
      <c r="I875" s="15">
        <v>2500.0</v>
      </c>
      <c r="J875" s="37" t="s">
        <v>26</v>
      </c>
      <c r="K875" s="17"/>
      <c r="L875" s="6" t="s">
        <v>1988</v>
      </c>
      <c r="M875" s="6"/>
      <c r="N875" s="6"/>
      <c r="O875" s="6"/>
      <c r="P875" s="6"/>
      <c r="Q875" s="6"/>
      <c r="R875" s="6"/>
    </row>
    <row r="876" ht="22.5" customHeight="1">
      <c r="A876" s="49"/>
      <c r="B876" s="72">
        <v>0.6284722222222222</v>
      </c>
      <c r="C876" s="71">
        <v>46136.0</v>
      </c>
      <c r="D876" s="10" t="s">
        <v>874</v>
      </c>
      <c r="E876" s="11" t="s">
        <v>1797</v>
      </c>
      <c r="F876" s="12" t="s">
        <v>1798</v>
      </c>
      <c r="G876" s="13" t="s">
        <v>876</v>
      </c>
      <c r="H876" s="14">
        <v>650000.0</v>
      </c>
      <c r="I876" s="15">
        <v>0.0</v>
      </c>
      <c r="J876" s="37" t="s">
        <v>103</v>
      </c>
      <c r="K876" s="17"/>
      <c r="L876" s="6" t="s">
        <v>1989</v>
      </c>
      <c r="M876" s="6"/>
      <c r="N876" s="6"/>
      <c r="O876" s="6"/>
      <c r="P876" s="6"/>
      <c r="Q876" s="6"/>
      <c r="R876" s="6"/>
    </row>
    <row r="877" ht="22.5" customHeight="1">
      <c r="A877" s="49"/>
      <c r="B877" s="72">
        <v>0.6381944444444444</v>
      </c>
      <c r="C877" s="71">
        <v>46136.0</v>
      </c>
      <c r="D877" s="10" t="s">
        <v>1990</v>
      </c>
      <c r="E877" s="11" t="s">
        <v>1991</v>
      </c>
      <c r="F877" s="43"/>
      <c r="G877" s="13" t="s">
        <v>1992</v>
      </c>
      <c r="H877" s="14">
        <v>3000.0</v>
      </c>
      <c r="I877" s="15">
        <v>3000.0</v>
      </c>
      <c r="J877" s="37" t="s">
        <v>26</v>
      </c>
      <c r="K877" s="17"/>
      <c r="L877" s="6" t="s">
        <v>1993</v>
      </c>
      <c r="M877" s="6"/>
      <c r="N877" s="6"/>
      <c r="O877" s="6"/>
      <c r="P877" s="6"/>
      <c r="Q877" s="6"/>
      <c r="R877" s="6"/>
    </row>
    <row r="878" ht="22.5" customHeight="1">
      <c r="A878" s="49"/>
      <c r="B878" s="72">
        <v>0.6826388888888889</v>
      </c>
      <c r="C878" s="71">
        <v>46136.0</v>
      </c>
      <c r="D878" s="10" t="s">
        <v>1994</v>
      </c>
      <c r="E878" s="11" t="s">
        <v>1885</v>
      </c>
      <c r="F878" s="43"/>
      <c r="G878" s="13" t="s">
        <v>1995</v>
      </c>
      <c r="H878" s="14">
        <v>2000.0</v>
      </c>
      <c r="I878" s="15">
        <v>2000.0</v>
      </c>
      <c r="J878" s="37" t="s">
        <v>26</v>
      </c>
      <c r="K878" s="17"/>
      <c r="L878" s="6" t="s">
        <v>1996</v>
      </c>
      <c r="M878" s="6"/>
      <c r="N878" s="6"/>
      <c r="O878" s="6"/>
      <c r="P878" s="6"/>
      <c r="Q878" s="6"/>
      <c r="R878" s="6"/>
    </row>
    <row r="879" ht="22.5" customHeight="1">
      <c r="A879" s="49"/>
      <c r="B879" s="72">
        <v>0.7097222222222223</v>
      </c>
      <c r="C879" s="71">
        <v>46136.0</v>
      </c>
      <c r="D879" s="10" t="s">
        <v>64</v>
      </c>
      <c r="E879" s="11" t="s">
        <v>1997</v>
      </c>
      <c r="F879" s="43"/>
      <c r="G879" s="13" t="s">
        <v>66</v>
      </c>
      <c r="H879" s="14">
        <v>2000.0</v>
      </c>
      <c r="I879" s="15">
        <v>2000.0</v>
      </c>
      <c r="J879" s="37" t="s">
        <v>26</v>
      </c>
      <c r="K879" s="17"/>
      <c r="L879" s="6" t="s">
        <v>1998</v>
      </c>
      <c r="M879" s="6"/>
      <c r="N879" s="6"/>
      <c r="O879" s="6"/>
      <c r="P879" s="6"/>
      <c r="Q879" s="6"/>
      <c r="R879" s="6"/>
    </row>
    <row r="880" ht="22.5" customHeight="1">
      <c r="A880" s="49"/>
      <c r="B880" s="72">
        <v>0.7208333333333333</v>
      </c>
      <c r="C880" s="71">
        <v>46136.0</v>
      </c>
      <c r="D880" s="10" t="s">
        <v>198</v>
      </c>
      <c r="E880" s="11" t="s">
        <v>1999</v>
      </c>
      <c r="F880" s="43"/>
      <c r="G880" s="13" t="s">
        <v>200</v>
      </c>
      <c r="H880" s="14">
        <v>2500.0</v>
      </c>
      <c r="I880" s="15">
        <v>2500.0</v>
      </c>
      <c r="J880" s="37" t="s">
        <v>26</v>
      </c>
      <c r="K880" s="17"/>
      <c r="L880" s="6" t="s">
        <v>2000</v>
      </c>
      <c r="M880" s="6"/>
      <c r="N880" s="6"/>
      <c r="O880" s="6"/>
      <c r="P880" s="6"/>
      <c r="Q880" s="6"/>
      <c r="R880" s="6"/>
    </row>
    <row r="881" ht="22.5" customHeight="1">
      <c r="A881" s="49"/>
      <c r="B881" s="72">
        <v>0.73125</v>
      </c>
      <c r="C881" s="71">
        <v>46136.0</v>
      </c>
      <c r="D881" s="10" t="s">
        <v>89</v>
      </c>
      <c r="E881" s="11" t="s">
        <v>2001</v>
      </c>
      <c r="F881" s="43"/>
      <c r="G881" s="13" t="s">
        <v>2002</v>
      </c>
      <c r="H881" s="14">
        <v>3000.0</v>
      </c>
      <c r="I881" s="15">
        <v>0.0</v>
      </c>
      <c r="J881" s="37" t="s">
        <v>121</v>
      </c>
      <c r="K881" s="17"/>
      <c r="L881" s="6" t="s">
        <v>2003</v>
      </c>
      <c r="M881" s="6"/>
      <c r="N881" s="6"/>
      <c r="O881" s="6"/>
      <c r="P881" s="6"/>
      <c r="Q881" s="6"/>
      <c r="R881" s="6"/>
    </row>
    <row r="882" ht="22.5" customHeight="1">
      <c r="A882" s="49"/>
      <c r="B882" s="72">
        <v>0.4791666666666667</v>
      </c>
      <c r="C882" s="71">
        <v>46137.0</v>
      </c>
      <c r="D882" s="10" t="s">
        <v>1647</v>
      </c>
      <c r="E882" s="11" t="s">
        <v>2004</v>
      </c>
      <c r="F882" s="43"/>
      <c r="G882" s="13" t="s">
        <v>1649</v>
      </c>
      <c r="H882" s="14">
        <v>35000.0</v>
      </c>
      <c r="I882" s="15">
        <v>35000.0</v>
      </c>
      <c r="J882" s="37" t="s">
        <v>26</v>
      </c>
      <c r="K882" s="17"/>
      <c r="L882" s="6" t="s">
        <v>2005</v>
      </c>
      <c r="M882" s="6"/>
      <c r="N882" s="6"/>
      <c r="O882" s="6"/>
      <c r="P882" s="6"/>
      <c r="Q882" s="6"/>
      <c r="R882" s="6"/>
    </row>
    <row r="883" ht="22.5" customHeight="1">
      <c r="A883" s="49"/>
      <c r="B883" s="72">
        <v>0.5055555555555555</v>
      </c>
      <c r="C883" s="71">
        <v>46137.0</v>
      </c>
      <c r="D883" s="10" t="s">
        <v>2006</v>
      </c>
      <c r="E883" s="11" t="s">
        <v>2007</v>
      </c>
      <c r="F883" s="12" t="s">
        <v>2008</v>
      </c>
      <c r="G883" s="13" t="s">
        <v>2009</v>
      </c>
      <c r="H883" s="14">
        <v>230000.0</v>
      </c>
      <c r="I883" s="15">
        <v>230000.0</v>
      </c>
      <c r="J883" s="37" t="s">
        <v>26</v>
      </c>
      <c r="K883" s="17"/>
      <c r="L883" s="6" t="s">
        <v>2010</v>
      </c>
      <c r="M883" s="6"/>
      <c r="N883" s="6"/>
      <c r="O883" s="6"/>
      <c r="P883" s="6"/>
      <c r="Q883" s="6"/>
      <c r="R883" s="6"/>
    </row>
    <row r="884" ht="22.5" customHeight="1">
      <c r="A884" s="49"/>
      <c r="B884" s="72">
        <v>0.5395833333333333</v>
      </c>
      <c r="C884" s="71">
        <v>46137.0</v>
      </c>
      <c r="D884" s="10" t="s">
        <v>1302</v>
      </c>
      <c r="E884" s="11" t="s">
        <v>2011</v>
      </c>
      <c r="F884" s="12" t="s">
        <v>2012</v>
      </c>
      <c r="G884" s="13" t="s">
        <v>889</v>
      </c>
      <c r="H884" s="14">
        <v>650000.0</v>
      </c>
      <c r="I884" s="15">
        <v>0.0</v>
      </c>
      <c r="J884" s="37" t="s">
        <v>103</v>
      </c>
      <c r="K884" s="17"/>
      <c r="L884" s="6" t="s">
        <v>2013</v>
      </c>
      <c r="M884" s="6"/>
      <c r="N884" s="6"/>
      <c r="O884" s="6"/>
      <c r="P884" s="6"/>
      <c r="Q884" s="6"/>
      <c r="R884" s="6"/>
    </row>
    <row r="885" ht="22.5" customHeight="1">
      <c r="A885" s="49"/>
      <c r="B885" s="72">
        <v>0.5722222222222222</v>
      </c>
      <c r="C885" s="71">
        <v>46137.0</v>
      </c>
      <c r="D885" s="10" t="s">
        <v>1940</v>
      </c>
      <c r="E885" s="11" t="s">
        <v>2014</v>
      </c>
      <c r="F885" s="43"/>
      <c r="G885" s="13" t="s">
        <v>1942</v>
      </c>
      <c r="H885" s="14">
        <v>3000.0</v>
      </c>
      <c r="I885" s="15">
        <v>0.0</v>
      </c>
      <c r="J885" s="37" t="s">
        <v>121</v>
      </c>
      <c r="K885" s="17"/>
      <c r="L885" s="6" t="s">
        <v>2015</v>
      </c>
      <c r="M885" s="6"/>
      <c r="N885" s="6"/>
      <c r="O885" s="6"/>
      <c r="P885" s="6"/>
      <c r="Q885" s="6"/>
      <c r="R885" s="6"/>
    </row>
    <row r="886" ht="22.5" customHeight="1">
      <c r="A886" s="49"/>
      <c r="B886" s="72">
        <v>0.5743055555555555</v>
      </c>
      <c r="C886" s="71">
        <v>46137.0</v>
      </c>
      <c r="D886" s="10" t="s">
        <v>364</v>
      </c>
      <c r="E886" s="11" t="s">
        <v>2016</v>
      </c>
      <c r="F886" s="43"/>
      <c r="G886" s="13" t="s">
        <v>366</v>
      </c>
      <c r="H886" s="14">
        <v>15000.0</v>
      </c>
      <c r="I886" s="15">
        <v>0.0</v>
      </c>
      <c r="J886" s="37" t="s">
        <v>121</v>
      </c>
      <c r="K886" s="17"/>
      <c r="L886" s="6" t="s">
        <v>2017</v>
      </c>
      <c r="M886" s="6"/>
      <c r="N886" s="6"/>
      <c r="O886" s="6"/>
      <c r="P886" s="6"/>
      <c r="Q886" s="6"/>
      <c r="R886" s="6"/>
    </row>
    <row r="887" ht="22.5" customHeight="1">
      <c r="A887" s="49"/>
      <c r="B887" s="72">
        <v>0.5847222222222223</v>
      </c>
      <c r="C887" s="71">
        <v>46137.0</v>
      </c>
      <c r="D887" s="10" t="s">
        <v>2018</v>
      </c>
      <c r="E887" s="11" t="s">
        <v>2019</v>
      </c>
      <c r="F887" s="12" t="s">
        <v>2020</v>
      </c>
      <c r="G887" s="13" t="s">
        <v>2021</v>
      </c>
      <c r="H887" s="14">
        <v>950000.0</v>
      </c>
      <c r="I887" s="15">
        <v>950000.0</v>
      </c>
      <c r="J887" s="37" t="s">
        <v>26</v>
      </c>
      <c r="K887" s="17"/>
      <c r="L887" s="6" t="s">
        <v>2022</v>
      </c>
      <c r="M887" s="6"/>
      <c r="N887" s="6"/>
      <c r="O887" s="6"/>
      <c r="P887" s="6"/>
      <c r="Q887" s="6"/>
      <c r="R887" s="6"/>
    </row>
    <row r="888" ht="22.5" customHeight="1">
      <c r="A888" s="49"/>
      <c r="B888" s="72">
        <v>0.61875</v>
      </c>
      <c r="C888" s="71">
        <v>46137.0</v>
      </c>
      <c r="D888" s="10" t="s">
        <v>424</v>
      </c>
      <c r="E888" s="11" t="s">
        <v>2023</v>
      </c>
      <c r="F888" s="43"/>
      <c r="G888" s="13" t="s">
        <v>1519</v>
      </c>
      <c r="H888" s="14">
        <v>2500.0</v>
      </c>
      <c r="I888" s="15">
        <v>0.0</v>
      </c>
      <c r="J888" s="37" t="s">
        <v>121</v>
      </c>
      <c r="K888" s="17"/>
      <c r="L888" s="6" t="s">
        <v>2024</v>
      </c>
      <c r="M888" s="6"/>
      <c r="N888" s="6"/>
      <c r="O888" s="6"/>
      <c r="P888" s="6"/>
      <c r="Q888" s="6"/>
      <c r="R888" s="6"/>
    </row>
    <row r="889" ht="22.5" customHeight="1">
      <c r="A889" s="49"/>
      <c r="B889" s="72">
        <v>0.70625</v>
      </c>
      <c r="C889" s="71">
        <v>46137.0</v>
      </c>
      <c r="D889" s="10" t="s">
        <v>2025</v>
      </c>
      <c r="E889" s="11" t="s">
        <v>326</v>
      </c>
      <c r="F889" s="43"/>
      <c r="G889" s="13" t="s">
        <v>2026</v>
      </c>
      <c r="H889" s="14">
        <v>10000.0</v>
      </c>
      <c r="I889" s="15">
        <v>0.0</v>
      </c>
      <c r="J889" s="37" t="s">
        <v>121</v>
      </c>
      <c r="K889" s="17"/>
      <c r="L889" s="6" t="s">
        <v>2027</v>
      </c>
      <c r="M889" s="6"/>
      <c r="N889" s="6"/>
      <c r="O889" s="6"/>
      <c r="P889" s="6"/>
      <c r="Q889" s="6"/>
      <c r="R889" s="6"/>
    </row>
    <row r="890" ht="22.5" customHeight="1">
      <c r="A890" s="49"/>
      <c r="B890" s="72">
        <v>0.44166666666666665</v>
      </c>
      <c r="C890" s="71">
        <v>46139.0</v>
      </c>
      <c r="D890" s="10" t="s">
        <v>70</v>
      </c>
      <c r="E890" s="11" t="s">
        <v>1987</v>
      </c>
      <c r="F890" s="43"/>
      <c r="G890" s="13" t="s">
        <v>72</v>
      </c>
      <c r="H890" s="14">
        <v>2500.0</v>
      </c>
      <c r="I890" s="15">
        <v>2500.0</v>
      </c>
      <c r="J890" s="37" t="s">
        <v>26</v>
      </c>
      <c r="K890" s="17"/>
      <c r="L890" s="6" t="s">
        <v>2028</v>
      </c>
      <c r="M890" s="6"/>
      <c r="N890" s="6"/>
      <c r="O890" s="6"/>
      <c r="P890" s="6"/>
      <c r="Q890" s="6"/>
      <c r="R890" s="6"/>
    </row>
    <row r="891" ht="22.5" customHeight="1">
      <c r="A891" s="49"/>
      <c r="B891" s="72">
        <v>0.47638888888888886</v>
      </c>
      <c r="C891" s="71">
        <v>46139.0</v>
      </c>
      <c r="D891" s="10" t="s">
        <v>54</v>
      </c>
      <c r="E891" s="11" t="s">
        <v>2029</v>
      </c>
      <c r="F891" s="43"/>
      <c r="G891" s="13" t="s">
        <v>56</v>
      </c>
      <c r="H891" s="14">
        <v>10000.0</v>
      </c>
      <c r="I891" s="15">
        <v>0.0</v>
      </c>
      <c r="J891" s="37" t="s">
        <v>121</v>
      </c>
      <c r="K891" s="17"/>
      <c r="L891" s="6" t="s">
        <v>2030</v>
      </c>
      <c r="M891" s="6"/>
      <c r="N891" s="6"/>
      <c r="O891" s="6"/>
      <c r="P891" s="6"/>
      <c r="Q891" s="6"/>
      <c r="R891" s="6"/>
    </row>
    <row r="892" ht="22.5" customHeight="1">
      <c r="A892" s="49"/>
      <c r="B892" s="72">
        <v>0.5451388888888888</v>
      </c>
      <c r="C892" s="71">
        <v>46139.0</v>
      </c>
      <c r="D892" s="10" t="s">
        <v>70</v>
      </c>
      <c r="E892" s="11" t="s">
        <v>2031</v>
      </c>
      <c r="F892" s="43"/>
      <c r="G892" s="13" t="s">
        <v>72</v>
      </c>
      <c r="H892" s="14">
        <v>2500.0</v>
      </c>
      <c r="I892" s="15">
        <v>2500.0</v>
      </c>
      <c r="J892" s="37" t="s">
        <v>26</v>
      </c>
      <c r="K892" s="17"/>
      <c r="L892" s="6" t="s">
        <v>2032</v>
      </c>
      <c r="M892" s="6"/>
      <c r="N892" s="6"/>
      <c r="O892" s="6"/>
      <c r="P892" s="6"/>
      <c r="Q892" s="6"/>
      <c r="R892" s="6"/>
    </row>
    <row r="893" ht="22.5" customHeight="1">
      <c r="A893" s="49"/>
      <c r="B893" s="72">
        <v>0.5472222222222223</v>
      </c>
      <c r="C893" s="71">
        <v>46139.0</v>
      </c>
      <c r="D893" s="10" t="s">
        <v>18</v>
      </c>
      <c r="E893" s="11" t="s">
        <v>2033</v>
      </c>
      <c r="F893" s="43"/>
      <c r="G893" s="13" t="s">
        <v>20</v>
      </c>
      <c r="H893" s="14">
        <v>2500.0</v>
      </c>
      <c r="I893" s="15">
        <v>0.0</v>
      </c>
      <c r="J893" s="37" t="s">
        <v>121</v>
      </c>
      <c r="K893" s="17"/>
      <c r="L893" s="6" t="s">
        <v>2034</v>
      </c>
      <c r="M893" s="6"/>
      <c r="N893" s="6"/>
      <c r="O893" s="6"/>
      <c r="P893" s="6"/>
      <c r="Q893" s="6"/>
      <c r="R893" s="6"/>
    </row>
    <row r="894" ht="22.5" customHeight="1">
      <c r="A894" s="49"/>
      <c r="B894" s="72">
        <v>0.5541666666666667</v>
      </c>
      <c r="C894" s="71">
        <v>46139.0</v>
      </c>
      <c r="D894" s="10" t="s">
        <v>368</v>
      </c>
      <c r="E894" s="11" t="s">
        <v>2035</v>
      </c>
      <c r="F894" s="43"/>
      <c r="G894" s="13" t="s">
        <v>370</v>
      </c>
      <c r="H894" s="14">
        <v>5000.0</v>
      </c>
      <c r="I894" s="15">
        <v>5000.0</v>
      </c>
      <c r="J894" s="37" t="s">
        <v>26</v>
      </c>
      <c r="K894" s="17"/>
      <c r="L894" s="6" t="s">
        <v>2036</v>
      </c>
      <c r="M894" s="6"/>
      <c r="N894" s="6"/>
      <c r="O894" s="6"/>
      <c r="P894" s="6"/>
      <c r="Q894" s="6"/>
      <c r="R894" s="6"/>
    </row>
    <row r="895" ht="22.5" customHeight="1">
      <c r="A895" s="49"/>
      <c r="B895" s="72">
        <v>0.5888888888888889</v>
      </c>
      <c r="C895" s="71">
        <v>46139.0</v>
      </c>
      <c r="D895" s="10" t="s">
        <v>74</v>
      </c>
      <c r="E895" s="11" t="s">
        <v>2037</v>
      </c>
      <c r="F895" s="43"/>
      <c r="G895" s="13" t="s">
        <v>76</v>
      </c>
      <c r="H895" s="14">
        <v>2500.0</v>
      </c>
      <c r="I895" s="15">
        <v>2500.0</v>
      </c>
      <c r="J895" s="37" t="s">
        <v>26</v>
      </c>
      <c r="K895" s="17"/>
      <c r="L895" s="6" t="s">
        <v>2038</v>
      </c>
      <c r="M895" s="6"/>
      <c r="N895" s="6"/>
      <c r="O895" s="6"/>
      <c r="P895" s="6"/>
      <c r="Q895" s="6"/>
      <c r="R895" s="6"/>
    </row>
    <row r="896" ht="22.5" customHeight="1">
      <c r="A896" s="49"/>
      <c r="B896" s="72">
        <v>0.6118055555555556</v>
      </c>
      <c r="C896" s="71">
        <v>46139.0</v>
      </c>
      <c r="D896" s="10" t="s">
        <v>1597</v>
      </c>
      <c r="E896" s="11" t="s">
        <v>2039</v>
      </c>
      <c r="F896" s="43"/>
      <c r="G896" s="13" t="s">
        <v>1599</v>
      </c>
      <c r="H896" s="14">
        <v>2500.0</v>
      </c>
      <c r="I896" s="15">
        <v>2500.0</v>
      </c>
      <c r="J896" s="37" t="s">
        <v>26</v>
      </c>
      <c r="K896" s="17"/>
      <c r="L896" s="6" t="s">
        <v>2040</v>
      </c>
      <c r="M896" s="6"/>
      <c r="N896" s="6"/>
      <c r="O896" s="6"/>
      <c r="P896" s="6"/>
      <c r="Q896" s="6"/>
      <c r="R896" s="6"/>
    </row>
    <row r="897" ht="22.5" customHeight="1">
      <c r="A897" s="49"/>
      <c r="B897" s="72">
        <v>0.6416666666666667</v>
      </c>
      <c r="C897" s="71">
        <v>46139.0</v>
      </c>
      <c r="D897" s="10" t="s">
        <v>70</v>
      </c>
      <c r="E897" s="11" t="s">
        <v>1465</v>
      </c>
      <c r="F897" s="43"/>
      <c r="G897" s="13" t="s">
        <v>72</v>
      </c>
      <c r="H897" s="14">
        <v>5000.0</v>
      </c>
      <c r="I897" s="15">
        <v>5000.0</v>
      </c>
      <c r="J897" s="37" t="s">
        <v>26</v>
      </c>
      <c r="K897" s="17"/>
      <c r="L897" s="6" t="s">
        <v>2041</v>
      </c>
      <c r="M897" s="6"/>
      <c r="N897" s="6"/>
      <c r="O897" s="6"/>
      <c r="P897" s="6"/>
      <c r="Q897" s="6"/>
      <c r="R897" s="6"/>
    </row>
    <row r="898" ht="22.5" customHeight="1">
      <c r="A898" s="49"/>
      <c r="B898" s="72">
        <v>0.6631944444444444</v>
      </c>
      <c r="C898" s="71">
        <v>46139.0</v>
      </c>
      <c r="D898" s="10" t="s">
        <v>1472</v>
      </c>
      <c r="E898" s="11" t="s">
        <v>2042</v>
      </c>
      <c r="F898" s="43"/>
      <c r="G898" s="13" t="s">
        <v>1474</v>
      </c>
      <c r="H898" s="14">
        <v>2500.0</v>
      </c>
      <c r="I898" s="15">
        <v>2500.0</v>
      </c>
      <c r="J898" s="37" t="s">
        <v>26</v>
      </c>
      <c r="K898" s="17"/>
      <c r="L898" s="6" t="s">
        <v>2043</v>
      </c>
      <c r="M898" s="6"/>
      <c r="N898" s="6"/>
      <c r="O898" s="6"/>
      <c r="P898" s="6"/>
      <c r="Q898" s="6"/>
      <c r="R898" s="6"/>
    </row>
    <row r="899" ht="22.5" customHeight="1">
      <c r="A899" s="49"/>
      <c r="B899" s="72">
        <v>0.6638888888888889</v>
      </c>
      <c r="C899" s="71">
        <v>46139.0</v>
      </c>
      <c r="D899" s="10" t="s">
        <v>620</v>
      </c>
      <c r="E899" s="11" t="s">
        <v>2011</v>
      </c>
      <c r="F899" s="12" t="s">
        <v>2012</v>
      </c>
      <c r="G899" s="13" t="s">
        <v>622</v>
      </c>
      <c r="H899" s="14">
        <v>650000.0</v>
      </c>
      <c r="I899" s="15">
        <v>650000.0</v>
      </c>
      <c r="J899" s="37" t="s">
        <v>26</v>
      </c>
      <c r="K899" s="17"/>
      <c r="L899" s="6" t="s">
        <v>2044</v>
      </c>
      <c r="M899" s="6"/>
      <c r="N899" s="6"/>
      <c r="O899" s="6"/>
      <c r="P899" s="6"/>
      <c r="Q899" s="6"/>
      <c r="R899" s="6"/>
    </row>
    <row r="900" ht="22.5" customHeight="1">
      <c r="A900" s="49"/>
      <c r="B900" s="72">
        <v>0.6708333333333333</v>
      </c>
      <c r="C900" s="71">
        <v>46139.0</v>
      </c>
      <c r="D900" s="10" t="s">
        <v>620</v>
      </c>
      <c r="E900" s="11" t="s">
        <v>2045</v>
      </c>
      <c r="F900" s="12" t="s">
        <v>2046</v>
      </c>
      <c r="G900" s="13" t="s">
        <v>622</v>
      </c>
      <c r="H900" s="14">
        <v>755000.0</v>
      </c>
      <c r="I900" s="15">
        <v>0.0</v>
      </c>
      <c r="J900" s="37" t="s">
        <v>103</v>
      </c>
      <c r="K900" s="17"/>
      <c r="L900" s="6" t="s">
        <v>2047</v>
      </c>
      <c r="M900" s="6"/>
      <c r="N900" s="6"/>
      <c r="O900" s="6"/>
      <c r="P900" s="6"/>
      <c r="Q900" s="6"/>
      <c r="R900" s="6"/>
    </row>
    <row r="901" ht="22.5" customHeight="1">
      <c r="A901" s="49"/>
      <c r="B901" s="72">
        <v>0.73125</v>
      </c>
      <c r="C901" s="71">
        <v>46139.0</v>
      </c>
      <c r="D901" s="10" t="s">
        <v>2048</v>
      </c>
      <c r="E901" s="11" t="s">
        <v>2049</v>
      </c>
      <c r="F901" s="12" t="s">
        <v>2050</v>
      </c>
      <c r="G901" s="13" t="s">
        <v>2051</v>
      </c>
      <c r="H901" s="14">
        <v>645000.0</v>
      </c>
      <c r="I901" s="15">
        <v>645000.0</v>
      </c>
      <c r="J901" s="37" t="s">
        <v>26</v>
      </c>
      <c r="K901" s="17"/>
      <c r="L901" s="6" t="s">
        <v>2052</v>
      </c>
      <c r="M901" s="6"/>
      <c r="N901" s="6"/>
      <c r="O901" s="6"/>
      <c r="P901" s="6"/>
      <c r="Q901" s="6"/>
      <c r="R901" s="6"/>
    </row>
    <row r="902" ht="22.5" customHeight="1">
      <c r="A902" s="49"/>
      <c r="B902" s="72">
        <v>0.43819444444444444</v>
      </c>
      <c r="C902" s="71">
        <v>46140.0</v>
      </c>
      <c r="D902" s="10" t="s">
        <v>70</v>
      </c>
      <c r="E902" s="11" t="s">
        <v>1012</v>
      </c>
      <c r="F902" s="43"/>
      <c r="G902" s="13" t="s">
        <v>72</v>
      </c>
      <c r="H902" s="14">
        <v>4000.0</v>
      </c>
      <c r="I902" s="15">
        <v>4000.0</v>
      </c>
      <c r="J902" s="37" t="s">
        <v>26</v>
      </c>
      <c r="K902" s="17"/>
      <c r="L902" s="6" t="s">
        <v>2053</v>
      </c>
      <c r="M902" s="6"/>
      <c r="N902" s="6"/>
      <c r="O902" s="6"/>
      <c r="P902" s="6"/>
      <c r="Q902" s="6"/>
      <c r="R902" s="6"/>
    </row>
    <row r="903" ht="22.5" customHeight="1">
      <c r="A903" s="49"/>
      <c r="B903" s="72">
        <v>0.45416666666666666</v>
      </c>
      <c r="C903" s="71">
        <v>46140.0</v>
      </c>
      <c r="D903" s="10" t="s">
        <v>2054</v>
      </c>
      <c r="E903" s="11" t="s">
        <v>1506</v>
      </c>
      <c r="F903" s="43"/>
      <c r="G903" s="13" t="s">
        <v>2055</v>
      </c>
      <c r="H903" s="14">
        <v>3000.0</v>
      </c>
      <c r="I903" s="15">
        <v>3000.0</v>
      </c>
      <c r="J903" s="37" t="s">
        <v>26</v>
      </c>
      <c r="K903" s="17"/>
      <c r="L903" s="6" t="s">
        <v>2056</v>
      </c>
      <c r="M903" s="6"/>
      <c r="N903" s="6"/>
      <c r="O903" s="6"/>
      <c r="P903" s="6"/>
      <c r="Q903" s="6"/>
      <c r="R903" s="6"/>
    </row>
    <row r="904" ht="22.5" customHeight="1">
      <c r="A904" s="49"/>
      <c r="B904" s="72">
        <v>0.4708333333333333</v>
      </c>
      <c r="C904" s="71">
        <v>46140.0</v>
      </c>
      <c r="D904" s="10" t="s">
        <v>1719</v>
      </c>
      <c r="E904" s="11" t="s">
        <v>2057</v>
      </c>
      <c r="F904" s="43"/>
      <c r="G904" s="13" t="s">
        <v>1721</v>
      </c>
      <c r="H904" s="14">
        <v>2500.0</v>
      </c>
      <c r="I904" s="15">
        <v>2500.0</v>
      </c>
      <c r="J904" s="37" t="s">
        <v>26</v>
      </c>
      <c r="K904" s="17"/>
      <c r="L904" s="6" t="s">
        <v>2058</v>
      </c>
      <c r="M904" s="6"/>
      <c r="N904" s="6"/>
      <c r="O904" s="6"/>
      <c r="P904" s="6"/>
      <c r="Q904" s="6"/>
      <c r="R904" s="6"/>
    </row>
    <row r="905" ht="22.5" customHeight="1">
      <c r="A905" s="49"/>
      <c r="B905" s="72">
        <v>0.4965277777777778</v>
      </c>
      <c r="C905" s="71">
        <v>46140.0</v>
      </c>
      <c r="D905" s="10" t="s">
        <v>1391</v>
      </c>
      <c r="E905" s="11" t="s">
        <v>1797</v>
      </c>
      <c r="F905" s="12" t="s">
        <v>1798</v>
      </c>
      <c r="G905" s="13" t="s">
        <v>1393</v>
      </c>
      <c r="H905" s="14">
        <v>655000.0</v>
      </c>
      <c r="I905" s="15">
        <v>0.0</v>
      </c>
      <c r="J905" s="37" t="s">
        <v>103</v>
      </c>
      <c r="K905" s="17"/>
      <c r="L905" s="6" t="s">
        <v>2059</v>
      </c>
      <c r="M905" s="6"/>
      <c r="N905" s="6"/>
      <c r="O905" s="6"/>
      <c r="P905" s="6"/>
      <c r="Q905" s="6"/>
      <c r="R905" s="6"/>
    </row>
    <row r="906" ht="22.5" customHeight="1">
      <c r="A906" s="49"/>
      <c r="B906" s="72">
        <v>0.49722222222222223</v>
      </c>
      <c r="C906" s="71">
        <v>46140.0</v>
      </c>
      <c r="D906" s="10" t="s">
        <v>2060</v>
      </c>
      <c r="E906" s="11" t="s">
        <v>2061</v>
      </c>
      <c r="F906" s="43"/>
      <c r="G906" s="13" t="s">
        <v>2062</v>
      </c>
      <c r="H906" s="14">
        <v>2500.0</v>
      </c>
      <c r="I906" s="15">
        <v>2500.0</v>
      </c>
      <c r="J906" s="37" t="s">
        <v>26</v>
      </c>
      <c r="K906" s="17"/>
      <c r="L906" s="6" t="s">
        <v>2063</v>
      </c>
      <c r="M906" s="6"/>
      <c r="N906" s="6"/>
      <c r="O906" s="6"/>
      <c r="P906" s="6"/>
      <c r="Q906" s="6"/>
      <c r="R906" s="6"/>
    </row>
    <row r="907" ht="22.5" customHeight="1">
      <c r="A907" s="49"/>
      <c r="B907" s="72">
        <v>0.5659722222222222</v>
      </c>
      <c r="C907" s="71">
        <v>46140.0</v>
      </c>
      <c r="D907" s="10" t="s">
        <v>2064</v>
      </c>
      <c r="E907" s="11" t="s">
        <v>1674</v>
      </c>
      <c r="F907" s="43"/>
      <c r="G907" s="13" t="s">
        <v>2065</v>
      </c>
      <c r="H907" s="14">
        <v>3000.0</v>
      </c>
      <c r="I907" s="15">
        <v>3000.0</v>
      </c>
      <c r="J907" s="37" t="s">
        <v>26</v>
      </c>
      <c r="K907" s="17"/>
      <c r="L907" s="6" t="s">
        <v>2066</v>
      </c>
      <c r="M907" s="6"/>
      <c r="N907" s="6"/>
      <c r="O907" s="6"/>
      <c r="P907" s="6"/>
      <c r="Q907" s="6"/>
      <c r="R907" s="6"/>
    </row>
    <row r="908" ht="22.5" customHeight="1">
      <c r="A908" s="49"/>
      <c r="B908" s="72">
        <v>0.5861111111111111</v>
      </c>
      <c r="C908" s="71">
        <v>46140.0</v>
      </c>
      <c r="D908" s="10" t="s">
        <v>2064</v>
      </c>
      <c r="E908" s="11" t="s">
        <v>2067</v>
      </c>
      <c r="F908" s="43"/>
      <c r="G908" s="13" t="s">
        <v>2065</v>
      </c>
      <c r="H908" s="14">
        <v>3000.0</v>
      </c>
      <c r="I908" s="15">
        <v>3000.0</v>
      </c>
      <c r="J908" s="37" t="s">
        <v>26</v>
      </c>
      <c r="K908" s="17"/>
      <c r="L908" s="6" t="s">
        <v>2068</v>
      </c>
      <c r="M908" s="6"/>
      <c r="N908" s="6"/>
      <c r="O908" s="6"/>
      <c r="P908" s="6"/>
      <c r="Q908" s="6"/>
      <c r="R908" s="6"/>
    </row>
    <row r="909" ht="22.5" customHeight="1">
      <c r="A909" s="49"/>
      <c r="B909" s="72">
        <v>0.6111111111111112</v>
      </c>
      <c r="C909" s="71">
        <v>46140.0</v>
      </c>
      <c r="D909" s="10" t="s">
        <v>442</v>
      </c>
      <c r="E909" s="11" t="s">
        <v>1757</v>
      </c>
      <c r="F909" s="43"/>
      <c r="G909" s="13" t="s">
        <v>210</v>
      </c>
      <c r="H909" s="14">
        <v>2500.0</v>
      </c>
      <c r="I909" s="15">
        <v>0.0</v>
      </c>
      <c r="J909" s="37" t="s">
        <v>121</v>
      </c>
      <c r="K909" s="17"/>
      <c r="L909" s="6" t="s">
        <v>2069</v>
      </c>
      <c r="M909" s="6"/>
      <c r="N909" s="6"/>
      <c r="O909" s="6"/>
      <c r="P909" s="6"/>
      <c r="Q909" s="6"/>
      <c r="R909" s="6"/>
    </row>
    <row r="910" ht="22.5" customHeight="1">
      <c r="A910" s="49"/>
      <c r="B910" s="72">
        <v>0.6395833333333333</v>
      </c>
      <c r="C910" s="71">
        <v>46140.0</v>
      </c>
      <c r="D910" s="10" t="s">
        <v>1302</v>
      </c>
      <c r="E910" s="11" t="s">
        <v>2070</v>
      </c>
      <c r="F910" s="43"/>
      <c r="G910" s="13" t="s">
        <v>889</v>
      </c>
      <c r="H910" s="14">
        <v>2500.0</v>
      </c>
      <c r="I910" s="15">
        <v>0.0</v>
      </c>
      <c r="J910" s="37" t="s">
        <v>121</v>
      </c>
      <c r="K910" s="17"/>
      <c r="L910" s="6" t="s">
        <v>2071</v>
      </c>
      <c r="M910" s="6"/>
      <c r="N910" s="6"/>
      <c r="O910" s="6"/>
      <c r="P910" s="6"/>
      <c r="Q910" s="6"/>
      <c r="R910" s="6"/>
    </row>
    <row r="911" ht="22.5" customHeight="1">
      <c r="A911" s="49"/>
      <c r="B911" s="72">
        <v>0.6763888888888889</v>
      </c>
      <c r="C911" s="71">
        <v>46140.0</v>
      </c>
      <c r="D911" s="10" t="s">
        <v>2072</v>
      </c>
      <c r="E911" s="11" t="s">
        <v>2073</v>
      </c>
      <c r="F911" s="43"/>
      <c r="G911" s="13" t="s">
        <v>2074</v>
      </c>
      <c r="H911" s="14">
        <v>2000.0</v>
      </c>
      <c r="I911" s="15">
        <v>2000.0</v>
      </c>
      <c r="J911" s="37" t="s">
        <v>26</v>
      </c>
      <c r="K911" s="17"/>
      <c r="L911" s="6" t="s">
        <v>2075</v>
      </c>
      <c r="M911" s="6"/>
      <c r="N911" s="6"/>
      <c r="O911" s="6"/>
      <c r="P911" s="6"/>
      <c r="Q911" s="6"/>
      <c r="R911" s="6"/>
    </row>
    <row r="912" ht="22.5" customHeight="1">
      <c r="A912" s="49"/>
      <c r="B912" s="72">
        <v>0.3784722222222222</v>
      </c>
      <c r="C912" s="71">
        <v>46141.0</v>
      </c>
      <c r="D912" s="10" t="s">
        <v>54</v>
      </c>
      <c r="E912" s="11" t="s">
        <v>1885</v>
      </c>
      <c r="F912" s="43"/>
      <c r="G912" s="13" t="s">
        <v>56</v>
      </c>
      <c r="H912" s="14">
        <v>2500.0</v>
      </c>
      <c r="I912" s="15">
        <v>0.0</v>
      </c>
      <c r="J912" s="37" t="s">
        <v>121</v>
      </c>
      <c r="K912" s="17"/>
      <c r="L912" s="6" t="s">
        <v>2076</v>
      </c>
      <c r="M912" s="6"/>
      <c r="N912" s="6"/>
      <c r="O912" s="6"/>
      <c r="P912" s="6"/>
      <c r="Q912" s="6"/>
      <c r="R912" s="6"/>
    </row>
    <row r="913" ht="22.5" customHeight="1">
      <c r="A913" s="49"/>
      <c r="B913" s="72">
        <v>0.38680555555555557</v>
      </c>
      <c r="C913" s="71">
        <v>46141.0</v>
      </c>
      <c r="D913" s="10" t="s">
        <v>442</v>
      </c>
      <c r="E913" s="11" t="s">
        <v>2077</v>
      </c>
      <c r="F913" s="43"/>
      <c r="G913" s="13" t="s">
        <v>210</v>
      </c>
      <c r="H913" s="14">
        <v>2500.0</v>
      </c>
      <c r="I913" s="15">
        <v>0.0</v>
      </c>
      <c r="J913" s="37" t="s">
        <v>121</v>
      </c>
      <c r="K913" s="17"/>
      <c r="L913" s="6" t="s">
        <v>2078</v>
      </c>
      <c r="M913" s="6"/>
      <c r="N913" s="6"/>
      <c r="O913" s="6"/>
      <c r="P913" s="6"/>
      <c r="Q913" s="6"/>
      <c r="R913" s="6"/>
    </row>
    <row r="914" ht="22.5" customHeight="1">
      <c r="A914" s="49"/>
      <c r="B914" s="72">
        <v>0.5041666666666667</v>
      </c>
      <c r="C914" s="71">
        <v>46141.0</v>
      </c>
      <c r="D914" s="10" t="s">
        <v>686</v>
      </c>
      <c r="E914" s="11" t="s">
        <v>2079</v>
      </c>
      <c r="F914" s="43"/>
      <c r="G914" s="13" t="s">
        <v>687</v>
      </c>
      <c r="H914" s="14">
        <v>3000.0</v>
      </c>
      <c r="I914" s="15">
        <v>3000.0</v>
      </c>
      <c r="J914" s="37" t="s">
        <v>26</v>
      </c>
      <c r="K914" s="17"/>
      <c r="L914" s="6" t="s">
        <v>2080</v>
      </c>
      <c r="M914" s="6"/>
      <c r="N914" s="6"/>
      <c r="O914" s="6"/>
      <c r="P914" s="6"/>
      <c r="Q914" s="6"/>
      <c r="R914" s="6"/>
    </row>
    <row r="915" ht="22.5" customHeight="1">
      <c r="A915" s="49"/>
      <c r="B915" s="72">
        <v>0.5430555555555555</v>
      </c>
      <c r="C915" s="71">
        <v>46141.0</v>
      </c>
      <c r="D915" s="10" t="s">
        <v>2081</v>
      </c>
      <c r="E915" s="11" t="s">
        <v>1605</v>
      </c>
      <c r="F915" s="12" t="s">
        <v>2082</v>
      </c>
      <c r="G915" s="13" t="s">
        <v>2083</v>
      </c>
      <c r="H915" s="14">
        <v>520000.0</v>
      </c>
      <c r="I915" s="15">
        <v>520000.0</v>
      </c>
      <c r="J915" s="37" t="s">
        <v>26</v>
      </c>
      <c r="K915" s="17"/>
      <c r="L915" s="6" t="s">
        <v>2084</v>
      </c>
      <c r="M915" s="6"/>
      <c r="N915" s="6"/>
      <c r="O915" s="6"/>
      <c r="P915" s="6"/>
      <c r="Q915" s="6"/>
      <c r="R915" s="6"/>
    </row>
    <row r="916" ht="22.5" customHeight="1">
      <c r="A916" s="49"/>
      <c r="B916" s="72">
        <v>0.5430555555555555</v>
      </c>
      <c r="C916" s="71">
        <v>46141.0</v>
      </c>
      <c r="D916" s="10" t="s">
        <v>855</v>
      </c>
      <c r="E916" s="11" t="s">
        <v>2085</v>
      </c>
      <c r="F916" s="12" t="s">
        <v>2086</v>
      </c>
      <c r="G916" s="13" t="s">
        <v>857</v>
      </c>
      <c r="H916" s="14">
        <v>350000.0</v>
      </c>
      <c r="I916" s="15">
        <v>350000.0</v>
      </c>
      <c r="J916" s="37" t="s">
        <v>26</v>
      </c>
      <c r="K916" s="17"/>
      <c r="L916" s="6" t="s">
        <v>2087</v>
      </c>
      <c r="M916" s="6"/>
      <c r="N916" s="6"/>
      <c r="O916" s="6"/>
      <c r="P916" s="6"/>
      <c r="Q916" s="6"/>
      <c r="R916" s="6"/>
    </row>
    <row r="917" ht="22.5" customHeight="1">
      <c r="A917" s="49"/>
      <c r="B917" s="72">
        <v>0.5430555555555555</v>
      </c>
      <c r="C917" s="71">
        <v>46141.0</v>
      </c>
      <c r="D917" s="10" t="s">
        <v>2088</v>
      </c>
      <c r="E917" s="11" t="s">
        <v>2089</v>
      </c>
      <c r="F917" s="12" t="s">
        <v>2090</v>
      </c>
      <c r="G917" s="13" t="s">
        <v>2091</v>
      </c>
      <c r="H917" s="14">
        <v>870000.0</v>
      </c>
      <c r="I917" s="15">
        <v>870000.0</v>
      </c>
      <c r="J917" s="37" t="s">
        <v>26</v>
      </c>
      <c r="K917" s="17"/>
      <c r="L917" s="6" t="s">
        <v>2092</v>
      </c>
      <c r="M917" s="6"/>
      <c r="N917" s="6"/>
      <c r="O917" s="6"/>
      <c r="P917" s="6"/>
      <c r="Q917" s="6"/>
      <c r="R917" s="6"/>
    </row>
    <row r="918" ht="22.5" customHeight="1">
      <c r="A918" s="49"/>
      <c r="B918" s="72">
        <v>0.5479166666666667</v>
      </c>
      <c r="C918" s="71">
        <v>46141.0</v>
      </c>
      <c r="D918" s="10" t="s">
        <v>1583</v>
      </c>
      <c r="E918" s="11" t="s">
        <v>2093</v>
      </c>
      <c r="F918" s="43"/>
      <c r="G918" s="13" t="s">
        <v>1585</v>
      </c>
      <c r="H918" s="14">
        <v>3000.0</v>
      </c>
      <c r="I918" s="15">
        <v>3000.0</v>
      </c>
      <c r="J918" s="37" t="s">
        <v>26</v>
      </c>
      <c r="K918" s="17"/>
      <c r="L918" s="6" t="s">
        <v>2094</v>
      </c>
      <c r="M918" s="6"/>
      <c r="N918" s="6"/>
      <c r="O918" s="6"/>
      <c r="P918" s="6"/>
      <c r="Q918" s="6"/>
      <c r="R918" s="6"/>
    </row>
    <row r="919" ht="22.5" customHeight="1">
      <c r="A919" s="49"/>
      <c r="B919" s="72">
        <v>0.6208333333333333</v>
      </c>
      <c r="C919" s="71">
        <v>46141.0</v>
      </c>
      <c r="D919" s="10" t="s">
        <v>133</v>
      </c>
      <c r="E919" s="11" t="s">
        <v>2095</v>
      </c>
      <c r="F919" s="43"/>
      <c r="G919" s="13" t="s">
        <v>136</v>
      </c>
      <c r="H919" s="14">
        <v>2500.0</v>
      </c>
      <c r="I919" s="15">
        <v>2500.0</v>
      </c>
      <c r="J919" s="37" t="s">
        <v>26</v>
      </c>
      <c r="K919" s="17"/>
      <c r="L919" s="6" t="s">
        <v>2096</v>
      </c>
      <c r="M919" s="6"/>
      <c r="N919" s="6"/>
      <c r="O919" s="6"/>
      <c r="P919" s="6"/>
      <c r="Q919" s="6"/>
      <c r="R919" s="6"/>
    </row>
    <row r="920" ht="22.5" customHeight="1">
      <c r="A920" s="49"/>
      <c r="B920" s="72">
        <v>0.6236111111111111</v>
      </c>
      <c r="C920" s="71">
        <v>46141.0</v>
      </c>
      <c r="D920" s="10" t="s">
        <v>2097</v>
      </c>
      <c r="E920" s="11" t="s">
        <v>2098</v>
      </c>
      <c r="F920" s="12" t="s">
        <v>2099</v>
      </c>
      <c r="G920" s="13" t="s">
        <v>2100</v>
      </c>
      <c r="H920" s="14">
        <v>355000.0</v>
      </c>
      <c r="I920" s="15">
        <v>355000.0</v>
      </c>
      <c r="J920" s="37" t="s">
        <v>26</v>
      </c>
      <c r="K920" s="17"/>
      <c r="L920" s="6" t="s">
        <v>2101</v>
      </c>
      <c r="M920" s="6"/>
      <c r="N920" s="6"/>
      <c r="O920" s="6"/>
      <c r="P920" s="6"/>
      <c r="Q920" s="6"/>
      <c r="R920" s="6"/>
    </row>
    <row r="921" ht="22.5" customHeight="1">
      <c r="A921" s="49"/>
      <c r="B921" s="72">
        <v>0.7319444444444444</v>
      </c>
      <c r="C921" s="71">
        <v>46141.0</v>
      </c>
      <c r="D921" s="10" t="s">
        <v>358</v>
      </c>
      <c r="E921" s="11" t="s">
        <v>1377</v>
      </c>
      <c r="F921" s="43"/>
      <c r="G921" s="13" t="s">
        <v>360</v>
      </c>
      <c r="H921" s="14">
        <v>3000.0</v>
      </c>
      <c r="I921" s="15">
        <v>0.0</v>
      </c>
      <c r="J921" s="37" t="s">
        <v>121</v>
      </c>
      <c r="K921" s="17"/>
      <c r="L921" s="6" t="s">
        <v>2102</v>
      </c>
      <c r="M921" s="6"/>
      <c r="N921" s="6"/>
      <c r="O921" s="6"/>
      <c r="P921" s="6"/>
      <c r="Q921" s="6"/>
      <c r="R921" s="6"/>
    </row>
    <row r="922" ht="22.5" customHeight="1">
      <c r="A922" s="49"/>
      <c r="B922" s="72">
        <v>0.8763888888888889</v>
      </c>
      <c r="C922" s="71">
        <v>46141.0</v>
      </c>
      <c r="D922" s="10" t="s">
        <v>309</v>
      </c>
      <c r="E922" s="11" t="s">
        <v>2103</v>
      </c>
      <c r="F922" s="43"/>
      <c r="G922" s="13" t="s">
        <v>311</v>
      </c>
      <c r="H922" s="14">
        <v>200000.0</v>
      </c>
      <c r="I922" s="15">
        <v>200000.0</v>
      </c>
      <c r="J922" s="37" t="s">
        <v>26</v>
      </c>
      <c r="K922" s="17"/>
      <c r="L922" s="6" t="s">
        <v>2104</v>
      </c>
      <c r="M922" s="6"/>
      <c r="N922" s="6"/>
      <c r="O922" s="6"/>
      <c r="P922" s="6"/>
      <c r="Q922" s="6"/>
      <c r="R922" s="6"/>
    </row>
    <row r="923" ht="22.5" customHeight="1">
      <c r="A923" s="49"/>
      <c r="B923" s="72">
        <v>0.42430555555555555</v>
      </c>
      <c r="C923" s="71">
        <v>46142.0</v>
      </c>
      <c r="D923" s="10" t="s">
        <v>89</v>
      </c>
      <c r="E923" s="11" t="s">
        <v>1247</v>
      </c>
      <c r="F923" s="43"/>
      <c r="G923" s="13" t="s">
        <v>91</v>
      </c>
      <c r="H923" s="14">
        <v>3000.0</v>
      </c>
      <c r="I923" s="15">
        <v>0.0</v>
      </c>
      <c r="J923" s="37" t="s">
        <v>121</v>
      </c>
      <c r="K923" s="17"/>
      <c r="L923" s="6" t="s">
        <v>2105</v>
      </c>
      <c r="M923" s="6"/>
      <c r="N923" s="6"/>
      <c r="O923" s="6"/>
      <c r="P923" s="6"/>
      <c r="Q923" s="6"/>
      <c r="R923" s="6"/>
    </row>
    <row r="924" ht="22.5" customHeight="1">
      <c r="A924" s="49"/>
      <c r="B924" s="72">
        <v>0.4826388888888889</v>
      </c>
      <c r="C924" s="71">
        <v>46142.0</v>
      </c>
      <c r="D924" s="10" t="s">
        <v>2106</v>
      </c>
      <c r="E924" s="11" t="s">
        <v>2107</v>
      </c>
      <c r="F924" s="12" t="s">
        <v>2108</v>
      </c>
      <c r="G924" s="13" t="s">
        <v>2109</v>
      </c>
      <c r="H924" s="14">
        <v>400000.0</v>
      </c>
      <c r="I924" s="15">
        <v>400000.0</v>
      </c>
      <c r="J924" s="37" t="s">
        <v>26</v>
      </c>
      <c r="K924" s="17"/>
      <c r="L924" s="6" t="s">
        <v>2110</v>
      </c>
      <c r="M924" s="6"/>
      <c r="N924" s="6"/>
      <c r="O924" s="6"/>
      <c r="P924" s="6"/>
      <c r="Q924" s="6"/>
      <c r="R924" s="6"/>
    </row>
    <row r="925" ht="22.5" customHeight="1">
      <c r="A925" s="49"/>
      <c r="B925" s="72">
        <v>0.5055555555555555</v>
      </c>
      <c r="C925" s="71">
        <v>46142.0</v>
      </c>
      <c r="D925" s="10" t="s">
        <v>2111</v>
      </c>
      <c r="E925" s="11" t="s">
        <v>2112</v>
      </c>
      <c r="F925" s="12" t="s">
        <v>2113</v>
      </c>
      <c r="G925" s="13" t="s">
        <v>2114</v>
      </c>
      <c r="H925" s="14">
        <v>1200000.0</v>
      </c>
      <c r="I925" s="15">
        <v>1200000.0</v>
      </c>
      <c r="J925" s="37" t="s">
        <v>26</v>
      </c>
      <c r="K925" s="17"/>
      <c r="L925" s="6" t="s">
        <v>2115</v>
      </c>
      <c r="M925" s="6"/>
      <c r="N925" s="6"/>
      <c r="O925" s="6"/>
      <c r="P925" s="6"/>
      <c r="Q925" s="6"/>
      <c r="R925" s="6"/>
    </row>
    <row r="926" ht="22.5" customHeight="1">
      <c r="A926" s="49"/>
      <c r="B926" s="72">
        <v>0.5076388888888889</v>
      </c>
      <c r="C926" s="71">
        <v>46142.0</v>
      </c>
      <c r="D926" s="10" t="s">
        <v>1340</v>
      </c>
      <c r="E926" s="11" t="s">
        <v>2116</v>
      </c>
      <c r="F926" s="43"/>
      <c r="G926" s="13" t="s">
        <v>1342</v>
      </c>
      <c r="H926" s="14">
        <v>2000.0</v>
      </c>
      <c r="I926" s="15">
        <v>2000.0</v>
      </c>
      <c r="J926" s="37" t="s">
        <v>26</v>
      </c>
      <c r="K926" s="17"/>
      <c r="L926" s="6" t="s">
        <v>2117</v>
      </c>
      <c r="M926" s="6"/>
      <c r="N926" s="6"/>
      <c r="O926" s="6"/>
      <c r="P926" s="6"/>
      <c r="Q926" s="6"/>
      <c r="R926" s="6"/>
    </row>
    <row r="927" ht="22.5" customHeight="1">
      <c r="A927" s="49"/>
      <c r="B927" s="72">
        <v>0.5402777777777777</v>
      </c>
      <c r="C927" s="71">
        <v>46142.0</v>
      </c>
      <c r="D927" s="10" t="s">
        <v>2118</v>
      </c>
      <c r="E927" s="11" t="s">
        <v>2119</v>
      </c>
      <c r="F927" s="43"/>
      <c r="G927" s="13" t="s">
        <v>2120</v>
      </c>
      <c r="H927" s="14">
        <v>10000.0</v>
      </c>
      <c r="I927" s="15">
        <v>10000.0</v>
      </c>
      <c r="J927" s="37" t="s">
        <v>26</v>
      </c>
      <c r="K927" s="17"/>
      <c r="L927" s="6" t="s">
        <v>2121</v>
      </c>
      <c r="M927" s="6"/>
      <c r="N927" s="6"/>
      <c r="O927" s="6"/>
      <c r="P927" s="6"/>
      <c r="Q927" s="6"/>
      <c r="R927" s="6"/>
    </row>
    <row r="928" ht="22.5" customHeight="1">
      <c r="A928" s="49"/>
      <c r="B928" s="72">
        <v>0.5493055555555556</v>
      </c>
      <c r="C928" s="71">
        <v>46142.0</v>
      </c>
      <c r="D928" s="10" t="s">
        <v>50</v>
      </c>
      <c r="E928" s="11" t="s">
        <v>2122</v>
      </c>
      <c r="F928" s="43"/>
      <c r="G928" s="13" t="s">
        <v>52</v>
      </c>
      <c r="H928" s="14">
        <v>5000.0</v>
      </c>
      <c r="I928" s="15">
        <v>0.0</v>
      </c>
      <c r="J928" s="37" t="s">
        <v>121</v>
      </c>
      <c r="K928" s="17"/>
      <c r="L928" s="6" t="s">
        <v>2123</v>
      </c>
      <c r="M928" s="6"/>
      <c r="N928" s="6"/>
      <c r="O928" s="6"/>
      <c r="P928" s="6"/>
      <c r="Q928" s="6"/>
      <c r="R928" s="6"/>
    </row>
    <row r="929" ht="22.5" customHeight="1">
      <c r="A929" s="49"/>
      <c r="B929" s="72">
        <v>0.5513888888888889</v>
      </c>
      <c r="C929" s="71">
        <v>46142.0</v>
      </c>
      <c r="D929" s="10" t="s">
        <v>1302</v>
      </c>
      <c r="E929" s="11" t="s">
        <v>2124</v>
      </c>
      <c r="F929" s="43"/>
      <c r="G929" s="13" t="s">
        <v>889</v>
      </c>
      <c r="H929" s="14">
        <v>2500.0</v>
      </c>
      <c r="I929" s="15">
        <v>0.0</v>
      </c>
      <c r="J929" s="37" t="s">
        <v>121</v>
      </c>
      <c r="K929" s="17"/>
      <c r="L929" s="6" t="s">
        <v>2125</v>
      </c>
      <c r="M929" s="6"/>
      <c r="N929" s="6"/>
      <c r="O929" s="6"/>
      <c r="P929" s="6"/>
      <c r="Q929" s="6"/>
      <c r="R929" s="6"/>
    </row>
    <row r="930" ht="22.5" customHeight="1">
      <c r="A930" s="49"/>
      <c r="B930" s="72">
        <v>0.5590277777777778</v>
      </c>
      <c r="C930" s="71">
        <v>46142.0</v>
      </c>
      <c r="D930" s="10" t="s">
        <v>2126</v>
      </c>
      <c r="E930" s="11" t="s">
        <v>1880</v>
      </c>
      <c r="F930" s="43"/>
      <c r="G930" s="13" t="s">
        <v>2127</v>
      </c>
      <c r="H930" s="14">
        <v>5000.0</v>
      </c>
      <c r="I930" s="15">
        <v>500.0</v>
      </c>
      <c r="J930" s="37" t="s">
        <v>26</v>
      </c>
      <c r="K930" s="17"/>
      <c r="L930" s="6" t="s">
        <v>2128</v>
      </c>
      <c r="M930" s="6"/>
      <c r="N930" s="6"/>
      <c r="O930" s="6"/>
      <c r="P930" s="6"/>
      <c r="Q930" s="6"/>
      <c r="R930" s="6"/>
    </row>
    <row r="931" ht="22.5" customHeight="1">
      <c r="A931" s="49"/>
      <c r="B931" s="72">
        <v>0.5833333333333334</v>
      </c>
      <c r="C931" s="71">
        <v>46142.0</v>
      </c>
      <c r="D931" s="10" t="s">
        <v>605</v>
      </c>
      <c r="E931" s="11" t="s">
        <v>2129</v>
      </c>
      <c r="F931" s="12" t="s">
        <v>2130</v>
      </c>
      <c r="G931" s="13" t="s">
        <v>608</v>
      </c>
      <c r="H931" s="14">
        <v>450000.0</v>
      </c>
      <c r="I931" s="15">
        <v>450000.0</v>
      </c>
      <c r="J931" s="37" t="s">
        <v>26</v>
      </c>
      <c r="K931" s="17"/>
      <c r="L931" s="6" t="s">
        <v>2131</v>
      </c>
      <c r="M931" s="6"/>
      <c r="N931" s="6"/>
      <c r="O931" s="6"/>
      <c r="P931" s="6"/>
      <c r="Q931" s="6"/>
      <c r="R931" s="6"/>
    </row>
    <row r="932" ht="22.5" customHeight="1">
      <c r="A932" s="49"/>
      <c r="B932" s="72">
        <v>0.6694444444444444</v>
      </c>
      <c r="C932" s="71">
        <v>46142.0</v>
      </c>
      <c r="D932" s="10" t="s">
        <v>198</v>
      </c>
      <c r="E932" s="11" t="s">
        <v>2132</v>
      </c>
      <c r="F932" s="43"/>
      <c r="G932" s="13" t="s">
        <v>200</v>
      </c>
      <c r="H932" s="14">
        <v>2500.0</v>
      </c>
      <c r="I932" s="15">
        <v>2500.0</v>
      </c>
      <c r="J932" s="37" t="s">
        <v>26</v>
      </c>
      <c r="K932" s="17"/>
      <c r="L932" s="6" t="s">
        <v>2133</v>
      </c>
      <c r="M932" s="6"/>
      <c r="N932" s="6"/>
      <c r="O932" s="6"/>
      <c r="P932" s="6"/>
      <c r="Q932" s="6"/>
      <c r="R932" s="6"/>
    </row>
    <row r="933" ht="22.5" customHeight="1">
      <c r="A933" s="49"/>
      <c r="B933" s="72">
        <v>0.675</v>
      </c>
      <c r="C933" s="71">
        <v>46142.0</v>
      </c>
      <c r="D933" s="10" t="s">
        <v>485</v>
      </c>
      <c r="E933" s="11" t="s">
        <v>2134</v>
      </c>
      <c r="F933" s="43"/>
      <c r="G933" s="13" t="s">
        <v>486</v>
      </c>
      <c r="H933" s="14">
        <v>3000.0</v>
      </c>
      <c r="I933" s="15">
        <v>3000.0</v>
      </c>
      <c r="J933" s="37" t="s">
        <v>26</v>
      </c>
      <c r="K933" s="17"/>
      <c r="L933" s="6" t="s">
        <v>2135</v>
      </c>
      <c r="M933" s="6"/>
      <c r="N933" s="6"/>
      <c r="O933" s="6"/>
      <c r="P933" s="6"/>
      <c r="Q933" s="6"/>
      <c r="R933" s="6"/>
    </row>
    <row r="934" ht="22.5" customHeight="1">
      <c r="A934" s="49"/>
      <c r="B934" s="72">
        <v>0.9131944444444444</v>
      </c>
      <c r="C934" s="71">
        <v>46142.0</v>
      </c>
      <c r="D934" s="10" t="s">
        <v>1913</v>
      </c>
      <c r="E934" s="11" t="s">
        <v>1175</v>
      </c>
      <c r="F934" s="43"/>
      <c r="G934" s="13" t="s">
        <v>1915</v>
      </c>
      <c r="H934" s="14">
        <v>70000.0</v>
      </c>
      <c r="I934" s="15">
        <v>70000.0</v>
      </c>
      <c r="J934" s="37" t="s">
        <v>26</v>
      </c>
      <c r="K934" s="17"/>
      <c r="L934" s="6" t="s">
        <v>2136</v>
      </c>
      <c r="M934" s="6"/>
      <c r="N934" s="6"/>
      <c r="O934" s="6"/>
      <c r="P934" s="6"/>
      <c r="Q934" s="6"/>
      <c r="R934" s="6"/>
    </row>
    <row r="935" ht="22.5" customHeight="1">
      <c r="A935" s="49"/>
      <c r="B935" s="72">
        <v>0.9444444444444444</v>
      </c>
      <c r="C935" s="71">
        <v>46142.0</v>
      </c>
      <c r="D935" s="10" t="s">
        <v>2137</v>
      </c>
      <c r="E935" s="11" t="s">
        <v>2138</v>
      </c>
      <c r="F935" s="43"/>
      <c r="G935" s="13" t="s">
        <v>2139</v>
      </c>
      <c r="H935" s="14">
        <v>70000.0</v>
      </c>
      <c r="I935" s="15">
        <v>70000.0</v>
      </c>
      <c r="J935" s="37" t="s">
        <v>26</v>
      </c>
      <c r="K935" s="17"/>
      <c r="L935" s="6" t="s">
        <v>2140</v>
      </c>
      <c r="M935" s="6"/>
      <c r="N935" s="6"/>
      <c r="O935" s="6"/>
      <c r="P935" s="6"/>
      <c r="Q935" s="6"/>
      <c r="R935" s="6"/>
    </row>
    <row r="936" ht="22.5" customHeight="1">
      <c r="A936" s="49"/>
      <c r="B936" s="72">
        <v>0.4125</v>
      </c>
      <c r="C936" s="71">
        <v>46143.0</v>
      </c>
      <c r="D936" s="10" t="s">
        <v>23</v>
      </c>
      <c r="E936" s="11" t="s">
        <v>2141</v>
      </c>
      <c r="F936" s="43"/>
      <c r="G936" s="13" t="s">
        <v>25</v>
      </c>
      <c r="H936" s="14">
        <v>3000.0</v>
      </c>
      <c r="I936" s="15">
        <v>0.0</v>
      </c>
      <c r="J936" s="37" t="s">
        <v>103</v>
      </c>
      <c r="K936" s="17"/>
      <c r="L936" s="6" t="s">
        <v>2142</v>
      </c>
      <c r="M936" s="6"/>
      <c r="N936" s="6"/>
      <c r="O936" s="6"/>
      <c r="P936" s="6"/>
      <c r="Q936" s="6"/>
      <c r="R936" s="6"/>
    </row>
    <row r="937" ht="22.5" customHeight="1">
      <c r="A937" s="49"/>
      <c r="B937" s="72">
        <v>0.4270833333333333</v>
      </c>
      <c r="C937" s="71">
        <v>46143.0</v>
      </c>
      <c r="D937" s="10" t="s">
        <v>2143</v>
      </c>
      <c r="E937" s="11" t="s">
        <v>1880</v>
      </c>
      <c r="F937" s="43"/>
      <c r="G937" s="13" t="s">
        <v>2144</v>
      </c>
      <c r="H937" s="14">
        <v>5000.0</v>
      </c>
      <c r="I937" s="15">
        <v>5000.0</v>
      </c>
      <c r="J937" s="37" t="s">
        <v>26</v>
      </c>
      <c r="K937" s="17"/>
      <c r="L937" s="6" t="s">
        <v>2145</v>
      </c>
      <c r="M937" s="6"/>
      <c r="N937" s="6"/>
      <c r="O937" s="6"/>
      <c r="P937" s="6"/>
      <c r="Q937" s="6"/>
      <c r="R937" s="6"/>
    </row>
    <row r="938" ht="22.5" customHeight="1">
      <c r="A938" s="49"/>
      <c r="B938" s="72">
        <v>0.44305555555555554</v>
      </c>
      <c r="C938" s="71">
        <v>46143.0</v>
      </c>
      <c r="D938" s="10" t="s">
        <v>50</v>
      </c>
      <c r="E938" s="11" t="s">
        <v>2146</v>
      </c>
      <c r="F938" s="43"/>
      <c r="G938" s="13" t="s">
        <v>52</v>
      </c>
      <c r="H938" s="14">
        <v>125000.0</v>
      </c>
      <c r="I938" s="15">
        <v>125000.0</v>
      </c>
      <c r="J938" s="37" t="s">
        <v>26</v>
      </c>
      <c r="K938" s="17"/>
      <c r="L938" s="6" t="s">
        <v>2147</v>
      </c>
      <c r="M938" s="6"/>
      <c r="N938" s="6"/>
      <c r="O938" s="6"/>
      <c r="P938" s="6"/>
      <c r="Q938" s="6"/>
      <c r="R938" s="6"/>
    </row>
    <row r="939" ht="22.5" customHeight="1">
      <c r="A939" s="49"/>
      <c r="B939" s="72">
        <v>0.44513888888888886</v>
      </c>
      <c r="C939" s="71">
        <v>46143.0</v>
      </c>
      <c r="D939" s="10" t="s">
        <v>605</v>
      </c>
      <c r="E939" s="11" t="s">
        <v>2148</v>
      </c>
      <c r="F939" s="12" t="s">
        <v>2149</v>
      </c>
      <c r="G939" s="13" t="s">
        <v>608</v>
      </c>
      <c r="H939" s="14">
        <v>760000.0</v>
      </c>
      <c r="I939" s="15">
        <v>760000.0</v>
      </c>
      <c r="J939" s="37" t="s">
        <v>26</v>
      </c>
      <c r="K939" s="17"/>
      <c r="L939" s="6" t="s">
        <v>2150</v>
      </c>
      <c r="M939" s="6"/>
      <c r="N939" s="6"/>
      <c r="O939" s="6"/>
      <c r="P939" s="6"/>
      <c r="Q939" s="6"/>
      <c r="R939" s="6"/>
    </row>
    <row r="940" ht="22.5" customHeight="1">
      <c r="A940" s="49"/>
      <c r="B940" s="72">
        <v>0.45902777777777776</v>
      </c>
      <c r="C940" s="71">
        <v>46143.0</v>
      </c>
      <c r="D940" s="10" t="s">
        <v>664</v>
      </c>
      <c r="E940" s="11" t="s">
        <v>2151</v>
      </c>
      <c r="F940" s="43"/>
      <c r="G940" s="13" t="s">
        <v>666</v>
      </c>
      <c r="H940" s="14">
        <v>3000.0</v>
      </c>
      <c r="I940" s="15">
        <v>0.0</v>
      </c>
      <c r="J940" s="37" t="s">
        <v>121</v>
      </c>
      <c r="K940" s="17"/>
      <c r="L940" s="6" t="s">
        <v>2152</v>
      </c>
      <c r="M940" s="6"/>
      <c r="N940" s="6"/>
      <c r="O940" s="6"/>
      <c r="P940" s="6"/>
      <c r="Q940" s="6"/>
      <c r="R940" s="6"/>
    </row>
    <row r="941" ht="22.5" customHeight="1">
      <c r="A941" s="49"/>
      <c r="B941" s="72">
        <v>0.47291666666666665</v>
      </c>
      <c r="C941" s="71">
        <v>46143.0</v>
      </c>
      <c r="D941" s="10" t="s">
        <v>485</v>
      </c>
      <c r="E941" s="11" t="s">
        <v>2079</v>
      </c>
      <c r="F941" s="43"/>
      <c r="G941" s="13" t="s">
        <v>486</v>
      </c>
      <c r="H941" s="14">
        <v>3000.0</v>
      </c>
      <c r="I941" s="15">
        <v>3000.0</v>
      </c>
      <c r="J941" s="37" t="s">
        <v>26</v>
      </c>
      <c r="K941" s="17"/>
      <c r="L941" s="6" t="s">
        <v>2153</v>
      </c>
      <c r="M941" s="6"/>
      <c r="N941" s="6"/>
      <c r="O941" s="6"/>
      <c r="P941" s="6"/>
      <c r="Q941" s="6"/>
      <c r="R941" s="6"/>
    </row>
    <row r="942" ht="22.5" customHeight="1">
      <c r="A942" s="49"/>
      <c r="B942" s="72">
        <v>0.49583333333333335</v>
      </c>
      <c r="C942" s="71">
        <v>46143.0</v>
      </c>
      <c r="D942" s="10" t="s">
        <v>473</v>
      </c>
      <c r="E942" s="11" t="s">
        <v>2154</v>
      </c>
      <c r="F942" s="43"/>
      <c r="G942" s="13" t="s">
        <v>475</v>
      </c>
      <c r="H942" s="14">
        <v>2500.0</v>
      </c>
      <c r="I942" s="15">
        <v>2500.0</v>
      </c>
      <c r="J942" s="37" t="s">
        <v>26</v>
      </c>
      <c r="K942" s="17"/>
      <c r="L942" s="6" t="s">
        <v>2155</v>
      </c>
      <c r="M942" s="6"/>
      <c r="N942" s="6"/>
      <c r="O942" s="6"/>
      <c r="P942" s="6"/>
      <c r="Q942" s="6"/>
      <c r="R942" s="6"/>
    </row>
    <row r="943" ht="22.5" customHeight="1">
      <c r="A943" s="49"/>
      <c r="B943" s="8" t="s">
        <v>140</v>
      </c>
      <c r="C943" s="35" t="s">
        <v>140</v>
      </c>
      <c r="D943" s="10" t="s">
        <v>140</v>
      </c>
      <c r="E943" s="11" t="s">
        <v>285</v>
      </c>
      <c r="F943" s="12" t="s">
        <v>285</v>
      </c>
      <c r="G943" s="13" t="s">
        <v>285</v>
      </c>
      <c r="H943" s="14" t="s">
        <v>285</v>
      </c>
      <c r="I943" s="15" t="s">
        <v>285</v>
      </c>
      <c r="J943" s="37" t="s">
        <v>285</v>
      </c>
      <c r="K943" s="31" t="s">
        <v>285</v>
      </c>
      <c r="L943" s="6" t="s">
        <v>2156</v>
      </c>
      <c r="M943" s="6"/>
      <c r="N943" s="6"/>
      <c r="O943" s="6"/>
      <c r="P943" s="6"/>
      <c r="Q943" s="6"/>
      <c r="R943" s="6"/>
    </row>
    <row r="944" ht="22.5" customHeight="1">
      <c r="A944" s="49"/>
      <c r="B944" s="72">
        <v>0.5027777777777778</v>
      </c>
      <c r="C944" s="71">
        <v>46143.0</v>
      </c>
      <c r="D944" s="10" t="s">
        <v>23</v>
      </c>
      <c r="E944" s="11" t="s">
        <v>2141</v>
      </c>
      <c r="F944" s="43"/>
      <c r="G944" s="13" t="s">
        <v>25</v>
      </c>
      <c r="H944" s="14">
        <v>2500.0</v>
      </c>
      <c r="I944" s="15">
        <v>0.0</v>
      </c>
      <c r="J944" s="37" t="s">
        <v>121</v>
      </c>
      <c r="K944" s="17"/>
      <c r="L944" s="6" t="s">
        <v>2157</v>
      </c>
      <c r="M944" s="6"/>
      <c r="N944" s="6"/>
      <c r="O944" s="6"/>
      <c r="P944" s="6"/>
      <c r="Q944" s="6"/>
      <c r="R944" s="6"/>
    </row>
    <row r="945" ht="22.5" customHeight="1">
      <c r="A945" s="49"/>
      <c r="B945" s="72">
        <v>0.5388888888888889</v>
      </c>
      <c r="C945" s="71">
        <v>46143.0</v>
      </c>
      <c r="D945" s="10" t="s">
        <v>851</v>
      </c>
      <c r="E945" s="11" t="s">
        <v>1605</v>
      </c>
      <c r="F945" s="12" t="s">
        <v>2158</v>
      </c>
      <c r="G945" s="13" t="s">
        <v>853</v>
      </c>
      <c r="H945" s="14">
        <v>560000.0</v>
      </c>
      <c r="I945" s="15">
        <v>560000.0</v>
      </c>
      <c r="J945" s="37" t="s">
        <v>26</v>
      </c>
      <c r="K945" s="17"/>
      <c r="L945" s="6" t="s">
        <v>2159</v>
      </c>
      <c r="M945" s="6"/>
      <c r="N945" s="6"/>
      <c r="O945" s="6"/>
      <c r="P945" s="6"/>
      <c r="Q945" s="6"/>
      <c r="R945" s="6"/>
    </row>
    <row r="946" ht="22.5" customHeight="1">
      <c r="A946" s="49"/>
      <c r="B946" s="72">
        <v>0.6041666666666666</v>
      </c>
      <c r="C946" s="71">
        <v>46143.0</v>
      </c>
      <c r="D946" s="10" t="s">
        <v>1759</v>
      </c>
      <c r="E946" s="11" t="s">
        <v>2045</v>
      </c>
      <c r="F946" s="12" t="s">
        <v>2046</v>
      </c>
      <c r="G946" s="13" t="s">
        <v>1761</v>
      </c>
      <c r="H946" s="14">
        <v>755000.0</v>
      </c>
      <c r="I946" s="15">
        <v>755000.0</v>
      </c>
      <c r="J946" s="37" t="s">
        <v>26</v>
      </c>
      <c r="K946" s="17"/>
      <c r="L946" s="6" t="s">
        <v>2160</v>
      </c>
      <c r="M946" s="6"/>
      <c r="N946" s="6"/>
      <c r="O946" s="6"/>
      <c r="P946" s="6"/>
      <c r="Q946" s="6"/>
      <c r="R946" s="6"/>
    </row>
    <row r="947" ht="22.5" customHeight="1">
      <c r="A947" s="49"/>
      <c r="B947" s="72">
        <v>0.6138888888888889</v>
      </c>
      <c r="C947" s="71">
        <v>46143.0</v>
      </c>
      <c r="D947" s="10" t="s">
        <v>78</v>
      </c>
      <c r="E947" s="11" t="s">
        <v>2161</v>
      </c>
      <c r="F947" s="43"/>
      <c r="G947" s="13" t="s">
        <v>80</v>
      </c>
      <c r="H947" s="14">
        <v>2500.0</v>
      </c>
      <c r="I947" s="15">
        <v>0.0</v>
      </c>
      <c r="J947" s="37" t="s">
        <v>121</v>
      </c>
      <c r="K947" s="17"/>
      <c r="L947" s="6" t="s">
        <v>2162</v>
      </c>
      <c r="M947" s="6"/>
      <c r="N947" s="6"/>
      <c r="O947" s="6"/>
      <c r="P947" s="6"/>
      <c r="Q947" s="6"/>
      <c r="R947" s="6"/>
    </row>
    <row r="948" ht="22.5" customHeight="1">
      <c r="A948" s="49"/>
      <c r="B948" s="72">
        <v>0.6215277777777778</v>
      </c>
      <c r="C948" s="71">
        <v>46143.0</v>
      </c>
      <c r="D948" s="10" t="s">
        <v>254</v>
      </c>
      <c r="E948" s="11" t="s">
        <v>2163</v>
      </c>
      <c r="F948" s="43"/>
      <c r="G948" s="13" t="s">
        <v>256</v>
      </c>
      <c r="H948" s="14">
        <v>5000.0</v>
      </c>
      <c r="I948" s="15">
        <v>0.0</v>
      </c>
      <c r="J948" s="37" t="s">
        <v>121</v>
      </c>
      <c r="K948" s="17"/>
      <c r="L948" s="6" t="s">
        <v>2164</v>
      </c>
      <c r="M948" s="6"/>
      <c r="N948" s="6"/>
      <c r="O948" s="6"/>
      <c r="P948" s="6"/>
      <c r="Q948" s="6"/>
      <c r="R948" s="6"/>
    </row>
    <row r="949" ht="22.5" customHeight="1">
      <c r="A949" s="49"/>
      <c r="B949" s="72">
        <v>0.6236111111111111</v>
      </c>
      <c r="C949" s="71">
        <v>46143.0</v>
      </c>
      <c r="D949" s="10" t="s">
        <v>424</v>
      </c>
      <c r="E949" s="11" t="s">
        <v>2165</v>
      </c>
      <c r="F949" s="43"/>
      <c r="G949" s="13" t="s">
        <v>1519</v>
      </c>
      <c r="H949" s="14">
        <v>2500.0</v>
      </c>
      <c r="I949" s="15">
        <v>0.0</v>
      </c>
      <c r="J949" s="37" t="s">
        <v>121</v>
      </c>
      <c r="K949" s="17"/>
      <c r="L949" s="6" t="s">
        <v>2166</v>
      </c>
      <c r="M949" s="6"/>
      <c r="N949" s="6"/>
      <c r="O949" s="6"/>
      <c r="P949" s="6"/>
      <c r="Q949" s="6"/>
      <c r="R949" s="6"/>
    </row>
    <row r="950" ht="22.5" customHeight="1">
      <c r="A950" s="49"/>
      <c r="B950" s="72">
        <v>0.6444444444444445</v>
      </c>
      <c r="C950" s="71">
        <v>46143.0</v>
      </c>
      <c r="D950" s="10" t="s">
        <v>620</v>
      </c>
      <c r="E950" s="11" t="s">
        <v>1797</v>
      </c>
      <c r="F950" s="12" t="s">
        <v>1798</v>
      </c>
      <c r="G950" s="13" t="s">
        <v>622</v>
      </c>
      <c r="H950" s="14">
        <v>655000.0</v>
      </c>
      <c r="I950" s="15">
        <v>0.0</v>
      </c>
      <c r="J950" s="37" t="s">
        <v>103</v>
      </c>
      <c r="K950" s="17"/>
      <c r="L950" s="6" t="s">
        <v>2167</v>
      </c>
      <c r="M950" s="6"/>
      <c r="N950" s="6"/>
      <c r="O950" s="6"/>
      <c r="P950" s="6"/>
      <c r="Q950" s="6"/>
      <c r="R950" s="6"/>
    </row>
    <row r="951" ht="22.5" customHeight="1">
      <c r="A951" s="49"/>
      <c r="B951" s="72">
        <v>0.65</v>
      </c>
      <c r="C951" s="71">
        <v>46143.0</v>
      </c>
      <c r="D951" s="10" t="s">
        <v>984</v>
      </c>
      <c r="E951" s="11" t="s">
        <v>2168</v>
      </c>
      <c r="F951" s="43"/>
      <c r="G951" s="13" t="s">
        <v>987</v>
      </c>
      <c r="H951" s="14">
        <v>2500.0</v>
      </c>
      <c r="I951" s="15">
        <v>0.0</v>
      </c>
      <c r="J951" s="37" t="s">
        <v>121</v>
      </c>
      <c r="K951" s="17"/>
      <c r="L951" s="6" t="s">
        <v>2169</v>
      </c>
      <c r="M951" s="6"/>
      <c r="N951" s="6"/>
      <c r="O951" s="6"/>
      <c r="P951" s="6"/>
      <c r="Q951" s="6"/>
      <c r="R951" s="6"/>
    </row>
    <row r="952" ht="22.5" customHeight="1">
      <c r="A952" s="49"/>
      <c r="B952" s="72">
        <v>0.6576388888888889</v>
      </c>
      <c r="C952" s="71">
        <v>46143.0</v>
      </c>
      <c r="D952" s="10" t="s">
        <v>46</v>
      </c>
      <c r="E952" s="11" t="s">
        <v>2170</v>
      </c>
      <c r="F952" s="43"/>
      <c r="G952" s="13" t="s">
        <v>1362</v>
      </c>
      <c r="H952" s="14">
        <v>3000.0</v>
      </c>
      <c r="I952" s="15">
        <v>0.0</v>
      </c>
      <c r="J952" s="37" t="s">
        <v>121</v>
      </c>
      <c r="K952" s="17"/>
      <c r="L952" s="6" t="s">
        <v>2171</v>
      </c>
      <c r="M952" s="6"/>
      <c r="N952" s="6"/>
      <c r="O952" s="6"/>
      <c r="P952" s="6"/>
      <c r="Q952" s="6"/>
      <c r="R952" s="6"/>
    </row>
    <row r="953" ht="22.5" customHeight="1">
      <c r="A953" s="49"/>
      <c r="B953" s="72">
        <v>0.6875</v>
      </c>
      <c r="C953" s="71">
        <v>46143.0</v>
      </c>
      <c r="D953" s="10" t="s">
        <v>828</v>
      </c>
      <c r="E953" s="11" t="s">
        <v>2103</v>
      </c>
      <c r="F953" s="43"/>
      <c r="G953" s="13" t="s">
        <v>830</v>
      </c>
      <c r="H953" s="14">
        <v>160000.0</v>
      </c>
      <c r="I953" s="15">
        <v>160000.0</v>
      </c>
      <c r="J953" s="37" t="s">
        <v>26</v>
      </c>
      <c r="K953" s="17"/>
      <c r="L953" s="6" t="s">
        <v>2172</v>
      </c>
      <c r="M953" s="6"/>
      <c r="N953" s="6"/>
      <c r="O953" s="6"/>
      <c r="P953" s="6"/>
      <c r="Q953" s="6"/>
      <c r="R953" s="6"/>
    </row>
    <row r="954" ht="22.5" customHeight="1">
      <c r="A954" s="49"/>
      <c r="B954" s="72">
        <v>0.6902777777777778</v>
      </c>
      <c r="C954" s="71">
        <v>46143.0</v>
      </c>
      <c r="D954" s="10" t="s">
        <v>2173</v>
      </c>
      <c r="E954" s="11" t="s">
        <v>2174</v>
      </c>
      <c r="F954" s="12" t="s">
        <v>2175</v>
      </c>
      <c r="G954" s="13" t="s">
        <v>2176</v>
      </c>
      <c r="H954" s="14">
        <v>540000.0</v>
      </c>
      <c r="I954" s="15">
        <v>0.0</v>
      </c>
      <c r="J954" s="37" t="s">
        <v>103</v>
      </c>
      <c r="K954" s="17"/>
      <c r="L954" s="6" t="s">
        <v>2177</v>
      </c>
      <c r="M954" s="6"/>
      <c r="N954" s="6"/>
      <c r="O954" s="6"/>
      <c r="P954" s="6"/>
      <c r="Q954" s="6"/>
      <c r="R954" s="6"/>
    </row>
    <row r="955" ht="22.5" customHeight="1">
      <c r="A955" s="49"/>
      <c r="B955" s="72">
        <v>0.6923611111111111</v>
      </c>
      <c r="C955" s="71">
        <v>46143.0</v>
      </c>
      <c r="D955" s="10" t="s">
        <v>1302</v>
      </c>
      <c r="E955" s="11" t="s">
        <v>2178</v>
      </c>
      <c r="F955" s="43"/>
      <c r="G955" s="13" t="s">
        <v>889</v>
      </c>
      <c r="H955" s="14">
        <v>2500.0</v>
      </c>
      <c r="I955" s="15">
        <v>0.0</v>
      </c>
      <c r="J955" s="37" t="s">
        <v>121</v>
      </c>
      <c r="K955" s="17"/>
      <c r="L955" s="6" t="s">
        <v>2179</v>
      </c>
      <c r="M955" s="6"/>
      <c r="N955" s="6"/>
      <c r="O955" s="6"/>
      <c r="P955" s="6"/>
      <c r="Q955" s="6"/>
      <c r="R955" s="6"/>
    </row>
    <row r="956" ht="22.5" customHeight="1">
      <c r="A956" s="49"/>
      <c r="B956" s="72">
        <v>0.71875</v>
      </c>
      <c r="C956" s="71">
        <v>46143.0</v>
      </c>
      <c r="D956" s="10" t="s">
        <v>2180</v>
      </c>
      <c r="E956" s="11" t="s">
        <v>2181</v>
      </c>
      <c r="F956" s="43"/>
      <c r="G956" s="13" t="s">
        <v>2182</v>
      </c>
      <c r="H956" s="14">
        <v>70000.0</v>
      </c>
      <c r="I956" s="15">
        <v>70000.0</v>
      </c>
      <c r="J956" s="37" t="s">
        <v>26</v>
      </c>
      <c r="K956" s="17"/>
      <c r="L956" s="6" t="s">
        <v>2183</v>
      </c>
      <c r="M956" s="6"/>
      <c r="N956" s="6"/>
      <c r="O956" s="6"/>
      <c r="P956" s="6"/>
      <c r="Q956" s="6"/>
      <c r="R956" s="6"/>
    </row>
    <row r="957" ht="22.5" customHeight="1">
      <c r="A957" s="49"/>
      <c r="B957" s="72">
        <v>0.73125</v>
      </c>
      <c r="C957" s="71">
        <v>46143.0</v>
      </c>
      <c r="D957" s="10" t="s">
        <v>2184</v>
      </c>
      <c r="E957" s="11" t="s">
        <v>2185</v>
      </c>
      <c r="F957" s="43"/>
      <c r="G957" s="13" t="s">
        <v>2186</v>
      </c>
      <c r="H957" s="14">
        <v>25000.0</v>
      </c>
      <c r="I957" s="15">
        <v>25000.0</v>
      </c>
      <c r="J957" s="37" t="s">
        <v>26</v>
      </c>
      <c r="K957" s="17"/>
      <c r="L957" s="6" t="s">
        <v>2187</v>
      </c>
      <c r="M957" s="6"/>
      <c r="N957" s="6"/>
      <c r="O957" s="6"/>
      <c r="P957" s="6"/>
      <c r="Q957" s="6"/>
      <c r="R957" s="6"/>
    </row>
    <row r="958" ht="22.5" customHeight="1">
      <c r="A958" s="49"/>
      <c r="B958" s="72">
        <v>0.3770833333333333</v>
      </c>
      <c r="C958" s="71">
        <v>46144.0</v>
      </c>
      <c r="D958" s="10" t="s">
        <v>442</v>
      </c>
      <c r="E958" s="11" t="s">
        <v>2188</v>
      </c>
      <c r="F958" s="43"/>
      <c r="G958" s="13" t="s">
        <v>210</v>
      </c>
      <c r="H958" s="14">
        <v>3000.0</v>
      </c>
      <c r="I958" s="15">
        <v>0.0</v>
      </c>
      <c r="J958" s="37" t="s">
        <v>121</v>
      </c>
      <c r="K958" s="17"/>
      <c r="L958" s="6" t="s">
        <v>2189</v>
      </c>
      <c r="M958" s="6"/>
      <c r="N958" s="6"/>
      <c r="O958" s="6"/>
      <c r="P958" s="6"/>
      <c r="Q958" s="6"/>
      <c r="R958" s="6"/>
    </row>
    <row r="959" ht="22.5" customHeight="1">
      <c r="A959" s="49"/>
      <c r="B959" s="72">
        <v>0.38680555555555557</v>
      </c>
      <c r="C959" s="71">
        <v>46144.0</v>
      </c>
      <c r="D959" s="10" t="s">
        <v>1569</v>
      </c>
      <c r="E959" s="11" t="s">
        <v>2174</v>
      </c>
      <c r="F959" s="12" t="s">
        <v>2175</v>
      </c>
      <c r="G959" s="13" t="s">
        <v>1571</v>
      </c>
      <c r="H959" s="14">
        <v>530000.0</v>
      </c>
      <c r="I959" s="15">
        <v>530000.0</v>
      </c>
      <c r="J959" s="37" t="s">
        <v>26</v>
      </c>
      <c r="K959" s="17"/>
      <c r="L959" s="6" t="s">
        <v>2190</v>
      </c>
      <c r="M959" s="6"/>
      <c r="N959" s="6"/>
      <c r="O959" s="6"/>
      <c r="P959" s="6"/>
      <c r="Q959" s="6"/>
      <c r="R959" s="6"/>
    </row>
    <row r="960" ht="22.5" customHeight="1">
      <c r="A960" s="49"/>
      <c r="B960" s="72">
        <v>0.41805555555555557</v>
      </c>
      <c r="C960" s="71">
        <v>46144.0</v>
      </c>
      <c r="D960" s="10" t="s">
        <v>93</v>
      </c>
      <c r="E960" s="11" t="s">
        <v>1797</v>
      </c>
      <c r="F960" s="12" t="s">
        <v>1798</v>
      </c>
      <c r="G960" s="13" t="s">
        <v>95</v>
      </c>
      <c r="H960" s="14">
        <v>655000.0</v>
      </c>
      <c r="I960" s="15">
        <v>0.0</v>
      </c>
      <c r="J960" s="37" t="s">
        <v>103</v>
      </c>
      <c r="K960" s="17"/>
      <c r="L960" s="6" t="s">
        <v>2191</v>
      </c>
      <c r="M960" s="6"/>
      <c r="N960" s="6"/>
      <c r="O960" s="6"/>
      <c r="P960" s="6"/>
      <c r="Q960" s="6"/>
      <c r="R960" s="6"/>
    </row>
    <row r="961" ht="22.5" customHeight="1">
      <c r="A961" s="49"/>
      <c r="B961" s="72">
        <v>0.45416666666666666</v>
      </c>
      <c r="C961" s="71">
        <v>46144.0</v>
      </c>
      <c r="D961" s="10" t="s">
        <v>2192</v>
      </c>
      <c r="E961" s="11" t="s">
        <v>1797</v>
      </c>
      <c r="F961" s="12" t="s">
        <v>2193</v>
      </c>
      <c r="G961" s="13" t="s">
        <v>2194</v>
      </c>
      <c r="H961" s="14">
        <v>580000.0</v>
      </c>
      <c r="I961" s="15">
        <v>580000.0</v>
      </c>
      <c r="J961" s="37" t="s">
        <v>26</v>
      </c>
      <c r="K961" s="17"/>
      <c r="L961" s="6" t="s">
        <v>2195</v>
      </c>
      <c r="M961" s="6"/>
      <c r="N961" s="6"/>
      <c r="O961" s="6"/>
      <c r="P961" s="6"/>
      <c r="Q961" s="6"/>
      <c r="R961" s="6"/>
    </row>
    <row r="962" ht="22.5" customHeight="1">
      <c r="A962" s="49"/>
      <c r="B962" s="72">
        <v>0.6229166666666667</v>
      </c>
      <c r="C962" s="71">
        <v>46144.0</v>
      </c>
      <c r="D962" s="10" t="s">
        <v>2196</v>
      </c>
      <c r="E962" s="11" t="s">
        <v>2197</v>
      </c>
      <c r="F962" s="43"/>
      <c r="G962" s="13" t="s">
        <v>2198</v>
      </c>
      <c r="H962" s="14">
        <v>13000.0</v>
      </c>
      <c r="I962" s="15">
        <v>13000.0</v>
      </c>
      <c r="J962" s="37" t="s">
        <v>26</v>
      </c>
      <c r="K962" s="17"/>
      <c r="L962" s="6" t="s">
        <v>2199</v>
      </c>
      <c r="M962" s="6"/>
      <c r="N962" s="6"/>
      <c r="O962" s="6"/>
      <c r="P962" s="6"/>
      <c r="Q962" s="6"/>
      <c r="R962" s="6"/>
    </row>
    <row r="963" ht="22.5" customHeight="1">
      <c r="A963" s="49"/>
      <c r="B963" s="72">
        <v>0.6270833333333333</v>
      </c>
      <c r="C963" s="71">
        <v>46144.0</v>
      </c>
      <c r="D963" s="10" t="s">
        <v>2200</v>
      </c>
      <c r="E963" s="11" t="s">
        <v>2201</v>
      </c>
      <c r="F963" s="43"/>
      <c r="G963" s="13" t="s">
        <v>2202</v>
      </c>
      <c r="H963" s="14">
        <v>2500.0</v>
      </c>
      <c r="I963" s="15">
        <v>2500.0</v>
      </c>
      <c r="J963" s="37" t="s">
        <v>26</v>
      </c>
      <c r="K963" s="17"/>
      <c r="L963" s="6" t="s">
        <v>2203</v>
      </c>
      <c r="M963" s="6"/>
      <c r="N963" s="6"/>
      <c r="O963" s="6"/>
      <c r="P963" s="6"/>
      <c r="Q963" s="6"/>
      <c r="R963" s="6"/>
    </row>
    <row r="964" ht="22.5" customHeight="1">
      <c r="A964" s="49"/>
      <c r="B964" s="72">
        <v>0.6673611111111111</v>
      </c>
      <c r="C964" s="71">
        <v>46144.0</v>
      </c>
      <c r="D964" s="10" t="s">
        <v>93</v>
      </c>
      <c r="E964" s="11" t="s">
        <v>2204</v>
      </c>
      <c r="F964" s="43"/>
      <c r="G964" s="13" t="s">
        <v>95</v>
      </c>
      <c r="H964" s="14">
        <v>2500.0</v>
      </c>
      <c r="I964" s="15">
        <v>2500.0</v>
      </c>
      <c r="J964" s="37" t="s">
        <v>26</v>
      </c>
      <c r="K964" s="17"/>
      <c r="L964" s="6" t="s">
        <v>2205</v>
      </c>
      <c r="M964" s="6"/>
      <c r="N964" s="6"/>
      <c r="O964" s="6"/>
      <c r="P964" s="6"/>
      <c r="Q964" s="6"/>
      <c r="R964" s="6"/>
    </row>
    <row r="965" ht="22.5" customHeight="1">
      <c r="A965" s="49"/>
      <c r="B965" s="72">
        <v>0.6784722222222223</v>
      </c>
      <c r="C965" s="71">
        <v>46144.0</v>
      </c>
      <c r="D965" s="10" t="s">
        <v>198</v>
      </c>
      <c r="E965" s="11" t="s">
        <v>2206</v>
      </c>
      <c r="F965" s="43"/>
      <c r="G965" s="13" t="s">
        <v>200</v>
      </c>
      <c r="H965" s="14">
        <v>5000.0</v>
      </c>
      <c r="I965" s="15">
        <v>5000.0</v>
      </c>
      <c r="J965" s="37" t="s">
        <v>26</v>
      </c>
      <c r="K965" s="17"/>
      <c r="L965" s="6" t="s">
        <v>2207</v>
      </c>
      <c r="M965" s="6"/>
      <c r="N965" s="6"/>
      <c r="O965" s="6"/>
      <c r="P965" s="6"/>
      <c r="Q965" s="6"/>
      <c r="R965" s="6"/>
    </row>
    <row r="966" ht="22.5" customHeight="1">
      <c r="A966" s="49"/>
      <c r="B966" s="72">
        <v>0.6986111111111111</v>
      </c>
      <c r="C966" s="71">
        <v>46144.0</v>
      </c>
      <c r="D966" s="10" t="s">
        <v>442</v>
      </c>
      <c r="E966" s="11" t="s">
        <v>2208</v>
      </c>
      <c r="F966" s="43"/>
      <c r="G966" s="13" t="s">
        <v>210</v>
      </c>
      <c r="H966" s="14">
        <v>2500.0</v>
      </c>
      <c r="I966" s="15">
        <v>0.0</v>
      </c>
      <c r="J966" s="37" t="s">
        <v>121</v>
      </c>
      <c r="K966" s="17"/>
      <c r="L966" s="6" t="s">
        <v>2209</v>
      </c>
      <c r="M966" s="6"/>
      <c r="N966" s="6"/>
      <c r="O966" s="6"/>
      <c r="P966" s="6"/>
      <c r="Q966" s="6"/>
      <c r="R966" s="6"/>
    </row>
    <row r="967" ht="22.5" customHeight="1">
      <c r="A967" s="49"/>
      <c r="B967" s="72">
        <v>0.7</v>
      </c>
      <c r="C967" s="71">
        <v>46144.0</v>
      </c>
      <c r="D967" s="10" t="s">
        <v>2210</v>
      </c>
      <c r="E967" s="11" t="s">
        <v>2211</v>
      </c>
      <c r="F967" s="43"/>
      <c r="G967" s="13" t="s">
        <v>2212</v>
      </c>
      <c r="H967" s="14">
        <v>3000.0</v>
      </c>
      <c r="I967" s="15">
        <v>3000.0</v>
      </c>
      <c r="J967" s="37" t="s">
        <v>26</v>
      </c>
      <c r="K967" s="17"/>
      <c r="L967" s="6" t="s">
        <v>2213</v>
      </c>
      <c r="M967" s="6"/>
      <c r="N967" s="6"/>
      <c r="O967" s="6"/>
      <c r="P967" s="6"/>
      <c r="Q967" s="6"/>
      <c r="R967" s="6"/>
    </row>
    <row r="968" ht="22.5" customHeight="1">
      <c r="A968" s="49"/>
      <c r="B968" s="72">
        <v>0.7270833333333333</v>
      </c>
      <c r="C968" s="71">
        <v>46144.0</v>
      </c>
      <c r="D968" s="10" t="s">
        <v>442</v>
      </c>
      <c r="E968" s="11" t="s">
        <v>2214</v>
      </c>
      <c r="F968" s="43"/>
      <c r="G968" s="13" t="s">
        <v>210</v>
      </c>
      <c r="H968" s="14">
        <v>2500.0</v>
      </c>
      <c r="I968" s="15">
        <v>2500.0</v>
      </c>
      <c r="J968" s="37" t="s">
        <v>26</v>
      </c>
      <c r="K968" s="17"/>
      <c r="L968" s="6" t="s">
        <v>2215</v>
      </c>
      <c r="M968" s="6"/>
      <c r="N968" s="6"/>
      <c r="O968" s="6"/>
      <c r="P968" s="6"/>
      <c r="Q968" s="6"/>
      <c r="R968" s="6"/>
    </row>
    <row r="969" ht="22.5" customHeight="1">
      <c r="A969" s="49"/>
      <c r="B969" s="72">
        <v>0.7388888888888889</v>
      </c>
      <c r="C969" s="71">
        <v>46144.0</v>
      </c>
      <c r="D969" s="10" t="s">
        <v>400</v>
      </c>
      <c r="E969" s="11" t="s">
        <v>2216</v>
      </c>
      <c r="F969" s="43"/>
      <c r="G969" s="13" t="s">
        <v>402</v>
      </c>
      <c r="H969" s="14">
        <v>4000.0</v>
      </c>
      <c r="I969" s="15">
        <v>4000.0</v>
      </c>
      <c r="J969" s="37" t="s">
        <v>26</v>
      </c>
      <c r="K969" s="17"/>
      <c r="L969" s="6" t="s">
        <v>2217</v>
      </c>
      <c r="M969" s="6"/>
      <c r="N969" s="6"/>
      <c r="O969" s="6"/>
      <c r="P969" s="6"/>
      <c r="Q969" s="6"/>
      <c r="R969" s="6"/>
    </row>
    <row r="970" ht="22.5" customHeight="1">
      <c r="A970" s="49"/>
      <c r="B970" s="72">
        <v>0.7416666666666667</v>
      </c>
      <c r="C970" s="71">
        <v>46144.0</v>
      </c>
      <c r="D970" s="10" t="s">
        <v>2118</v>
      </c>
      <c r="E970" s="11" t="s">
        <v>2218</v>
      </c>
      <c r="F970" s="12" t="s">
        <v>2219</v>
      </c>
      <c r="G970" s="13" t="s">
        <v>2120</v>
      </c>
      <c r="H970" s="14">
        <v>950000.0</v>
      </c>
      <c r="I970" s="15">
        <v>950000.0</v>
      </c>
      <c r="J970" s="37" t="s">
        <v>26</v>
      </c>
      <c r="K970" s="17"/>
      <c r="L970" s="6" t="s">
        <v>2220</v>
      </c>
      <c r="M970" s="6"/>
      <c r="N970" s="6"/>
      <c r="O970" s="6"/>
      <c r="P970" s="6"/>
      <c r="Q970" s="6"/>
      <c r="R970" s="6"/>
    </row>
    <row r="971" ht="22.5" customHeight="1">
      <c r="A971" s="49"/>
      <c r="B971" s="72">
        <v>0.36041666666666666</v>
      </c>
      <c r="C971" s="71">
        <v>46146.0</v>
      </c>
      <c r="D971" s="10" t="s">
        <v>2221</v>
      </c>
      <c r="E971" s="11" t="s">
        <v>2222</v>
      </c>
      <c r="F971" s="43"/>
      <c r="G971" s="13" t="s">
        <v>2223</v>
      </c>
      <c r="H971" s="14">
        <v>2500.0</v>
      </c>
      <c r="I971" s="15">
        <v>2500.0</v>
      </c>
      <c r="J971" s="37" t="s">
        <v>26</v>
      </c>
      <c r="K971" s="17"/>
      <c r="L971" s="6" t="s">
        <v>2224</v>
      </c>
      <c r="M971" s="6"/>
      <c r="N971" s="6"/>
      <c r="O971" s="6"/>
      <c r="P971" s="6"/>
      <c r="Q971" s="6"/>
      <c r="R971" s="6"/>
    </row>
    <row r="972" ht="22.5" customHeight="1">
      <c r="A972" s="49"/>
      <c r="B972" s="72">
        <v>0.3715277777777778</v>
      </c>
      <c r="C972" s="71">
        <v>46146.0</v>
      </c>
      <c r="D972" s="10" t="s">
        <v>93</v>
      </c>
      <c r="E972" s="11" t="s">
        <v>2079</v>
      </c>
      <c r="F972" s="43"/>
      <c r="G972" s="13" t="s">
        <v>95</v>
      </c>
      <c r="H972" s="14">
        <v>2500.0</v>
      </c>
      <c r="I972" s="15">
        <v>2500.0</v>
      </c>
      <c r="J972" s="37" t="s">
        <v>26</v>
      </c>
      <c r="K972" s="17"/>
      <c r="L972" s="6" t="s">
        <v>2225</v>
      </c>
      <c r="M972" s="6"/>
      <c r="N972" s="6"/>
      <c r="O972" s="6"/>
      <c r="P972" s="6"/>
      <c r="Q972" s="6"/>
      <c r="R972" s="6"/>
    </row>
    <row r="973" ht="22.5" customHeight="1">
      <c r="A973" s="49"/>
      <c r="B973" s="72">
        <v>0.5125</v>
      </c>
      <c r="C973" s="71">
        <v>46146.0</v>
      </c>
      <c r="D973" s="10" t="s">
        <v>60</v>
      </c>
      <c r="E973" s="11" t="s">
        <v>2226</v>
      </c>
      <c r="F973" s="43"/>
      <c r="G973" s="13" t="s">
        <v>62</v>
      </c>
      <c r="H973" s="14">
        <v>2500.0</v>
      </c>
      <c r="I973" s="15">
        <v>0.0</v>
      </c>
      <c r="J973" s="37" t="s">
        <v>121</v>
      </c>
      <c r="K973" s="17"/>
      <c r="L973" s="6" t="s">
        <v>2227</v>
      </c>
      <c r="M973" s="6"/>
      <c r="N973" s="6"/>
      <c r="O973" s="6"/>
      <c r="P973" s="6"/>
      <c r="Q973" s="6"/>
      <c r="R973" s="6"/>
    </row>
    <row r="974" ht="22.5" customHeight="1">
      <c r="A974" s="49"/>
      <c r="B974" s="72">
        <v>0.5152777777777777</v>
      </c>
      <c r="C974" s="71">
        <v>46146.0</v>
      </c>
      <c r="D974" s="10" t="s">
        <v>442</v>
      </c>
      <c r="E974" s="11" t="s">
        <v>2228</v>
      </c>
      <c r="F974" s="43"/>
      <c r="G974" s="13" t="s">
        <v>210</v>
      </c>
      <c r="H974" s="14">
        <v>3000.0</v>
      </c>
      <c r="I974" s="15">
        <v>0.0</v>
      </c>
      <c r="J974" s="37" t="s">
        <v>121</v>
      </c>
      <c r="K974" s="17"/>
      <c r="L974" s="6" t="s">
        <v>2229</v>
      </c>
      <c r="M974" s="6"/>
      <c r="N974" s="6"/>
      <c r="O974" s="6"/>
      <c r="P974" s="6"/>
      <c r="Q974" s="6"/>
      <c r="R974" s="6"/>
    </row>
    <row r="975" ht="22.5" customHeight="1">
      <c r="A975" s="49"/>
      <c r="B975" s="72">
        <v>0.5215277777777778</v>
      </c>
      <c r="C975" s="71">
        <v>46146.0</v>
      </c>
      <c r="D975" s="10" t="s">
        <v>2230</v>
      </c>
      <c r="E975" s="11" t="s">
        <v>2231</v>
      </c>
      <c r="F975" s="43"/>
      <c r="G975" s="13" t="s">
        <v>2232</v>
      </c>
      <c r="H975" s="14">
        <v>5000.0</v>
      </c>
      <c r="I975" s="15">
        <v>5000.0</v>
      </c>
      <c r="J975" s="37" t="s">
        <v>26</v>
      </c>
      <c r="K975" s="17"/>
      <c r="L975" s="6" t="s">
        <v>2233</v>
      </c>
      <c r="M975" s="6"/>
      <c r="N975" s="6"/>
      <c r="O975" s="6"/>
      <c r="P975" s="6"/>
      <c r="Q975" s="6"/>
      <c r="R975" s="6"/>
    </row>
    <row r="976" ht="22.5" customHeight="1">
      <c r="A976" s="49"/>
      <c r="B976" s="72">
        <v>0.5270833333333333</v>
      </c>
      <c r="C976" s="71">
        <v>46146.0</v>
      </c>
      <c r="D976" s="10" t="s">
        <v>2234</v>
      </c>
      <c r="E976" s="11" t="s">
        <v>2235</v>
      </c>
      <c r="F976" s="43"/>
      <c r="G976" s="13" t="s">
        <v>2236</v>
      </c>
      <c r="H976" s="14">
        <v>5000.0</v>
      </c>
      <c r="I976" s="15">
        <v>5000.0</v>
      </c>
      <c r="J976" s="37" t="s">
        <v>26</v>
      </c>
      <c r="K976" s="17"/>
      <c r="L976" s="6" t="s">
        <v>2237</v>
      </c>
      <c r="M976" s="6"/>
      <c r="N976" s="6"/>
      <c r="O976" s="6"/>
      <c r="P976" s="6"/>
      <c r="Q976" s="6"/>
      <c r="R976" s="6"/>
    </row>
    <row r="977" ht="22.5" customHeight="1">
      <c r="A977" s="49"/>
      <c r="B977" s="72">
        <v>0.5277777777777778</v>
      </c>
      <c r="C977" s="71">
        <v>46146.0</v>
      </c>
      <c r="D977" s="10" t="s">
        <v>78</v>
      </c>
      <c r="E977" s="11" t="s">
        <v>2238</v>
      </c>
      <c r="F977" s="43"/>
      <c r="G977" s="13" t="s">
        <v>80</v>
      </c>
      <c r="H977" s="14">
        <v>2500.0</v>
      </c>
      <c r="I977" s="15">
        <v>0.0</v>
      </c>
      <c r="J977" s="37" t="s">
        <v>121</v>
      </c>
      <c r="K977" s="17"/>
      <c r="L977" s="6" t="s">
        <v>2239</v>
      </c>
      <c r="M977" s="6"/>
      <c r="N977" s="6"/>
      <c r="O977" s="6"/>
      <c r="P977" s="6"/>
      <c r="Q977" s="6"/>
      <c r="R977" s="6"/>
    </row>
    <row r="978" ht="22.5" customHeight="1">
      <c r="A978" s="49"/>
      <c r="B978" s="72">
        <v>0.5576388888888889</v>
      </c>
      <c r="C978" s="71">
        <v>46146.0</v>
      </c>
      <c r="D978" s="10" t="s">
        <v>2240</v>
      </c>
      <c r="E978" s="11" t="s">
        <v>2241</v>
      </c>
      <c r="F978" s="43"/>
      <c r="G978" s="13" t="s">
        <v>2242</v>
      </c>
      <c r="H978" s="14">
        <v>25000.0</v>
      </c>
      <c r="I978" s="15">
        <v>25000.0</v>
      </c>
      <c r="J978" s="37" t="s">
        <v>26</v>
      </c>
      <c r="K978" s="17"/>
      <c r="L978" s="6" t="s">
        <v>2243</v>
      </c>
      <c r="M978" s="6"/>
      <c r="N978" s="6"/>
      <c r="O978" s="6"/>
      <c r="P978" s="6"/>
      <c r="Q978" s="6"/>
      <c r="R978" s="6"/>
    </row>
    <row r="979" ht="22.5" customHeight="1">
      <c r="A979" s="49"/>
      <c r="B979" s="72">
        <v>0.6138888888888889</v>
      </c>
      <c r="C979" s="71">
        <v>46146.0</v>
      </c>
      <c r="D979" s="10" t="s">
        <v>23</v>
      </c>
      <c r="E979" s="11" t="s">
        <v>2244</v>
      </c>
      <c r="F979" s="43"/>
      <c r="G979" s="13" t="s">
        <v>25</v>
      </c>
      <c r="H979" s="14">
        <v>2500.0</v>
      </c>
      <c r="I979" s="15">
        <v>0.0</v>
      </c>
      <c r="J979" s="37" t="s">
        <v>121</v>
      </c>
      <c r="K979" s="17"/>
      <c r="L979" s="6" t="s">
        <v>2245</v>
      </c>
      <c r="M979" s="6"/>
      <c r="N979" s="6"/>
      <c r="O979" s="6"/>
      <c r="P979" s="6"/>
      <c r="Q979" s="6"/>
      <c r="R979" s="6"/>
    </row>
    <row r="980" ht="22.5" customHeight="1">
      <c r="A980" s="49"/>
      <c r="B980" s="72">
        <v>0.6201388888888889</v>
      </c>
      <c r="C980" s="71">
        <v>46146.0</v>
      </c>
      <c r="D980" s="10" t="s">
        <v>1994</v>
      </c>
      <c r="E980" s="11" t="s">
        <v>2246</v>
      </c>
      <c r="F980" s="43"/>
      <c r="G980" s="13" t="s">
        <v>1995</v>
      </c>
      <c r="H980" s="14">
        <v>2500.0</v>
      </c>
      <c r="I980" s="15">
        <v>0.0</v>
      </c>
      <c r="J980" s="37" t="s">
        <v>121</v>
      </c>
      <c r="K980" s="17"/>
      <c r="L980" s="6" t="s">
        <v>2247</v>
      </c>
    </row>
    <row r="981" ht="22.5" customHeight="1">
      <c r="A981" s="49"/>
      <c r="B981" s="72">
        <v>0.6208333333333333</v>
      </c>
      <c r="C981" s="71">
        <v>46146.0</v>
      </c>
      <c r="D981" s="10" t="s">
        <v>2248</v>
      </c>
      <c r="E981" s="11" t="s">
        <v>2249</v>
      </c>
      <c r="F981" s="43"/>
      <c r="G981" s="13" t="s">
        <v>2250</v>
      </c>
      <c r="H981" s="14">
        <v>3000.0</v>
      </c>
      <c r="I981" s="15">
        <v>3000.0</v>
      </c>
      <c r="J981" s="37" t="s">
        <v>26</v>
      </c>
      <c r="K981" s="17"/>
      <c r="L981" s="6" t="s">
        <v>2251</v>
      </c>
    </row>
    <row r="982" ht="22.5" customHeight="1">
      <c r="A982" s="49"/>
      <c r="B982" s="72">
        <v>0.6375</v>
      </c>
      <c r="C982" s="71">
        <v>46146.0</v>
      </c>
      <c r="D982" s="10" t="s">
        <v>50</v>
      </c>
      <c r="E982" s="11" t="s">
        <v>2252</v>
      </c>
      <c r="F982" s="43"/>
      <c r="G982" s="13" t="s">
        <v>52</v>
      </c>
      <c r="H982" s="14">
        <v>2500.0</v>
      </c>
      <c r="I982" s="15">
        <v>2500.0</v>
      </c>
      <c r="J982" s="37" t="s">
        <v>26</v>
      </c>
      <c r="K982" s="17"/>
      <c r="L982" s="6" t="s">
        <v>2253</v>
      </c>
    </row>
    <row r="983" ht="22.5" customHeight="1">
      <c r="A983" s="49"/>
      <c r="B983" s="8" t="s">
        <v>285</v>
      </c>
      <c r="C983" s="35" t="s">
        <v>285</v>
      </c>
      <c r="D983" s="10" t="s">
        <v>140</v>
      </c>
      <c r="E983" s="11" t="s">
        <v>285</v>
      </c>
      <c r="F983" s="12" t="s">
        <v>285</v>
      </c>
      <c r="G983" s="13" t="s">
        <v>285</v>
      </c>
      <c r="H983" s="14" t="s">
        <v>285</v>
      </c>
      <c r="I983" s="15" t="s">
        <v>285</v>
      </c>
      <c r="J983" s="37" t="s">
        <v>285</v>
      </c>
      <c r="K983" s="17"/>
      <c r="L983" s="6" t="s">
        <v>2254</v>
      </c>
    </row>
    <row r="984" ht="22.5" customHeight="1">
      <c r="A984" s="49"/>
      <c r="B984" s="8" t="s">
        <v>285</v>
      </c>
      <c r="C984" s="35" t="s">
        <v>285</v>
      </c>
      <c r="D984" s="10" t="s">
        <v>140</v>
      </c>
      <c r="E984" s="11" t="s">
        <v>285</v>
      </c>
      <c r="F984" s="12" t="s">
        <v>285</v>
      </c>
      <c r="G984" s="13" t="s">
        <v>285</v>
      </c>
      <c r="H984" s="14" t="s">
        <v>285</v>
      </c>
      <c r="I984" s="15" t="s">
        <v>285</v>
      </c>
      <c r="J984" s="37" t="s">
        <v>285</v>
      </c>
      <c r="K984" s="17"/>
      <c r="L984" s="6" t="s">
        <v>2255</v>
      </c>
    </row>
    <row r="985" ht="22.5" customHeight="1">
      <c r="A985" s="49"/>
      <c r="B985" s="8" t="s">
        <v>285</v>
      </c>
      <c r="C985" s="35" t="s">
        <v>285</v>
      </c>
      <c r="D985" s="10" t="s">
        <v>140</v>
      </c>
      <c r="E985" s="11" t="s">
        <v>285</v>
      </c>
      <c r="F985" s="12" t="s">
        <v>285</v>
      </c>
      <c r="G985" s="13" t="s">
        <v>285</v>
      </c>
      <c r="H985" s="14" t="s">
        <v>140</v>
      </c>
      <c r="I985" s="15" t="s">
        <v>285</v>
      </c>
      <c r="J985" s="37" t="s">
        <v>508</v>
      </c>
      <c r="K985" s="17"/>
      <c r="L985" s="6" t="s">
        <v>2256</v>
      </c>
    </row>
    <row r="986" ht="22.5" customHeight="1">
      <c r="A986" s="49"/>
      <c r="B986" s="8" t="s">
        <v>285</v>
      </c>
      <c r="C986" s="35" t="s">
        <v>285</v>
      </c>
      <c r="D986" s="10" t="s">
        <v>140</v>
      </c>
      <c r="E986" s="11" t="s">
        <v>285</v>
      </c>
      <c r="F986" s="12" t="s">
        <v>285</v>
      </c>
      <c r="G986" s="13" t="s">
        <v>285</v>
      </c>
      <c r="H986" s="14" t="s">
        <v>285</v>
      </c>
      <c r="I986" s="15" t="s">
        <v>285</v>
      </c>
      <c r="J986" s="74"/>
      <c r="K986" s="17"/>
      <c r="L986" s="6" t="s">
        <v>2257</v>
      </c>
    </row>
    <row r="987" ht="22.5" customHeight="1">
      <c r="A987" s="49"/>
      <c r="B987" s="8" t="s">
        <v>285</v>
      </c>
      <c r="C987" s="35" t="s">
        <v>285</v>
      </c>
      <c r="D987" s="10" t="s">
        <v>285</v>
      </c>
      <c r="E987" s="11" t="s">
        <v>285</v>
      </c>
      <c r="F987" s="12" t="s">
        <v>285</v>
      </c>
      <c r="G987" s="13" t="s">
        <v>285</v>
      </c>
      <c r="H987" s="14" t="s">
        <v>285</v>
      </c>
      <c r="I987" s="15" t="s">
        <v>285</v>
      </c>
      <c r="J987" s="74"/>
      <c r="K987" s="31" t="s">
        <v>285</v>
      </c>
      <c r="L987" s="6" t="s">
        <v>2258</v>
      </c>
    </row>
    <row r="988" ht="22.5" customHeight="1">
      <c r="A988" s="49"/>
      <c r="B988" s="8" t="s">
        <v>285</v>
      </c>
      <c r="C988" s="35" t="s">
        <v>285</v>
      </c>
      <c r="D988" s="10" t="s">
        <v>140</v>
      </c>
      <c r="E988" s="11" t="s">
        <v>285</v>
      </c>
      <c r="F988" s="12" t="s">
        <v>285</v>
      </c>
      <c r="G988" s="13" t="s">
        <v>285</v>
      </c>
      <c r="H988" s="14" t="s">
        <v>285</v>
      </c>
      <c r="I988" s="15" t="s">
        <v>285</v>
      </c>
      <c r="J988" s="37" t="s">
        <v>285</v>
      </c>
      <c r="K988" s="17"/>
      <c r="L988" s="6" t="s">
        <v>2259</v>
      </c>
    </row>
    <row r="989" ht="22.5" customHeight="1">
      <c r="A989" s="49"/>
      <c r="B989" s="8" t="s">
        <v>285</v>
      </c>
      <c r="C989" s="35" t="s">
        <v>285</v>
      </c>
      <c r="D989" s="10" t="s">
        <v>285</v>
      </c>
      <c r="E989" s="11" t="s">
        <v>285</v>
      </c>
      <c r="F989" s="12" t="s">
        <v>285</v>
      </c>
      <c r="G989" s="13" t="s">
        <v>285</v>
      </c>
      <c r="H989" s="14" t="s">
        <v>285</v>
      </c>
      <c r="I989" s="15" t="s">
        <v>285</v>
      </c>
      <c r="J989" s="37" t="s">
        <v>140</v>
      </c>
      <c r="K989" s="17"/>
      <c r="L989" s="6" t="s">
        <v>2260</v>
      </c>
    </row>
    <row r="990" ht="22.5" customHeight="1">
      <c r="A990" s="49"/>
      <c r="B990" s="8" t="s">
        <v>285</v>
      </c>
      <c r="C990" s="35" t="s">
        <v>285</v>
      </c>
      <c r="D990" s="10" t="s">
        <v>140</v>
      </c>
      <c r="E990" s="11" t="s">
        <v>285</v>
      </c>
      <c r="F990" s="12" t="s">
        <v>285</v>
      </c>
      <c r="G990" s="13" t="s">
        <v>285</v>
      </c>
      <c r="H990" s="14" t="s">
        <v>285</v>
      </c>
      <c r="I990" s="15" t="s">
        <v>285</v>
      </c>
      <c r="J990" s="37" t="s">
        <v>285</v>
      </c>
      <c r="K990" s="31" t="s">
        <v>285</v>
      </c>
      <c r="L990" s="6" t="s">
        <v>2261</v>
      </c>
    </row>
    <row r="991" ht="22.5" customHeight="1">
      <c r="A991" s="49"/>
      <c r="B991" s="8" t="s">
        <v>285</v>
      </c>
      <c r="C991" s="35" t="s">
        <v>285</v>
      </c>
      <c r="D991" s="10" t="s">
        <v>140</v>
      </c>
      <c r="E991" s="11" t="s">
        <v>285</v>
      </c>
      <c r="F991" s="12" t="s">
        <v>285</v>
      </c>
      <c r="G991" s="13" t="s">
        <v>285</v>
      </c>
      <c r="H991" s="14" t="s">
        <v>285</v>
      </c>
      <c r="I991" s="15" t="s">
        <v>285</v>
      </c>
      <c r="J991" s="74"/>
      <c r="K991" s="17"/>
      <c r="L991" s="6" t="s">
        <v>2262</v>
      </c>
    </row>
    <row r="992" ht="22.5" customHeight="1">
      <c r="A992" s="49"/>
      <c r="B992" s="72">
        <v>0.6840277777777778</v>
      </c>
      <c r="C992" s="71">
        <v>46146.0</v>
      </c>
      <c r="D992" s="10" t="s">
        <v>442</v>
      </c>
      <c r="E992" s="11" t="s">
        <v>2263</v>
      </c>
      <c r="F992" s="43"/>
      <c r="G992" s="13" t="s">
        <v>210</v>
      </c>
      <c r="H992" s="14">
        <v>8000.0</v>
      </c>
      <c r="I992" s="15">
        <v>0.0</v>
      </c>
      <c r="J992" s="37" t="s">
        <v>121</v>
      </c>
      <c r="K992" s="17"/>
      <c r="L992" s="6" t="s">
        <v>2264</v>
      </c>
    </row>
    <row r="993" ht="22.5" customHeight="1">
      <c r="A993" s="49"/>
      <c r="B993" s="72">
        <v>0.4263888888888889</v>
      </c>
      <c r="C993" s="71">
        <v>46147.0</v>
      </c>
      <c r="D993" s="10" t="s">
        <v>2265</v>
      </c>
      <c r="E993" s="11" t="s">
        <v>2266</v>
      </c>
      <c r="F993" s="43"/>
      <c r="G993" s="13" t="s">
        <v>2267</v>
      </c>
      <c r="H993" s="14">
        <v>2500.0</v>
      </c>
      <c r="I993" s="15">
        <v>2500.0</v>
      </c>
      <c r="J993" s="37" t="s">
        <v>21</v>
      </c>
      <c r="K993" s="17"/>
      <c r="L993" s="6" t="s">
        <v>2268</v>
      </c>
    </row>
    <row r="994" ht="22.5" customHeight="1">
      <c r="A994" s="49"/>
      <c r="B994" s="72">
        <v>0.4486111111111111</v>
      </c>
      <c r="C994" s="75"/>
      <c r="D994" s="10" t="s">
        <v>1417</v>
      </c>
      <c r="E994" s="76"/>
      <c r="F994" s="43"/>
      <c r="G994" s="13" t="s">
        <v>1419</v>
      </c>
      <c r="H994" s="14" t="s">
        <v>195</v>
      </c>
      <c r="I994" s="38"/>
      <c r="J994" s="74"/>
      <c r="K994" s="17"/>
      <c r="L994" s="6" t="s">
        <v>2269</v>
      </c>
    </row>
    <row r="995" ht="22.5" customHeight="1">
      <c r="A995" s="49"/>
      <c r="B995" s="72">
        <v>0.5201388888888889</v>
      </c>
      <c r="C995" s="71">
        <v>46147.0</v>
      </c>
      <c r="D995" s="10" t="s">
        <v>2060</v>
      </c>
      <c r="E995" s="11" t="s">
        <v>2270</v>
      </c>
      <c r="F995" s="43"/>
      <c r="G995" s="13" t="s">
        <v>2062</v>
      </c>
      <c r="H995" s="14">
        <v>3000.0</v>
      </c>
      <c r="I995" s="15">
        <v>3000.0</v>
      </c>
      <c r="J995" s="37" t="s">
        <v>26</v>
      </c>
      <c r="K995" s="17"/>
      <c r="L995" s="6" t="s">
        <v>2271</v>
      </c>
    </row>
    <row r="996" ht="22.5" customHeight="1">
      <c r="A996" s="49"/>
      <c r="B996" s="72">
        <v>0.5284722222222222</v>
      </c>
      <c r="C996" s="71">
        <v>46147.0</v>
      </c>
      <c r="D996" s="10" t="s">
        <v>221</v>
      </c>
      <c r="E996" s="11" t="s">
        <v>2272</v>
      </c>
      <c r="F996" s="12" t="s">
        <v>2273</v>
      </c>
      <c r="G996" s="13" t="s">
        <v>223</v>
      </c>
      <c r="H996" s="14">
        <v>1260000.0</v>
      </c>
      <c r="I996" s="15">
        <v>1260000.0</v>
      </c>
      <c r="J996" s="37" t="s">
        <v>26</v>
      </c>
      <c r="K996" s="17"/>
      <c r="L996" s="6" t="s">
        <v>2274</v>
      </c>
    </row>
    <row r="997" ht="22.5" customHeight="1">
      <c r="A997" s="49"/>
      <c r="B997" s="72">
        <v>0.5291666666666667</v>
      </c>
      <c r="C997" s="71">
        <v>46147.0</v>
      </c>
      <c r="D997" s="10" t="s">
        <v>70</v>
      </c>
      <c r="E997" s="11" t="s">
        <v>1797</v>
      </c>
      <c r="F997" s="12" t="s">
        <v>1798</v>
      </c>
      <c r="G997" s="13" t="s">
        <v>72</v>
      </c>
      <c r="H997" s="14">
        <v>645000.0</v>
      </c>
      <c r="I997" s="15">
        <v>645000.0</v>
      </c>
      <c r="J997" s="37" t="s">
        <v>26</v>
      </c>
      <c r="K997" s="17"/>
      <c r="L997" s="6" t="s">
        <v>2275</v>
      </c>
    </row>
    <row r="998" ht="22.5" customHeight="1">
      <c r="A998" s="49"/>
      <c r="B998" s="72">
        <v>0.5333333333333333</v>
      </c>
      <c r="C998" s="71">
        <v>46147.0</v>
      </c>
      <c r="D998" s="10" t="s">
        <v>1468</v>
      </c>
      <c r="E998" s="11" t="s">
        <v>2276</v>
      </c>
      <c r="F998" s="43"/>
      <c r="G998" s="13" t="s">
        <v>1470</v>
      </c>
      <c r="H998" s="14">
        <v>2500.0</v>
      </c>
      <c r="I998" s="15">
        <v>2500.0</v>
      </c>
      <c r="J998" s="37" t="s">
        <v>26</v>
      </c>
      <c r="K998" s="17"/>
      <c r="L998" s="6" t="s">
        <v>2277</v>
      </c>
    </row>
    <row r="999" ht="22.5" customHeight="1">
      <c r="A999" s="49"/>
      <c r="B999" s="72">
        <v>0.5465277777777777</v>
      </c>
      <c r="C999" s="71">
        <v>46147.0</v>
      </c>
      <c r="D999" s="10" t="s">
        <v>1302</v>
      </c>
      <c r="E999" s="11" t="s">
        <v>2278</v>
      </c>
      <c r="F999" s="43"/>
      <c r="G999" s="13" t="s">
        <v>889</v>
      </c>
      <c r="H999" s="14">
        <v>2500.0</v>
      </c>
      <c r="I999" s="15">
        <v>0.0</v>
      </c>
      <c r="J999" s="37" t="s">
        <v>121</v>
      </c>
      <c r="K999" s="17"/>
      <c r="L999" s="6" t="s">
        <v>2279</v>
      </c>
    </row>
    <row r="1000" ht="22.5" customHeight="1">
      <c r="A1000" s="49"/>
      <c r="B1000" s="72">
        <v>0.5513888888888889</v>
      </c>
      <c r="C1000" s="71">
        <v>46147.0</v>
      </c>
      <c r="D1000" s="10" t="s">
        <v>1994</v>
      </c>
      <c r="E1000" s="11" t="s">
        <v>1880</v>
      </c>
      <c r="F1000" s="43"/>
      <c r="G1000" s="13" t="s">
        <v>1995</v>
      </c>
      <c r="H1000" s="14">
        <v>3000.0</v>
      </c>
      <c r="I1000" s="15">
        <v>3000.0</v>
      </c>
      <c r="J1000" s="37" t="s">
        <v>26</v>
      </c>
      <c r="K1000" s="17"/>
      <c r="L1000" s="6" t="s">
        <v>2280</v>
      </c>
      <c r="N1000" s="6" t="s">
        <v>2281</v>
      </c>
      <c r="O1000" s="6"/>
      <c r="P1000" s="6"/>
      <c r="Q1000" s="6"/>
      <c r="R1000" s="6"/>
    </row>
    <row r="1001" ht="22.5" customHeight="1">
      <c r="A1001" s="49"/>
      <c r="B1001" s="72">
        <v>0.5520833333333334</v>
      </c>
      <c r="C1001" s="71">
        <v>46147.0</v>
      </c>
      <c r="D1001" s="10" t="s">
        <v>418</v>
      </c>
      <c r="E1001" s="11" t="s">
        <v>2282</v>
      </c>
      <c r="F1001" s="43"/>
      <c r="G1001" s="13" t="s">
        <v>421</v>
      </c>
      <c r="H1001" s="14">
        <v>2500.0</v>
      </c>
      <c r="I1001" s="15">
        <v>0.0</v>
      </c>
      <c r="J1001" s="37" t="s">
        <v>121</v>
      </c>
      <c r="K1001" s="17"/>
      <c r="L1001" s="6" t="s">
        <v>2283</v>
      </c>
    </row>
    <row r="1002" ht="22.5" customHeight="1">
      <c r="A1002" s="49"/>
      <c r="B1002" s="72">
        <v>0.5534722222222223</v>
      </c>
      <c r="C1002" s="71">
        <v>46147.0</v>
      </c>
      <c r="D1002" s="10" t="s">
        <v>2284</v>
      </c>
      <c r="E1002" s="11" t="s">
        <v>2285</v>
      </c>
      <c r="F1002" s="43"/>
      <c r="G1002" s="13" t="s">
        <v>2286</v>
      </c>
      <c r="H1002" s="14">
        <v>4000.0</v>
      </c>
      <c r="I1002" s="15">
        <v>0.0</v>
      </c>
      <c r="J1002" s="37" t="s">
        <v>121</v>
      </c>
      <c r="K1002" s="17"/>
      <c r="L1002" s="6" t="s">
        <v>2287</v>
      </c>
    </row>
    <row r="1003" ht="22.5" customHeight="1">
      <c r="A1003" s="49"/>
      <c r="B1003" s="72">
        <v>0.5548611111111111</v>
      </c>
      <c r="C1003" s="71">
        <v>46147.0</v>
      </c>
      <c r="D1003" s="10" t="s">
        <v>306</v>
      </c>
      <c r="E1003" s="11" t="s">
        <v>2288</v>
      </c>
      <c r="F1003" s="43"/>
      <c r="G1003" s="13" t="s">
        <v>307</v>
      </c>
      <c r="H1003" s="14">
        <v>100000.0</v>
      </c>
      <c r="I1003" s="15">
        <v>0.0</v>
      </c>
      <c r="J1003" s="37" t="s">
        <v>121</v>
      </c>
      <c r="K1003" s="17"/>
      <c r="L1003" s="6" t="s">
        <v>2289</v>
      </c>
    </row>
    <row r="1004" ht="22.5" customHeight="1">
      <c r="A1004" s="49"/>
      <c r="B1004" s="72">
        <v>0.6152777777777778</v>
      </c>
      <c r="C1004" s="71">
        <v>46147.0</v>
      </c>
      <c r="D1004" s="10" t="s">
        <v>413</v>
      </c>
      <c r="E1004" s="11" t="s">
        <v>2290</v>
      </c>
      <c r="F1004" s="43"/>
      <c r="G1004" s="13" t="s">
        <v>416</v>
      </c>
      <c r="H1004" s="14">
        <v>2500.0</v>
      </c>
      <c r="I1004" s="15">
        <v>0.0</v>
      </c>
      <c r="J1004" s="37" t="s">
        <v>121</v>
      </c>
      <c r="K1004" s="17"/>
      <c r="L1004" s="6" t="s">
        <v>2291</v>
      </c>
    </row>
    <row r="1005" ht="22.5" customHeight="1">
      <c r="A1005" s="49"/>
      <c r="B1005" s="72">
        <v>0.6319444444444444</v>
      </c>
      <c r="C1005" s="71">
        <v>46147.0</v>
      </c>
      <c r="D1005" s="10" t="s">
        <v>2292</v>
      </c>
      <c r="E1005" s="11" t="s">
        <v>2293</v>
      </c>
      <c r="F1005" s="43"/>
      <c r="G1005" s="13" t="s">
        <v>2294</v>
      </c>
      <c r="H1005" s="14">
        <v>10000.0</v>
      </c>
      <c r="I1005" s="15">
        <v>10000.0</v>
      </c>
      <c r="J1005" s="37" t="s">
        <v>26</v>
      </c>
      <c r="K1005" s="17"/>
      <c r="L1005" s="6" t="s">
        <v>2295</v>
      </c>
      <c r="N1005" s="6" t="s">
        <v>2296</v>
      </c>
      <c r="O1005" s="6"/>
      <c r="P1005" s="6"/>
      <c r="Q1005" s="6"/>
      <c r="R1005" s="6"/>
    </row>
    <row r="1006" ht="22.5" customHeight="1">
      <c r="A1006" s="49"/>
      <c r="B1006" s="72">
        <v>0.6361111111111111</v>
      </c>
      <c r="C1006" s="71">
        <v>46147.0</v>
      </c>
      <c r="D1006" s="10" t="s">
        <v>1980</v>
      </c>
      <c r="E1006" s="11" t="s">
        <v>61</v>
      </c>
      <c r="F1006" s="43"/>
      <c r="G1006" s="13" t="s">
        <v>1982</v>
      </c>
      <c r="H1006" s="14">
        <v>3000.0</v>
      </c>
      <c r="I1006" s="15">
        <v>3000.0</v>
      </c>
      <c r="J1006" s="37" t="s">
        <v>26</v>
      </c>
      <c r="K1006" s="17"/>
      <c r="L1006" s="6" t="s">
        <v>2297</v>
      </c>
    </row>
    <row r="1007">
      <c r="A1007" s="77"/>
      <c r="B1007" s="78">
        <v>0.6583333333333333</v>
      </c>
      <c r="C1007" s="79">
        <v>46147.0</v>
      </c>
      <c r="D1007" s="80" t="s">
        <v>108</v>
      </c>
      <c r="E1007" s="81" t="s">
        <v>2298</v>
      </c>
      <c r="F1007" s="82"/>
      <c r="G1007" s="80">
        <v>2.348038551439E12</v>
      </c>
      <c r="H1007" s="83">
        <v>5000.0</v>
      </c>
      <c r="I1007" s="84">
        <v>5000.0</v>
      </c>
      <c r="J1007" s="85" t="s">
        <v>26</v>
      </c>
      <c r="K1007" s="86"/>
      <c r="L1007" s="87" t="s">
        <v>2299</v>
      </c>
      <c r="N1007" s="6" t="s">
        <v>2300</v>
      </c>
      <c r="O1007" s="6"/>
      <c r="P1007" s="6"/>
      <c r="Q1007" s="6"/>
      <c r="R1007" s="6"/>
    </row>
    <row r="1008">
      <c r="A1008" s="77"/>
      <c r="B1008" s="78">
        <v>0.6736111111111112</v>
      </c>
      <c r="C1008" s="79">
        <v>46147.0</v>
      </c>
      <c r="D1008" s="80" t="s">
        <v>221</v>
      </c>
      <c r="E1008" s="81" t="s">
        <v>2301</v>
      </c>
      <c r="F1008" s="88"/>
      <c r="G1008" s="80">
        <v>2.348137226383E12</v>
      </c>
      <c r="H1008" s="89">
        <v>2000.0</v>
      </c>
      <c r="I1008" s="84">
        <v>2000.0</v>
      </c>
      <c r="J1008" s="85" t="s">
        <v>26</v>
      </c>
      <c r="K1008" s="86"/>
      <c r="L1008" s="87" t="s">
        <v>2302</v>
      </c>
    </row>
    <row r="1009">
      <c r="A1009" s="77"/>
      <c r="B1009" s="78">
        <v>0.6972222222222222</v>
      </c>
      <c r="C1009" s="79">
        <v>46147.0</v>
      </c>
      <c r="D1009" s="80" t="s">
        <v>485</v>
      </c>
      <c r="E1009" s="81" t="s">
        <v>2303</v>
      </c>
      <c r="F1009" s="88"/>
      <c r="G1009" s="80">
        <v>2.347052247397E12</v>
      </c>
      <c r="H1009" s="89">
        <v>2500.0</v>
      </c>
      <c r="I1009" s="84">
        <v>2500.0</v>
      </c>
      <c r="J1009" s="85" t="s">
        <v>26</v>
      </c>
      <c r="K1009" s="86"/>
      <c r="L1009" s="87" t="s">
        <v>2304</v>
      </c>
    </row>
    <row r="1010">
      <c r="A1010" s="77"/>
      <c r="B1010" s="90">
        <v>0.748013379634358</v>
      </c>
      <c r="C1010" s="91">
        <v>46147.0</v>
      </c>
      <c r="D1010" s="80" t="s">
        <v>93</v>
      </c>
      <c r="E1010" s="81" t="s">
        <v>2305</v>
      </c>
      <c r="F1010" s="88"/>
      <c r="G1010" s="80">
        <v>2.348131941406E12</v>
      </c>
      <c r="H1010" s="89">
        <v>2500.0</v>
      </c>
      <c r="I1010" s="84">
        <v>2500.0</v>
      </c>
      <c r="J1010" s="85" t="s">
        <v>26</v>
      </c>
      <c r="K1010" s="86"/>
      <c r="L1010" s="87" t="s">
        <v>2306</v>
      </c>
    </row>
    <row r="1011">
      <c r="A1011" s="77"/>
      <c r="B1011" s="78">
        <v>0.7215277777777778</v>
      </c>
      <c r="C1011" s="79">
        <v>46147.0</v>
      </c>
      <c r="D1011" s="80" t="s">
        <v>2307</v>
      </c>
      <c r="E1011" s="81" t="s">
        <v>2308</v>
      </c>
      <c r="F1011" s="88"/>
      <c r="G1011" s="80">
        <v>2.349014571637E12</v>
      </c>
      <c r="H1011" s="89">
        <v>5000.0</v>
      </c>
      <c r="I1011" s="84">
        <v>5000.0</v>
      </c>
      <c r="J1011" s="87" t="s">
        <v>26</v>
      </c>
      <c r="K1011" s="86"/>
      <c r="L1011" s="87" t="s">
        <v>2309</v>
      </c>
    </row>
    <row r="1012">
      <c r="A1012" s="77"/>
      <c r="B1012" s="78">
        <v>0.7326388888888888</v>
      </c>
      <c r="C1012" s="79">
        <v>46147.0</v>
      </c>
      <c r="D1012" s="80" t="s">
        <v>2310</v>
      </c>
      <c r="E1012" s="81" t="s">
        <v>2311</v>
      </c>
      <c r="F1012" s="88"/>
      <c r="G1012" s="80">
        <v>2.349153417872E12</v>
      </c>
      <c r="H1012" s="89">
        <v>2500.0</v>
      </c>
      <c r="I1012" s="84">
        <v>0.0</v>
      </c>
      <c r="J1012" s="87" t="s">
        <v>103</v>
      </c>
      <c r="K1012" s="86"/>
      <c r="L1012" s="87" t="s">
        <v>2312</v>
      </c>
    </row>
    <row r="1013">
      <c r="A1013" s="77"/>
      <c r="B1013" s="78">
        <v>0.7375</v>
      </c>
      <c r="C1013" s="79">
        <v>46147.0</v>
      </c>
      <c r="D1013" s="80" t="s">
        <v>424</v>
      </c>
      <c r="E1013" s="81" t="s">
        <v>2311</v>
      </c>
      <c r="F1013" s="88"/>
      <c r="G1013" s="80">
        <v>2.347041440724E12</v>
      </c>
      <c r="H1013" s="89">
        <v>2500.0</v>
      </c>
      <c r="I1013" s="84">
        <v>0.0</v>
      </c>
      <c r="J1013" s="87" t="s">
        <v>121</v>
      </c>
      <c r="K1013" s="86"/>
      <c r="L1013" s="87" t="s">
        <v>2313</v>
      </c>
    </row>
    <row r="1014">
      <c r="A1014" s="77"/>
      <c r="B1014" s="92"/>
      <c r="C1014" s="93"/>
      <c r="D1014" s="80" t="s">
        <v>140</v>
      </c>
      <c r="E1014" s="81" t="s">
        <v>285</v>
      </c>
      <c r="F1014" s="94" t="s">
        <v>285</v>
      </c>
      <c r="G1014" s="80" t="s">
        <v>285</v>
      </c>
      <c r="H1014" s="89" t="s">
        <v>285</v>
      </c>
      <c r="I1014" s="84" t="s">
        <v>285</v>
      </c>
      <c r="J1014" s="87" t="s">
        <v>140</v>
      </c>
      <c r="K1014" s="86"/>
      <c r="L1014" s="87" t="s">
        <v>2314</v>
      </c>
    </row>
    <row r="1015">
      <c r="A1015" s="77"/>
      <c r="B1015" s="92"/>
      <c r="C1015" s="93"/>
      <c r="D1015" s="80" t="s">
        <v>285</v>
      </c>
      <c r="E1015" s="81" t="s">
        <v>285</v>
      </c>
      <c r="F1015" s="94" t="s">
        <v>285</v>
      </c>
      <c r="G1015" s="80" t="s">
        <v>285</v>
      </c>
      <c r="H1015" s="89" t="s">
        <v>285</v>
      </c>
      <c r="I1015" s="84" t="s">
        <v>285</v>
      </c>
      <c r="J1015" s="87" t="s">
        <v>140</v>
      </c>
      <c r="K1015" s="86"/>
      <c r="L1015" s="87" t="s">
        <v>2315</v>
      </c>
    </row>
    <row r="1016">
      <c r="A1016" s="77"/>
      <c r="B1016" s="78">
        <v>0.39861111111111114</v>
      </c>
      <c r="C1016" s="79">
        <v>46148.0</v>
      </c>
      <c r="D1016" s="80" t="s">
        <v>248</v>
      </c>
      <c r="E1016" s="81" t="s">
        <v>2316</v>
      </c>
      <c r="F1016" s="88"/>
      <c r="G1016" s="80">
        <v>2.34123456789E12</v>
      </c>
      <c r="H1016" s="89">
        <v>5000.0</v>
      </c>
      <c r="I1016" s="84">
        <v>5000.0</v>
      </c>
      <c r="J1016" s="87" t="s">
        <v>26</v>
      </c>
      <c r="K1016" s="86"/>
      <c r="L1016" s="87" t="s">
        <v>2317</v>
      </c>
    </row>
    <row r="1017">
      <c r="A1017" s="77"/>
      <c r="B1017" s="78">
        <v>0.4</v>
      </c>
      <c r="C1017" s="79">
        <v>46148.0</v>
      </c>
      <c r="D1017" s="80" t="s">
        <v>70</v>
      </c>
      <c r="E1017" s="81" t="s">
        <v>2318</v>
      </c>
      <c r="F1017" s="88"/>
      <c r="G1017" s="80">
        <v>2.348137676322E12</v>
      </c>
      <c r="H1017" s="89">
        <v>3000.0</v>
      </c>
      <c r="I1017" s="84">
        <v>3000.0</v>
      </c>
      <c r="J1017" s="87" t="s">
        <v>26</v>
      </c>
      <c r="K1017" s="86"/>
      <c r="L1017" s="87" t="s">
        <v>2319</v>
      </c>
    </row>
    <row r="1018">
      <c r="A1018" s="77"/>
      <c r="B1018" s="78">
        <v>0.4361111111111111</v>
      </c>
      <c r="C1018" s="79">
        <v>46148.0</v>
      </c>
      <c r="D1018" s="80" t="s">
        <v>70</v>
      </c>
      <c r="E1018" s="81" t="s">
        <v>2320</v>
      </c>
      <c r="F1018" s="88"/>
      <c r="G1018" s="80">
        <v>2.348137676322E12</v>
      </c>
      <c r="H1018" s="89">
        <v>2000.0</v>
      </c>
      <c r="I1018" s="84">
        <v>2000.0</v>
      </c>
      <c r="J1018" s="87" t="s">
        <v>26</v>
      </c>
      <c r="K1018" s="86"/>
      <c r="L1018" s="87" t="s">
        <v>2321</v>
      </c>
    </row>
    <row r="1019">
      <c r="A1019" s="77"/>
      <c r="B1019" s="78">
        <v>0.4840277777777778</v>
      </c>
      <c r="C1019" s="79">
        <v>46148.0</v>
      </c>
      <c r="D1019" s="80" t="s">
        <v>2322</v>
      </c>
      <c r="E1019" s="81" t="s">
        <v>2323</v>
      </c>
      <c r="F1019" s="88"/>
      <c r="G1019" s="80">
        <v>2.349050226014E12</v>
      </c>
      <c r="H1019" s="89">
        <v>3000.0</v>
      </c>
      <c r="I1019" s="84">
        <v>3000.0</v>
      </c>
      <c r="J1019" s="87" t="s">
        <v>26</v>
      </c>
      <c r="K1019" s="86"/>
      <c r="L1019" s="87" t="s">
        <v>2324</v>
      </c>
    </row>
    <row r="1020">
      <c r="A1020" s="77"/>
      <c r="B1020" s="78">
        <v>0.4875</v>
      </c>
      <c r="C1020" s="79">
        <v>46148.0</v>
      </c>
      <c r="D1020" s="80" t="s">
        <v>413</v>
      </c>
      <c r="E1020" s="81" t="s">
        <v>1434</v>
      </c>
      <c r="F1020" s="88"/>
      <c r="G1020" s="80">
        <v>2.349065944787E12</v>
      </c>
      <c r="H1020" s="89">
        <v>3000.0</v>
      </c>
      <c r="I1020" s="84">
        <v>0.0</v>
      </c>
      <c r="J1020" s="87" t="s">
        <v>121</v>
      </c>
      <c r="K1020" s="86"/>
      <c r="L1020" s="87" t="s">
        <v>2325</v>
      </c>
    </row>
    <row r="1021">
      <c r="A1021" s="77"/>
      <c r="B1021" s="78">
        <v>0.4895833333333333</v>
      </c>
      <c r="C1021" s="79">
        <v>46148.0</v>
      </c>
      <c r="D1021" s="80" t="s">
        <v>18</v>
      </c>
      <c r="E1021" s="81" t="s">
        <v>2035</v>
      </c>
      <c r="F1021" s="88"/>
      <c r="G1021" s="80">
        <v>2.347067462101E12</v>
      </c>
      <c r="H1021" s="89">
        <v>5000.0</v>
      </c>
      <c r="I1021" s="84">
        <v>0.0</v>
      </c>
      <c r="J1021" s="87" t="s">
        <v>121</v>
      </c>
      <c r="K1021" s="86"/>
      <c r="L1021" s="87" t="s">
        <v>2326</v>
      </c>
    </row>
    <row r="1022">
      <c r="A1022" s="77"/>
      <c r="B1022" s="78">
        <v>0.5090277777777777</v>
      </c>
      <c r="C1022" s="79">
        <v>46148.0</v>
      </c>
      <c r="D1022" s="80" t="s">
        <v>664</v>
      </c>
      <c r="E1022" s="81" t="s">
        <v>2327</v>
      </c>
      <c r="F1022" s="88"/>
      <c r="G1022" s="80">
        <v>2.348027964718E12</v>
      </c>
      <c r="H1022" s="89">
        <v>2500.0</v>
      </c>
      <c r="I1022" s="84">
        <v>0.0</v>
      </c>
      <c r="J1022" s="87" t="s">
        <v>121</v>
      </c>
      <c r="K1022" s="86"/>
      <c r="L1022" s="87" t="s">
        <v>2328</v>
      </c>
    </row>
    <row r="1023">
      <c r="A1023" s="77"/>
      <c r="B1023" s="78">
        <v>0.5236111111111111</v>
      </c>
      <c r="C1023" s="79">
        <v>46148.0</v>
      </c>
      <c r="D1023" s="80" t="s">
        <v>2329</v>
      </c>
      <c r="E1023" s="81" t="s">
        <v>2330</v>
      </c>
      <c r="F1023" s="88"/>
      <c r="G1023" s="80">
        <v>2.348103299135E12</v>
      </c>
      <c r="H1023" s="89">
        <v>3000.0</v>
      </c>
      <c r="I1023" s="84">
        <v>3000.0</v>
      </c>
      <c r="J1023" s="87" t="s">
        <v>26</v>
      </c>
      <c r="K1023" s="86"/>
      <c r="L1023" s="87" t="s">
        <v>2331</v>
      </c>
    </row>
    <row r="1024">
      <c r="A1024" s="77"/>
      <c r="B1024" s="78">
        <v>0.525</v>
      </c>
      <c r="C1024" s="79">
        <v>46148.0</v>
      </c>
      <c r="D1024" s="80" t="s">
        <v>2332</v>
      </c>
      <c r="E1024" s="81" t="s">
        <v>1175</v>
      </c>
      <c r="F1024" s="88"/>
      <c r="G1024" s="80">
        <v>2.349036264833E12</v>
      </c>
      <c r="H1024" s="89">
        <v>75000.0</v>
      </c>
      <c r="I1024" s="84">
        <v>75000.0</v>
      </c>
      <c r="J1024" s="87" t="s">
        <v>26</v>
      </c>
      <c r="K1024" s="86"/>
      <c r="L1024" s="87" t="s">
        <v>2333</v>
      </c>
    </row>
    <row r="1025">
      <c r="A1025" s="77"/>
      <c r="B1025" s="78">
        <v>0.6625</v>
      </c>
      <c r="C1025" s="79">
        <v>46148.0</v>
      </c>
      <c r="D1025" s="80" t="s">
        <v>54</v>
      </c>
      <c r="E1025" s="81" t="s">
        <v>2334</v>
      </c>
      <c r="F1025" s="88"/>
      <c r="G1025" s="80">
        <v>2.349033724061E12</v>
      </c>
      <c r="H1025" s="89">
        <v>3000.0</v>
      </c>
      <c r="I1025" s="84">
        <v>0.0</v>
      </c>
      <c r="J1025" s="87" t="s">
        <v>121</v>
      </c>
      <c r="K1025" s="86"/>
      <c r="L1025" s="87" t="s">
        <v>2335</v>
      </c>
    </row>
    <row r="1026">
      <c r="A1026" s="77"/>
      <c r="B1026" s="78">
        <v>0.6715277777777777</v>
      </c>
      <c r="C1026" s="79">
        <v>46148.0</v>
      </c>
      <c r="D1026" s="80" t="s">
        <v>424</v>
      </c>
      <c r="E1026" s="81" t="s">
        <v>2336</v>
      </c>
      <c r="F1026" s="88"/>
      <c r="G1026" s="80">
        <v>2.347041440724E12</v>
      </c>
      <c r="H1026" s="89">
        <v>5000.0</v>
      </c>
      <c r="I1026" s="84">
        <v>0.0</v>
      </c>
      <c r="J1026" s="87" t="s">
        <v>121</v>
      </c>
      <c r="K1026" s="86"/>
      <c r="L1026" s="87" t="s">
        <v>2337</v>
      </c>
    </row>
    <row r="1027">
      <c r="A1027" s="77"/>
      <c r="B1027" s="78">
        <v>0.6763888888888889</v>
      </c>
      <c r="C1027" s="79">
        <v>46148.0</v>
      </c>
      <c r="D1027" s="80" t="s">
        <v>212</v>
      </c>
      <c r="E1027" s="81" t="s">
        <v>2338</v>
      </c>
      <c r="F1027" s="88"/>
      <c r="G1027" s="80">
        <v>2.349075624207E12</v>
      </c>
      <c r="H1027" s="89">
        <v>5000.0</v>
      </c>
      <c r="I1027" s="84">
        <v>5000.0</v>
      </c>
      <c r="J1027" s="87" t="s">
        <v>26</v>
      </c>
      <c r="K1027" s="86"/>
      <c r="L1027" s="87" t="s">
        <v>2339</v>
      </c>
    </row>
    <row r="1028">
      <c r="A1028" s="77"/>
      <c r="B1028" s="78">
        <v>0.6909722222222222</v>
      </c>
      <c r="C1028" s="79">
        <v>46148.0</v>
      </c>
      <c r="D1028" s="80" t="s">
        <v>2340</v>
      </c>
      <c r="E1028" s="81" t="s">
        <v>2341</v>
      </c>
      <c r="F1028" s="88"/>
      <c r="G1028" s="80">
        <v>2.34915164643E12</v>
      </c>
      <c r="H1028" s="89">
        <v>2500.0</v>
      </c>
      <c r="I1028" s="84">
        <v>2500.0</v>
      </c>
      <c r="J1028" s="87" t="s">
        <v>26</v>
      </c>
      <c r="K1028" s="86"/>
      <c r="L1028" s="87" t="s">
        <v>2342</v>
      </c>
    </row>
    <row r="1029">
      <c r="A1029" s="77"/>
      <c r="B1029" s="78">
        <v>0.7145833333333333</v>
      </c>
      <c r="C1029" s="79">
        <v>46148.0</v>
      </c>
      <c r="D1029" s="80" t="s">
        <v>93</v>
      </c>
      <c r="E1029" s="81" t="s">
        <v>2343</v>
      </c>
      <c r="F1029" s="94">
        <v>3.502962726941E14</v>
      </c>
      <c r="G1029" s="80">
        <v>2.348131941406E12</v>
      </c>
      <c r="H1029" s="89">
        <v>1680000.0</v>
      </c>
      <c r="I1029" s="84">
        <v>1680000.0</v>
      </c>
      <c r="J1029" s="87" t="s">
        <v>26</v>
      </c>
      <c r="K1029" s="86"/>
      <c r="L1029" s="87" t="s">
        <v>2344</v>
      </c>
    </row>
    <row r="1030">
      <c r="A1030" s="77"/>
      <c r="B1030" s="78">
        <v>0.71875</v>
      </c>
      <c r="C1030" s="79">
        <v>46148.0</v>
      </c>
      <c r="D1030" s="80" t="s">
        <v>212</v>
      </c>
      <c r="E1030" s="81" t="s">
        <v>2345</v>
      </c>
      <c r="F1030" s="88"/>
      <c r="G1030" s="80">
        <v>2.349075624207E12</v>
      </c>
      <c r="H1030" s="89">
        <v>3000.0</v>
      </c>
      <c r="I1030" s="84">
        <v>0.0</v>
      </c>
      <c r="J1030" s="87" t="s">
        <v>121</v>
      </c>
      <c r="K1030" s="86"/>
      <c r="L1030" s="87" t="s">
        <v>2346</v>
      </c>
    </row>
    <row r="1031">
      <c r="A1031" s="77"/>
      <c r="B1031" s="92"/>
      <c r="C1031" s="93"/>
      <c r="D1031" s="95"/>
      <c r="E1031" s="96"/>
      <c r="F1031" s="88"/>
      <c r="G1031" s="95" t="str">
        <f>IF(LEN(TRIM(D1031))=0,"",IFNA(VLOOKUP(UPPER(TRIM(D1031)),'CLIENT DIRECTORY'!A:B,2,FALSE),""))</f>
        <v/>
      </c>
      <c r="H1031" s="89"/>
      <c r="I1031" s="84"/>
      <c r="J1031" s="86"/>
      <c r="K1031" s="86"/>
      <c r="L1031" s="87" t="s">
        <v>2347</v>
      </c>
    </row>
    <row r="1032">
      <c r="A1032" s="77"/>
      <c r="B1032" s="92"/>
      <c r="C1032" s="93"/>
      <c r="D1032" s="95"/>
      <c r="E1032" s="96"/>
      <c r="F1032" s="88"/>
      <c r="G1032" s="95" t="str">
        <f>IF(LEN(TRIM(D1032))=0,"",IFNA(VLOOKUP(UPPER(TRIM(D1032)),'CLIENT DIRECTORY'!A:B,2,FALSE),""))</f>
        <v/>
      </c>
      <c r="H1032" s="89"/>
      <c r="I1032" s="97"/>
      <c r="J1032" s="86"/>
      <c r="K1032" s="86"/>
      <c r="L1032" s="87" t="s">
        <v>2348</v>
      </c>
    </row>
    <row r="1033">
      <c r="A1033" s="77"/>
      <c r="B1033" s="92"/>
      <c r="C1033" s="93"/>
      <c r="D1033" s="95"/>
      <c r="E1033" s="96"/>
      <c r="F1033" s="88"/>
      <c r="G1033" s="95" t="str">
        <f>IF(LEN(TRIM(D1033))=0,"",IFNA(VLOOKUP(UPPER(TRIM(D1033)),'CLIENT DIRECTORY'!A:B,2,FALSE),""))</f>
        <v/>
      </c>
      <c r="H1033" s="98"/>
      <c r="I1033" s="97"/>
      <c r="J1033" s="86"/>
      <c r="K1033" s="86"/>
      <c r="L1033" s="87" t="s">
        <v>2349</v>
      </c>
    </row>
    <row r="1034">
      <c r="A1034" s="77"/>
      <c r="B1034" s="78">
        <v>0.052083333333333336</v>
      </c>
      <c r="C1034" s="79">
        <v>46149.0</v>
      </c>
      <c r="D1034" s="80" t="s">
        <v>2054</v>
      </c>
      <c r="E1034" s="81" t="s">
        <v>2089</v>
      </c>
      <c r="F1034" s="94">
        <v>3.52142372175541E14</v>
      </c>
      <c r="G1034" s="80">
        <v>2.349167221871E12</v>
      </c>
      <c r="H1034" s="89">
        <v>820000.0</v>
      </c>
      <c r="I1034" s="84">
        <v>820000.0</v>
      </c>
      <c r="J1034" s="87" t="s">
        <v>26</v>
      </c>
      <c r="K1034" s="86"/>
      <c r="L1034" s="87" t="s">
        <v>2350</v>
      </c>
      <c r="M1034" s="6" t="s">
        <v>2351</v>
      </c>
    </row>
    <row r="1035">
      <c r="A1035" s="77"/>
      <c r="B1035" s="78">
        <v>0.05347222222222222</v>
      </c>
      <c r="C1035" s="79">
        <v>46149.0</v>
      </c>
      <c r="D1035" s="80" t="s">
        <v>605</v>
      </c>
      <c r="E1035" s="81" t="s">
        <v>2352</v>
      </c>
      <c r="F1035" s="94">
        <v>3.55101470374973E14</v>
      </c>
      <c r="G1035" s="80">
        <v>2.348166860603E12</v>
      </c>
      <c r="H1035" s="89">
        <v>1800000.0</v>
      </c>
      <c r="I1035" s="84">
        <v>1800000.0</v>
      </c>
      <c r="J1035" s="87" t="s">
        <v>26</v>
      </c>
      <c r="K1035" s="86"/>
      <c r="L1035" s="87" t="s">
        <v>2353</v>
      </c>
    </row>
    <row r="1036">
      <c r="A1036" s="77"/>
      <c r="B1036" s="78">
        <v>0.38819444444444445</v>
      </c>
      <c r="C1036" s="79">
        <v>46149.0</v>
      </c>
      <c r="D1036" s="80" t="s">
        <v>93</v>
      </c>
      <c r="E1036" s="81" t="s">
        <v>2354</v>
      </c>
      <c r="F1036" s="88"/>
      <c r="G1036" s="80">
        <v>2.348131941406E12</v>
      </c>
      <c r="H1036" s="89">
        <v>3000.0</v>
      </c>
      <c r="I1036" s="84">
        <v>3000.0</v>
      </c>
      <c r="J1036" s="87" t="s">
        <v>26</v>
      </c>
      <c r="K1036" s="86"/>
      <c r="L1036" s="87" t="s">
        <v>2355</v>
      </c>
    </row>
    <row r="1037">
      <c r="A1037" s="77"/>
      <c r="B1037" s="78">
        <v>0.4444444444444444</v>
      </c>
      <c r="C1037" s="79">
        <v>46149.0</v>
      </c>
      <c r="D1037" s="80" t="s">
        <v>442</v>
      </c>
      <c r="E1037" s="81" t="s">
        <v>1278</v>
      </c>
      <c r="F1037" s="88"/>
      <c r="G1037" s="80">
        <v>2.347067612418E12</v>
      </c>
      <c r="H1037" s="89">
        <v>3000.0</v>
      </c>
      <c r="I1037" s="84">
        <v>0.0</v>
      </c>
      <c r="J1037" s="87" t="s">
        <v>121</v>
      </c>
      <c r="K1037" s="86"/>
      <c r="L1037" s="87" t="s">
        <v>2356</v>
      </c>
    </row>
    <row r="1038">
      <c r="A1038" s="77"/>
      <c r="B1038" s="78">
        <v>0.5006944444444444</v>
      </c>
      <c r="C1038" s="79">
        <v>46149.0</v>
      </c>
      <c r="D1038" s="80" t="s">
        <v>93</v>
      </c>
      <c r="E1038" s="81" t="s">
        <v>2357</v>
      </c>
      <c r="F1038" s="88"/>
      <c r="G1038" s="80">
        <v>2.348131941406E12</v>
      </c>
      <c r="H1038" s="89">
        <v>2500.0</v>
      </c>
      <c r="I1038" s="84">
        <v>2500.0</v>
      </c>
      <c r="J1038" s="87" t="s">
        <v>26</v>
      </c>
      <c r="K1038" s="86"/>
      <c r="L1038" s="87" t="s">
        <v>2358</v>
      </c>
    </row>
    <row r="1039">
      <c r="A1039" s="77"/>
      <c r="B1039" s="78">
        <v>0.5159722222222223</v>
      </c>
      <c r="C1039" s="79">
        <v>46149.0</v>
      </c>
      <c r="D1039" s="80" t="s">
        <v>400</v>
      </c>
      <c r="E1039" s="81" t="s">
        <v>1332</v>
      </c>
      <c r="F1039" s="88"/>
      <c r="G1039" s="80">
        <v>2.348109344663E12</v>
      </c>
      <c r="H1039" s="89">
        <v>3000.0</v>
      </c>
      <c r="I1039" s="84">
        <v>3000.0</v>
      </c>
      <c r="J1039" s="87" t="s">
        <v>26</v>
      </c>
      <c r="K1039" s="86"/>
      <c r="L1039" s="87" t="s">
        <v>2359</v>
      </c>
    </row>
    <row r="1040">
      <c r="A1040" s="77"/>
      <c r="B1040" s="78">
        <v>0.5361111111111111</v>
      </c>
      <c r="C1040" s="79">
        <v>46149.0</v>
      </c>
      <c r="D1040" s="80" t="s">
        <v>418</v>
      </c>
      <c r="E1040" s="81" t="s">
        <v>2360</v>
      </c>
      <c r="F1040" s="88"/>
      <c r="G1040" s="80">
        <v>2.348160373526E12</v>
      </c>
      <c r="H1040" s="89">
        <v>5000.0</v>
      </c>
      <c r="I1040" s="84">
        <v>5000.0</v>
      </c>
      <c r="J1040" s="87" t="s">
        <v>26</v>
      </c>
      <c r="K1040" s="86"/>
      <c r="L1040" s="87" t="s">
        <v>2361</v>
      </c>
    </row>
    <row r="1041">
      <c r="A1041" s="77"/>
      <c r="B1041" s="78">
        <v>0.5465277777777777</v>
      </c>
      <c r="C1041" s="79">
        <v>46149.0</v>
      </c>
      <c r="D1041" s="80" t="s">
        <v>485</v>
      </c>
      <c r="E1041" s="81" t="s">
        <v>2362</v>
      </c>
      <c r="F1041" s="88"/>
      <c r="G1041" s="80">
        <v>2.347052247397E12</v>
      </c>
      <c r="H1041" s="89">
        <v>145000.0</v>
      </c>
      <c r="I1041" s="84">
        <v>145000.0</v>
      </c>
      <c r="J1041" s="87" t="s">
        <v>26</v>
      </c>
      <c r="K1041" s="86"/>
      <c r="L1041" s="87" t="s">
        <v>2363</v>
      </c>
    </row>
    <row r="1042">
      <c r="A1042" s="77"/>
      <c r="B1042" s="78">
        <v>0.5479166666666667</v>
      </c>
      <c r="C1042" s="79">
        <v>46149.0</v>
      </c>
      <c r="D1042" s="80" t="s">
        <v>605</v>
      </c>
      <c r="E1042" s="81" t="s">
        <v>2089</v>
      </c>
      <c r="F1042" s="94">
        <v>3.53718462738667E14</v>
      </c>
      <c r="G1042" s="80">
        <v>2.348166860603E12</v>
      </c>
      <c r="H1042" s="89">
        <v>800000.0</v>
      </c>
      <c r="I1042" s="84">
        <v>0.0</v>
      </c>
      <c r="J1042" s="87" t="s">
        <v>103</v>
      </c>
      <c r="K1042" s="86"/>
      <c r="L1042" s="87" t="s">
        <v>2364</v>
      </c>
    </row>
    <row r="1043">
      <c r="A1043" s="77"/>
      <c r="B1043" s="78">
        <v>0.5506944444444445</v>
      </c>
      <c r="C1043" s="79">
        <v>46149.0</v>
      </c>
      <c r="D1043" s="80" t="s">
        <v>613</v>
      </c>
      <c r="E1043" s="81" t="s">
        <v>2365</v>
      </c>
      <c r="F1043" s="88"/>
      <c r="G1043" s="80">
        <v>2.34803437818E12</v>
      </c>
      <c r="H1043" s="89">
        <v>2500.0</v>
      </c>
      <c r="I1043" s="84">
        <v>2500.0</v>
      </c>
      <c r="J1043" s="87" t="s">
        <v>26</v>
      </c>
      <c r="K1043" s="86"/>
      <c r="L1043" s="87" t="s">
        <v>2366</v>
      </c>
    </row>
    <row r="1044">
      <c r="A1044" s="77"/>
      <c r="B1044" s="78">
        <v>0.5736111111111111</v>
      </c>
      <c r="C1044" s="79">
        <v>46149.0</v>
      </c>
      <c r="D1044" s="80" t="s">
        <v>70</v>
      </c>
      <c r="E1044" s="81" t="s">
        <v>2367</v>
      </c>
      <c r="F1044" s="88"/>
      <c r="G1044" s="80">
        <v>2.348137676322E12</v>
      </c>
      <c r="H1044" s="89">
        <v>5000.0</v>
      </c>
      <c r="I1044" s="84">
        <v>0.0</v>
      </c>
      <c r="J1044" s="87" t="s">
        <v>121</v>
      </c>
      <c r="K1044" s="86"/>
      <c r="L1044" s="87" t="s">
        <v>2368</v>
      </c>
      <c r="N1044" s="6" t="s">
        <v>2369</v>
      </c>
      <c r="O1044" s="6"/>
      <c r="P1044" s="6"/>
      <c r="Q1044" s="6"/>
      <c r="R1044" s="6"/>
    </row>
    <row r="1045">
      <c r="A1045" s="77"/>
      <c r="B1045" s="78">
        <v>0.6555555555555556</v>
      </c>
      <c r="C1045" s="79">
        <v>46149.0</v>
      </c>
      <c r="D1045" s="80" t="s">
        <v>2370</v>
      </c>
      <c r="E1045" s="81" t="s">
        <v>2371</v>
      </c>
      <c r="F1045" s="88"/>
      <c r="G1045" s="80">
        <v>2.347052035873E12</v>
      </c>
      <c r="H1045" s="89">
        <v>10000.0</v>
      </c>
      <c r="I1045" s="84">
        <v>10000.0</v>
      </c>
      <c r="J1045" s="87" t="s">
        <v>26</v>
      </c>
      <c r="K1045" s="86"/>
      <c r="L1045" s="87" t="s">
        <v>2372</v>
      </c>
    </row>
    <row r="1046">
      <c r="A1046" s="77"/>
      <c r="B1046" s="78">
        <v>0.7180555555555556</v>
      </c>
      <c r="C1046" s="79">
        <v>46149.0</v>
      </c>
      <c r="D1046" s="80" t="s">
        <v>2373</v>
      </c>
      <c r="E1046" s="81" t="s">
        <v>2367</v>
      </c>
      <c r="F1046" s="88"/>
      <c r="G1046" s="80">
        <v>2.348146527691E12</v>
      </c>
      <c r="H1046" s="89">
        <v>5000.0</v>
      </c>
      <c r="I1046" s="84">
        <v>5000.0</v>
      </c>
      <c r="J1046" s="87" t="s">
        <v>26</v>
      </c>
      <c r="K1046" s="86"/>
      <c r="L1046" s="87" t="s">
        <v>2374</v>
      </c>
      <c r="N1046" s="6" t="s">
        <v>2375</v>
      </c>
      <c r="O1046" s="6"/>
      <c r="P1046" s="6"/>
      <c r="Q1046" s="6"/>
      <c r="R1046" s="6"/>
    </row>
    <row r="1047">
      <c r="A1047" s="77"/>
      <c r="B1047" s="78">
        <v>0.5791666666666667</v>
      </c>
      <c r="C1047" s="79">
        <v>46150.0</v>
      </c>
      <c r="D1047" s="80" t="s">
        <v>64</v>
      </c>
      <c r="E1047" s="81" t="s">
        <v>2376</v>
      </c>
      <c r="F1047" s="88"/>
      <c r="G1047" s="80">
        <v>2.349032614464E12</v>
      </c>
      <c r="H1047" s="89">
        <v>2000.0</v>
      </c>
      <c r="I1047" s="84">
        <v>0.0</v>
      </c>
      <c r="J1047" s="87" t="s">
        <v>121</v>
      </c>
      <c r="K1047" s="86"/>
      <c r="L1047" s="87" t="s">
        <v>2377</v>
      </c>
      <c r="M1047" s="6" t="s">
        <v>2378</v>
      </c>
    </row>
    <row r="1048">
      <c r="A1048" s="77"/>
      <c r="B1048" s="78">
        <v>0.64375</v>
      </c>
      <c r="C1048" s="79">
        <v>46150.0</v>
      </c>
      <c r="D1048" s="80" t="s">
        <v>2310</v>
      </c>
      <c r="E1048" s="81" t="s">
        <v>2379</v>
      </c>
      <c r="F1048" s="88"/>
      <c r="G1048" s="80">
        <v>2.349153417872E12</v>
      </c>
      <c r="H1048" s="89">
        <v>40000.0</v>
      </c>
      <c r="I1048" s="84">
        <v>40000.0</v>
      </c>
      <c r="J1048" s="87" t="s">
        <v>26</v>
      </c>
      <c r="K1048" s="86"/>
      <c r="L1048" s="87" t="s">
        <v>2380</v>
      </c>
    </row>
    <row r="1049">
      <c r="A1049" s="77"/>
      <c r="B1049" s="78">
        <v>0.6444444444444445</v>
      </c>
      <c r="C1049" s="79">
        <v>46150.0</v>
      </c>
      <c r="D1049" s="80" t="s">
        <v>2381</v>
      </c>
      <c r="E1049" s="81" t="s">
        <v>2382</v>
      </c>
      <c r="F1049" s="88"/>
      <c r="G1049" s="95" t="str">
        <f>IF(LEN(TRIM(D1049))=0,"",IFNA(VLOOKUP(UPPER(TRIM(D1049)),'CLIENT DIRECTORY'!A:B,2,FALSE),""))</f>
        <v/>
      </c>
      <c r="H1049" s="89">
        <v>5000.0</v>
      </c>
      <c r="I1049" s="84">
        <v>5000.0</v>
      </c>
      <c r="J1049" s="87" t="s">
        <v>26</v>
      </c>
      <c r="K1049" s="86"/>
      <c r="L1049" s="87" t="s">
        <v>2383</v>
      </c>
    </row>
    <row r="1050">
      <c r="A1050" s="77"/>
      <c r="B1050" s="78">
        <v>0.6583333333333333</v>
      </c>
      <c r="C1050" s="79">
        <v>46150.0</v>
      </c>
      <c r="D1050" s="80" t="s">
        <v>2384</v>
      </c>
      <c r="E1050" s="81" t="s">
        <v>2385</v>
      </c>
      <c r="F1050" s="94">
        <v>3.5746352673296E14</v>
      </c>
      <c r="G1050" s="80">
        <v>2.347053250105E12</v>
      </c>
      <c r="H1050" s="89">
        <v>240000.0</v>
      </c>
      <c r="I1050" s="84">
        <v>240000.0</v>
      </c>
      <c r="J1050" s="87" t="s">
        <v>26</v>
      </c>
      <c r="K1050" s="86"/>
      <c r="L1050" s="87" t="s">
        <v>2386</v>
      </c>
    </row>
    <row r="1051">
      <c r="A1051" s="77"/>
      <c r="B1051" s="90">
        <v>0.750948877313931</v>
      </c>
      <c r="C1051" s="91">
        <v>46150.0</v>
      </c>
      <c r="D1051" s="80" t="s">
        <v>78</v>
      </c>
      <c r="E1051" s="81" t="s">
        <v>2357</v>
      </c>
      <c r="F1051" s="88"/>
      <c r="G1051" s="80">
        <v>2.349166394378E12</v>
      </c>
      <c r="H1051" s="89">
        <v>2500.0</v>
      </c>
      <c r="I1051" s="84">
        <v>0.0</v>
      </c>
      <c r="J1051" s="87" t="s">
        <v>121</v>
      </c>
      <c r="K1051" s="86"/>
      <c r="L1051" s="87" t="s">
        <v>2387</v>
      </c>
    </row>
    <row r="1052">
      <c r="A1052" s="77"/>
      <c r="B1052" s="78">
        <v>0.8736111111111111</v>
      </c>
      <c r="C1052" s="79">
        <v>46150.0</v>
      </c>
      <c r="D1052" s="80" t="s">
        <v>108</v>
      </c>
      <c r="E1052" s="81" t="s">
        <v>2388</v>
      </c>
      <c r="F1052" s="88"/>
      <c r="G1052" s="80">
        <v>2.348038551439E12</v>
      </c>
      <c r="H1052" s="89">
        <v>500000.0</v>
      </c>
      <c r="I1052" s="84">
        <v>268500.0</v>
      </c>
      <c r="J1052" s="87" t="s">
        <v>481</v>
      </c>
      <c r="K1052" s="86"/>
      <c r="L1052" s="87" t="s">
        <v>2389</v>
      </c>
    </row>
    <row r="1053">
      <c r="A1053" s="77"/>
      <c r="B1053" s="78">
        <v>0.9006944444444445</v>
      </c>
      <c r="C1053" s="79">
        <v>46150.0</v>
      </c>
      <c r="D1053" s="80" t="s">
        <v>2390</v>
      </c>
      <c r="E1053" s="81" t="s">
        <v>1880</v>
      </c>
      <c r="F1053" s="88"/>
      <c r="G1053" s="80">
        <v>2.349038212715E12</v>
      </c>
      <c r="H1053" s="89">
        <v>5000.0</v>
      </c>
      <c r="I1053" s="84">
        <v>5000.0</v>
      </c>
      <c r="J1053" s="87" t="s">
        <v>26</v>
      </c>
      <c r="K1053" s="86"/>
      <c r="L1053" s="87" t="s">
        <v>2391</v>
      </c>
      <c r="N1053" s="6" t="s">
        <v>2392</v>
      </c>
      <c r="O1053" s="6"/>
      <c r="P1053" s="6"/>
      <c r="Q1053" s="6"/>
      <c r="R1053" s="6"/>
    </row>
    <row r="1054">
      <c r="A1054" s="77"/>
      <c r="B1054" s="92"/>
      <c r="C1054" s="93"/>
      <c r="D1054" s="95"/>
      <c r="E1054" s="96"/>
      <c r="F1054" s="88"/>
      <c r="G1054" s="95" t="str">
        <f>IF(LEN(TRIM(D1054))=0,"",IFNA(VLOOKUP(UPPER(TRIM(D1054)),'CLIENT DIRECTORY'!A:B,2,FALSE),""))</f>
        <v/>
      </c>
      <c r="H1054" s="98"/>
      <c r="I1054" s="97"/>
      <c r="J1054" s="86"/>
      <c r="K1054" s="86"/>
      <c r="L1054" s="87" t="s">
        <v>2393</v>
      </c>
    </row>
    <row r="1055">
      <c r="A1055" s="77"/>
      <c r="B1055" s="92"/>
      <c r="C1055" s="93"/>
      <c r="D1055" s="95"/>
      <c r="E1055" s="96"/>
      <c r="F1055" s="88"/>
      <c r="G1055" s="95" t="str">
        <f>IF(LEN(TRIM(D1055))=0,"",IFNA(VLOOKUP(UPPER(TRIM(D1055)),'CLIENT DIRECTORY'!A:B,2,FALSE),""))</f>
        <v/>
      </c>
      <c r="H1055" s="98"/>
      <c r="I1055" s="97"/>
      <c r="J1055" s="86"/>
      <c r="K1055" s="86"/>
      <c r="L1055" s="87" t="s">
        <v>2394</v>
      </c>
    </row>
    <row r="1056">
      <c r="A1056" s="77"/>
      <c r="B1056" s="92"/>
      <c r="C1056" s="93"/>
      <c r="D1056" s="95"/>
      <c r="E1056" s="96"/>
      <c r="F1056" s="88"/>
      <c r="G1056" s="95" t="str">
        <f>IF(LEN(TRIM(D1056))=0,"",IFNA(VLOOKUP(UPPER(TRIM(D1056)),'CLIENT DIRECTORY'!A:B,2,FALSE),""))</f>
        <v/>
      </c>
      <c r="H1056" s="98"/>
      <c r="I1056" s="97"/>
      <c r="J1056" s="86"/>
      <c r="K1056" s="86"/>
      <c r="L1056" s="87" t="s">
        <v>2395</v>
      </c>
    </row>
    <row r="1057">
      <c r="A1057" s="77"/>
      <c r="B1057" s="78">
        <v>0.43472222222222223</v>
      </c>
      <c r="C1057" s="79">
        <v>46151.0</v>
      </c>
      <c r="D1057" s="80" t="s">
        <v>984</v>
      </c>
      <c r="E1057" s="81" t="s">
        <v>2396</v>
      </c>
      <c r="F1057" s="94">
        <v>3.53407178571469E14</v>
      </c>
      <c r="G1057" s="80">
        <v>2.348144970435E12</v>
      </c>
      <c r="H1057" s="89">
        <v>1620000.0</v>
      </c>
      <c r="I1057" s="84">
        <v>0.0</v>
      </c>
      <c r="J1057" s="87" t="s">
        <v>103</v>
      </c>
      <c r="K1057" s="86"/>
      <c r="L1057" s="87" t="s">
        <v>2397</v>
      </c>
    </row>
    <row r="1058">
      <c r="A1058" s="77"/>
      <c r="B1058" s="78">
        <v>0.4354166666666667</v>
      </c>
      <c r="C1058" s="79">
        <v>46151.0</v>
      </c>
      <c r="D1058" s="80" t="s">
        <v>97</v>
      </c>
      <c r="E1058" s="81" t="s">
        <v>2398</v>
      </c>
      <c r="F1058" s="88"/>
      <c r="G1058" s="80">
        <v>2.348103663581E12</v>
      </c>
      <c r="H1058" s="89">
        <v>3000.0</v>
      </c>
      <c r="I1058" s="84">
        <v>0.0</v>
      </c>
      <c r="J1058" s="87" t="s">
        <v>121</v>
      </c>
      <c r="K1058" s="86"/>
      <c r="L1058" s="87" t="s">
        <v>2399</v>
      </c>
    </row>
    <row r="1059">
      <c r="A1059" s="77"/>
      <c r="B1059" s="78">
        <v>0.4652777777777778</v>
      </c>
      <c r="C1059" s="79">
        <v>46151.0</v>
      </c>
      <c r="D1059" s="80" t="s">
        <v>54</v>
      </c>
      <c r="E1059" s="81" t="s">
        <v>1815</v>
      </c>
      <c r="F1059" s="94">
        <v>3.54741550229463E14</v>
      </c>
      <c r="G1059" s="80">
        <v>2.349033724061E12</v>
      </c>
      <c r="H1059" s="89">
        <v>350000.0</v>
      </c>
      <c r="I1059" s="84">
        <v>0.0</v>
      </c>
      <c r="J1059" s="87" t="s">
        <v>121</v>
      </c>
      <c r="K1059" s="86"/>
      <c r="L1059" s="87" t="s">
        <v>2400</v>
      </c>
    </row>
    <row r="1060">
      <c r="A1060" s="77"/>
      <c r="B1060" s="78">
        <v>0.4708333333333333</v>
      </c>
      <c r="C1060" s="79">
        <v>46151.0</v>
      </c>
      <c r="D1060" s="80" t="s">
        <v>54</v>
      </c>
      <c r="E1060" s="81" t="s">
        <v>1094</v>
      </c>
      <c r="F1060" s="88"/>
      <c r="G1060" s="80">
        <v>2.349033724061E12</v>
      </c>
      <c r="H1060" s="89">
        <v>10000.0</v>
      </c>
      <c r="I1060" s="84">
        <v>0.0</v>
      </c>
      <c r="J1060" s="87" t="s">
        <v>121</v>
      </c>
      <c r="K1060" s="86"/>
      <c r="L1060" s="87" t="s">
        <v>2401</v>
      </c>
      <c r="N1060" s="6" t="s">
        <v>2402</v>
      </c>
      <c r="O1060" s="6"/>
      <c r="P1060" s="6"/>
      <c r="Q1060" s="6"/>
      <c r="R1060" s="6"/>
    </row>
    <row r="1061">
      <c r="A1061" s="77"/>
      <c r="B1061" s="78">
        <v>0.5</v>
      </c>
      <c r="C1061" s="79">
        <v>46151.0</v>
      </c>
      <c r="D1061" s="80" t="s">
        <v>1597</v>
      </c>
      <c r="E1061" s="81" t="s">
        <v>2039</v>
      </c>
      <c r="F1061" s="88"/>
      <c r="G1061" s="80">
        <v>2.348141375361E12</v>
      </c>
      <c r="H1061" s="89">
        <v>2500.0</v>
      </c>
      <c r="I1061" s="84">
        <v>2500.0</v>
      </c>
      <c r="J1061" s="99" t="s">
        <v>26</v>
      </c>
      <c r="K1061" s="86"/>
      <c r="L1061" s="87" t="s">
        <v>2403</v>
      </c>
    </row>
    <row r="1062">
      <c r="A1062" s="77"/>
      <c r="B1062" s="78">
        <v>0.5381944444444444</v>
      </c>
      <c r="C1062" s="79">
        <v>46151.0</v>
      </c>
      <c r="D1062" s="80" t="s">
        <v>408</v>
      </c>
      <c r="E1062" s="81" t="s">
        <v>2089</v>
      </c>
      <c r="F1062" s="94">
        <v>3.51829319886468E14</v>
      </c>
      <c r="G1062" s="80">
        <v>2.348037624066E12</v>
      </c>
      <c r="H1062" s="89">
        <v>820000.0</v>
      </c>
      <c r="I1062" s="84">
        <v>820000.0</v>
      </c>
      <c r="J1062" s="100" t="s">
        <v>26</v>
      </c>
      <c r="K1062" s="86"/>
      <c r="L1062" s="87" t="s">
        <v>2404</v>
      </c>
    </row>
    <row r="1063">
      <c r="A1063" s="77"/>
      <c r="B1063" s="78">
        <v>0.5423611111111111</v>
      </c>
      <c r="C1063" s="79">
        <v>46151.0</v>
      </c>
      <c r="D1063" s="80" t="s">
        <v>1597</v>
      </c>
      <c r="E1063" s="81" t="s">
        <v>2405</v>
      </c>
      <c r="F1063" s="88"/>
      <c r="G1063" s="80">
        <v>2.348141375361E12</v>
      </c>
      <c r="H1063" s="89">
        <v>2500.0</v>
      </c>
      <c r="I1063" s="84">
        <v>2500.0</v>
      </c>
      <c r="J1063" s="87" t="s">
        <v>26</v>
      </c>
      <c r="K1063" s="86"/>
      <c r="L1063" s="87" t="s">
        <v>2406</v>
      </c>
    </row>
    <row r="1064">
      <c r="A1064" s="77"/>
      <c r="B1064" s="78">
        <v>0.5458333333333333</v>
      </c>
      <c r="C1064" s="79">
        <v>46151.0</v>
      </c>
      <c r="D1064" s="80" t="s">
        <v>70</v>
      </c>
      <c r="E1064" s="81" t="s">
        <v>2407</v>
      </c>
      <c r="F1064" s="88"/>
      <c r="G1064" s="80">
        <v>2.348137676322E12</v>
      </c>
      <c r="H1064" s="89">
        <v>2500.0</v>
      </c>
      <c r="I1064" s="84">
        <v>0.0</v>
      </c>
      <c r="J1064" s="87" t="s">
        <v>121</v>
      </c>
      <c r="K1064" s="86"/>
      <c r="L1064" s="87" t="s">
        <v>2408</v>
      </c>
    </row>
    <row r="1065">
      <c r="A1065" s="77"/>
      <c r="B1065" s="78">
        <v>0.5625</v>
      </c>
      <c r="C1065" s="79">
        <v>46151.0</v>
      </c>
      <c r="D1065" s="80" t="s">
        <v>442</v>
      </c>
      <c r="E1065" s="81" t="s">
        <v>2409</v>
      </c>
      <c r="F1065" s="88"/>
      <c r="G1065" s="80">
        <v>2.347067612418E12</v>
      </c>
      <c r="H1065" s="89">
        <v>2500.0</v>
      </c>
      <c r="I1065" s="84">
        <v>0.0</v>
      </c>
      <c r="J1065" s="87" t="s">
        <v>121</v>
      </c>
      <c r="K1065" s="86"/>
      <c r="L1065" s="87" t="s">
        <v>2410</v>
      </c>
    </row>
    <row r="1066">
      <c r="A1066" s="77"/>
      <c r="B1066" s="78">
        <v>0.6076388888888888</v>
      </c>
      <c r="C1066" s="79">
        <v>46151.0</v>
      </c>
      <c r="D1066" s="80" t="s">
        <v>2411</v>
      </c>
      <c r="E1066" s="81" t="s">
        <v>2412</v>
      </c>
      <c r="F1066" s="88"/>
      <c r="G1066" s="80">
        <v>2.347025790985E12</v>
      </c>
      <c r="H1066" s="89">
        <v>28000.0</v>
      </c>
      <c r="I1066" s="84">
        <v>0.0</v>
      </c>
      <c r="J1066" s="87" t="s">
        <v>121</v>
      </c>
      <c r="K1066" s="86"/>
      <c r="L1066" s="87" t="s">
        <v>2413</v>
      </c>
    </row>
    <row r="1067">
      <c r="A1067" s="77"/>
      <c r="B1067" s="78">
        <v>0.6583333333333333</v>
      </c>
      <c r="C1067" s="79">
        <v>46151.0</v>
      </c>
      <c r="D1067" s="80" t="s">
        <v>54</v>
      </c>
      <c r="E1067" s="81" t="s">
        <v>2414</v>
      </c>
      <c r="F1067" s="88"/>
      <c r="G1067" s="80">
        <v>2.349033724061E12</v>
      </c>
      <c r="H1067" s="89">
        <v>2500.0</v>
      </c>
      <c r="I1067" s="84">
        <v>0.0</v>
      </c>
      <c r="J1067" s="87" t="s">
        <v>121</v>
      </c>
      <c r="K1067" s="86"/>
      <c r="L1067" s="87" t="s">
        <v>2415</v>
      </c>
    </row>
    <row r="1068">
      <c r="A1068" s="77"/>
      <c r="B1068" s="78">
        <v>0.6784722222222223</v>
      </c>
      <c r="C1068" s="79">
        <v>46151.0</v>
      </c>
      <c r="D1068" s="80" t="s">
        <v>70</v>
      </c>
      <c r="E1068" s="81" t="s">
        <v>2416</v>
      </c>
      <c r="F1068" s="88"/>
      <c r="G1068" s="80">
        <v>2.348137676322E12</v>
      </c>
      <c r="H1068" s="89">
        <v>2500.0</v>
      </c>
      <c r="I1068" s="84">
        <v>0.0</v>
      </c>
      <c r="J1068" s="87" t="s">
        <v>121</v>
      </c>
      <c r="K1068" s="86"/>
      <c r="L1068" s="87" t="s">
        <v>2417</v>
      </c>
    </row>
    <row r="1069">
      <c r="A1069" s="77"/>
      <c r="B1069" s="78">
        <v>0.44583333333333336</v>
      </c>
      <c r="C1069" s="79">
        <v>46153.0</v>
      </c>
      <c r="D1069" s="80" t="s">
        <v>212</v>
      </c>
      <c r="E1069" s="81" t="s">
        <v>2418</v>
      </c>
      <c r="F1069" s="88"/>
      <c r="G1069" s="80">
        <v>2.349075624207E12</v>
      </c>
      <c r="H1069" s="89">
        <v>5000.0</v>
      </c>
      <c r="I1069" s="84">
        <v>5000.0</v>
      </c>
      <c r="J1069" s="87" t="s">
        <v>26</v>
      </c>
      <c r="K1069" s="86"/>
      <c r="L1069" s="87" t="s">
        <v>2419</v>
      </c>
      <c r="O1069" s="101">
        <v>46153.0</v>
      </c>
      <c r="P1069" s="6">
        <v>0.0</v>
      </c>
      <c r="Q1069" s="6" t="s">
        <v>2418</v>
      </c>
      <c r="R1069" s="6">
        <v>5000.0</v>
      </c>
    </row>
    <row r="1070">
      <c r="A1070" s="77"/>
      <c r="B1070" s="78">
        <v>0.4597222222222222</v>
      </c>
      <c r="C1070" s="79">
        <v>46153.0</v>
      </c>
      <c r="D1070" s="80" t="s">
        <v>89</v>
      </c>
      <c r="E1070" s="81" t="s">
        <v>1972</v>
      </c>
      <c r="F1070" s="88"/>
      <c r="G1070" s="80">
        <v>2.349040943517E12</v>
      </c>
      <c r="H1070" s="89">
        <v>3000.0</v>
      </c>
      <c r="I1070" s="84">
        <v>0.0</v>
      </c>
      <c r="J1070" s="87" t="s">
        <v>121</v>
      </c>
      <c r="K1070" s="86"/>
      <c r="L1070" s="87" t="s">
        <v>2420</v>
      </c>
      <c r="P1070" s="6">
        <v>0.0</v>
      </c>
      <c r="R1070" s="6">
        <v>0.0</v>
      </c>
    </row>
    <row r="1071">
      <c r="A1071" s="77"/>
      <c r="B1071" s="78">
        <v>0.48680555555555555</v>
      </c>
      <c r="C1071" s="79">
        <v>46153.0</v>
      </c>
      <c r="D1071" s="80" t="s">
        <v>306</v>
      </c>
      <c r="E1071" s="81" t="s">
        <v>2421</v>
      </c>
      <c r="F1071" s="88"/>
      <c r="G1071" s="80">
        <v>2.349063620334E12</v>
      </c>
      <c r="H1071" s="89">
        <v>600000.0</v>
      </c>
      <c r="I1071" s="84">
        <v>0.0</v>
      </c>
      <c r="J1071" s="87" t="s">
        <v>121</v>
      </c>
      <c r="K1071" s="86"/>
      <c r="L1071" s="87" t="s">
        <v>2422</v>
      </c>
      <c r="P1071" s="6">
        <v>600000.0</v>
      </c>
      <c r="Q1071" s="6">
        <v>600000.0</v>
      </c>
      <c r="R1071" s="6">
        <v>0.0</v>
      </c>
    </row>
    <row r="1072">
      <c r="A1072" s="77"/>
      <c r="B1072" s="78">
        <v>0.5</v>
      </c>
      <c r="C1072" s="79">
        <v>46153.0</v>
      </c>
      <c r="D1072" s="80" t="s">
        <v>2423</v>
      </c>
      <c r="E1072" s="81" t="s">
        <v>2367</v>
      </c>
      <c r="F1072" s="88"/>
      <c r="G1072" s="80">
        <v>2.348105251875E12</v>
      </c>
      <c r="H1072" s="89">
        <v>5000.0</v>
      </c>
      <c r="I1072" s="84">
        <v>5000.0</v>
      </c>
      <c r="J1072" s="87" t="s">
        <v>26</v>
      </c>
      <c r="K1072" s="86"/>
      <c r="L1072" s="87" t="s">
        <v>2424</v>
      </c>
      <c r="N1072" s="6" t="s">
        <v>2425</v>
      </c>
      <c r="O1072" s="102">
        <v>46153.500215201144</v>
      </c>
      <c r="P1072" s="6">
        <v>0.0</v>
      </c>
      <c r="Q1072" s="6" t="s">
        <v>2425</v>
      </c>
      <c r="R1072" s="6">
        <v>5000.0</v>
      </c>
    </row>
    <row r="1073">
      <c r="A1073" s="77"/>
      <c r="B1073" s="78">
        <v>0.5270833333333333</v>
      </c>
      <c r="C1073" s="79">
        <v>46153.0</v>
      </c>
      <c r="D1073" s="80" t="s">
        <v>1657</v>
      </c>
      <c r="E1073" s="81" t="s">
        <v>2426</v>
      </c>
      <c r="F1073" s="94">
        <v>3.55818455602793E14</v>
      </c>
      <c r="G1073" s="80">
        <v>2.348142735624E12</v>
      </c>
      <c r="H1073" s="89">
        <v>380000.0</v>
      </c>
      <c r="I1073" s="84">
        <v>0.0</v>
      </c>
      <c r="J1073" s="87" t="s">
        <v>103</v>
      </c>
      <c r="K1073" s="86"/>
      <c r="L1073" s="87" t="s">
        <v>2427</v>
      </c>
      <c r="P1073" s="6">
        <v>0.0</v>
      </c>
      <c r="R1073" s="6">
        <v>0.0</v>
      </c>
    </row>
    <row r="1074">
      <c r="A1074" s="77"/>
      <c r="B1074" s="78">
        <v>0.5534722222222223</v>
      </c>
      <c r="C1074" s="79">
        <v>46153.0</v>
      </c>
      <c r="D1074" s="80" t="s">
        <v>2428</v>
      </c>
      <c r="E1074" s="81" t="s">
        <v>2367</v>
      </c>
      <c r="F1074" s="88"/>
      <c r="G1074" s="80">
        <v>2.348138306902E12</v>
      </c>
      <c r="H1074" s="89">
        <v>3000.0</v>
      </c>
      <c r="I1074" s="84">
        <v>3000.0</v>
      </c>
      <c r="J1074" s="87" t="s">
        <v>26</v>
      </c>
      <c r="K1074" s="86"/>
      <c r="L1074" s="87" t="s">
        <v>2429</v>
      </c>
      <c r="N1074" s="6" t="s">
        <v>2430</v>
      </c>
      <c r="O1074" s="102">
        <v>46153.553759104594</v>
      </c>
      <c r="P1074" s="6">
        <v>0.0</v>
      </c>
      <c r="Q1074" s="6" t="s">
        <v>2430</v>
      </c>
      <c r="R1074" s="6">
        <v>3000.0</v>
      </c>
    </row>
    <row r="1075">
      <c r="A1075" s="77"/>
      <c r="B1075" s="78">
        <v>0.5930555555555556</v>
      </c>
      <c r="C1075" s="79">
        <v>46153.0</v>
      </c>
      <c r="D1075" s="80" t="s">
        <v>2431</v>
      </c>
      <c r="E1075" s="81" t="s">
        <v>2089</v>
      </c>
      <c r="F1075" s="94">
        <v>3.53718462738667E14</v>
      </c>
      <c r="G1075" s="80">
        <v>2.348162302777E12</v>
      </c>
      <c r="H1075" s="89">
        <v>800000.0</v>
      </c>
      <c r="I1075" s="84">
        <v>350000.0</v>
      </c>
      <c r="J1075" s="87" t="s">
        <v>481</v>
      </c>
      <c r="K1075" s="86"/>
      <c r="L1075" s="87" t="s">
        <v>2432</v>
      </c>
      <c r="P1075" s="6">
        <v>0.0</v>
      </c>
      <c r="R1075" s="6">
        <v>0.0</v>
      </c>
    </row>
    <row r="1076">
      <c r="A1076" s="77"/>
      <c r="B1076" s="78">
        <v>0.64375</v>
      </c>
      <c r="C1076" s="79">
        <v>46153.0</v>
      </c>
      <c r="D1076" s="80" t="s">
        <v>2433</v>
      </c>
      <c r="E1076" s="81" t="s">
        <v>2434</v>
      </c>
      <c r="F1076" s="88"/>
      <c r="G1076" s="80">
        <v>2.349160254317E12</v>
      </c>
      <c r="H1076" s="89">
        <v>2500.0</v>
      </c>
      <c r="I1076" s="84">
        <v>0.0</v>
      </c>
      <c r="J1076" s="87" t="s">
        <v>121</v>
      </c>
      <c r="K1076" s="86"/>
      <c r="L1076" s="87" t="s">
        <v>2435</v>
      </c>
      <c r="P1076" s="6">
        <v>0.0</v>
      </c>
      <c r="R1076" s="6">
        <v>0.0</v>
      </c>
    </row>
    <row r="1077">
      <c r="A1077" s="77"/>
      <c r="B1077" s="78">
        <v>0.6631944444444444</v>
      </c>
      <c r="C1077" s="79">
        <v>46153.0</v>
      </c>
      <c r="D1077" s="80" t="s">
        <v>2265</v>
      </c>
      <c r="E1077" s="81" t="s">
        <v>2436</v>
      </c>
      <c r="F1077" s="88"/>
      <c r="G1077" s="80">
        <v>2.347059966105E12</v>
      </c>
      <c r="H1077" s="89">
        <v>2500.0</v>
      </c>
      <c r="I1077" s="84">
        <v>2500.0</v>
      </c>
      <c r="J1077" s="87" t="s">
        <v>26</v>
      </c>
      <c r="K1077" s="86"/>
      <c r="L1077" s="87" t="s">
        <v>2437</v>
      </c>
      <c r="O1077" s="101">
        <v>46153.0</v>
      </c>
      <c r="P1077" s="6">
        <v>0.0</v>
      </c>
      <c r="Q1077" s="6" t="s">
        <v>2436</v>
      </c>
      <c r="R1077" s="6">
        <v>2500.0</v>
      </c>
    </row>
    <row r="1078">
      <c r="A1078" s="77"/>
      <c r="B1078" s="90">
        <v>0.761753171296732</v>
      </c>
      <c r="C1078" s="91">
        <v>46153.0</v>
      </c>
      <c r="D1078" s="80" t="s">
        <v>1691</v>
      </c>
      <c r="E1078" s="81" t="s">
        <v>1987</v>
      </c>
      <c r="F1078" s="88"/>
      <c r="G1078" s="95" t="str">
        <f>IF(LEN(TRIM(D1078))=0,"",IFNA(VLOOKUP(UPPER(TRIM(D1078)),'CLIENT DIRECTORY'!A:B,2,FALSE),""))</f>
        <v>2348145310779</v>
      </c>
      <c r="H1078" s="89">
        <v>2500.0</v>
      </c>
      <c r="I1078" s="97"/>
      <c r="J1078" s="87" t="s">
        <v>121</v>
      </c>
      <c r="K1078" s="86"/>
      <c r="L1078" s="87" t="s">
        <v>2438</v>
      </c>
    </row>
    <row r="1079">
      <c r="A1079" s="77"/>
      <c r="B1079" s="90">
        <v>0.5311201157455798</v>
      </c>
      <c r="C1079" s="91">
        <v>46154.0</v>
      </c>
      <c r="D1079" s="80" t="s">
        <v>78</v>
      </c>
      <c r="E1079" s="81" t="s">
        <v>2414</v>
      </c>
      <c r="F1079" s="88"/>
      <c r="G1079" s="95" t="str">
        <f>IF(LEN(TRIM(D1079))=0,"",IFNA(VLOOKUP(UPPER(TRIM(D1079)),'CLIENT DIRECTORY'!A:B,2,FALSE),""))</f>
        <v>2349166394378</v>
      </c>
      <c r="H1079" s="89">
        <v>2500.0</v>
      </c>
      <c r="I1079" s="97"/>
      <c r="J1079" s="87" t="s">
        <v>121</v>
      </c>
      <c r="K1079" s="86"/>
      <c r="L1079" s="87" t="s">
        <v>2439</v>
      </c>
    </row>
    <row r="1080">
      <c r="A1080" s="77"/>
      <c r="B1080" s="90">
        <v>0.4518139930587495</v>
      </c>
      <c r="C1080" s="91">
        <v>46154.0</v>
      </c>
      <c r="D1080" s="80" t="s">
        <v>2440</v>
      </c>
      <c r="E1080" s="81" t="s">
        <v>2266</v>
      </c>
      <c r="F1080" s="88"/>
      <c r="G1080" s="80">
        <v>2.347025790985E12</v>
      </c>
      <c r="H1080" s="89">
        <v>2500.0</v>
      </c>
      <c r="I1080" s="97"/>
      <c r="J1080" s="87" t="s">
        <v>121</v>
      </c>
      <c r="K1080" s="86"/>
      <c r="L1080" s="87" t="s">
        <v>2441</v>
      </c>
    </row>
    <row r="1081">
      <c r="A1081" s="77"/>
      <c r="B1081" s="90">
        <v>0.45240642361022765</v>
      </c>
      <c r="C1081" s="91">
        <v>46154.0</v>
      </c>
      <c r="D1081" s="80" t="s">
        <v>1624</v>
      </c>
      <c r="E1081" s="81" t="s">
        <v>2442</v>
      </c>
      <c r="F1081" s="103" t="s">
        <v>2443</v>
      </c>
      <c r="G1081" s="95" t="str">
        <f>IF(LEN(TRIM(D1081))=0,"",IFNA(VLOOKUP(UPPER(TRIM(D1081)),'CLIENT DIRECTORY'!A:B,2,FALSE),""))</f>
        <v>2349066027066</v>
      </c>
      <c r="H1081" s="89">
        <v>500000.0</v>
      </c>
      <c r="I1081" s="84">
        <v>500000.0</v>
      </c>
      <c r="J1081" s="87" t="s">
        <v>26</v>
      </c>
      <c r="K1081" s="86"/>
      <c r="L1081" s="87" t="s">
        <v>2444</v>
      </c>
    </row>
    <row r="1082">
      <c r="A1082" s="77"/>
      <c r="B1082" s="90">
        <v>0.4810208564813365</v>
      </c>
      <c r="C1082" s="91">
        <v>46154.0</v>
      </c>
      <c r="D1082" s="80" t="s">
        <v>1624</v>
      </c>
      <c r="E1082" s="81" t="s">
        <v>2414</v>
      </c>
      <c r="F1082" s="88"/>
      <c r="G1082" s="95" t="str">
        <f>IF(LEN(TRIM(D1082))=0,"",IFNA(VLOOKUP(UPPER(TRIM(D1082)),'CLIENT DIRECTORY'!A:B,2,FALSE),""))</f>
        <v>2349066027066</v>
      </c>
      <c r="H1082" s="89">
        <v>2500.0</v>
      </c>
      <c r="I1082" s="97"/>
      <c r="J1082" s="87" t="s">
        <v>121</v>
      </c>
      <c r="K1082" s="86"/>
      <c r="L1082" s="87" t="s">
        <v>2445</v>
      </c>
    </row>
    <row r="1083">
      <c r="A1083" s="77"/>
      <c r="B1083" s="90">
        <v>0.5245021990704117</v>
      </c>
      <c r="C1083" s="91">
        <v>46154.0</v>
      </c>
      <c r="D1083" s="80" t="s">
        <v>221</v>
      </c>
      <c r="E1083" s="81" t="s">
        <v>2446</v>
      </c>
      <c r="F1083" s="94">
        <v>3.50032730355095E14</v>
      </c>
      <c r="G1083" s="95" t="str">
        <f>IF(LEN(TRIM(D1083))=0,"",IFNA(VLOOKUP(UPPER(TRIM(D1083)),'CLIENT DIRECTORY'!A:B,2,FALSE),""))</f>
        <v>2348137226383</v>
      </c>
      <c r="H1083" s="89">
        <v>440000.0</v>
      </c>
      <c r="I1083" s="97"/>
      <c r="J1083" s="87" t="s">
        <v>121</v>
      </c>
      <c r="K1083" s="86"/>
      <c r="L1083" s="87" t="s">
        <v>2447</v>
      </c>
    </row>
    <row r="1084">
      <c r="A1084" s="77"/>
      <c r="B1084" s="90">
        <v>0.5694431481533684</v>
      </c>
      <c r="C1084" s="91">
        <v>46154.0</v>
      </c>
      <c r="D1084" s="80" t="s">
        <v>2448</v>
      </c>
      <c r="E1084" s="81" t="s">
        <v>2449</v>
      </c>
      <c r="F1084" s="88"/>
      <c r="G1084" s="95">
        <f>2349073401417</f>
        <v>2349073401417</v>
      </c>
      <c r="H1084" s="89">
        <v>10000.0</v>
      </c>
      <c r="I1084" s="84">
        <v>10000.0</v>
      </c>
      <c r="J1084" s="87" t="s">
        <v>26</v>
      </c>
      <c r="K1084" s="86"/>
      <c r="L1084" s="87" t="s">
        <v>2450</v>
      </c>
    </row>
    <row r="1085">
      <c r="A1085" s="77"/>
      <c r="B1085" s="90">
        <v>0.5932845023198752</v>
      </c>
      <c r="C1085" s="91">
        <v>46154.0</v>
      </c>
      <c r="D1085" s="80" t="s">
        <v>70</v>
      </c>
      <c r="E1085" s="81" t="s">
        <v>2451</v>
      </c>
      <c r="F1085" s="88"/>
      <c r="G1085" s="95" t="str">
        <f>IF(LEN(TRIM(D1085))=0,"",IFNA(VLOOKUP(UPPER(TRIM(D1085)),'CLIENT DIRECTORY'!A:B,2,FALSE),""))</f>
        <v>2348137676322</v>
      </c>
      <c r="H1085" s="89">
        <v>2500.0</v>
      </c>
      <c r="I1085" s="97"/>
      <c r="J1085" s="87" t="s">
        <v>121</v>
      </c>
      <c r="K1085" s="86"/>
      <c r="L1085" s="87" t="s">
        <v>2452</v>
      </c>
    </row>
    <row r="1086">
      <c r="A1086" s="77"/>
      <c r="B1086" s="90">
        <v>0.5961497222233447</v>
      </c>
      <c r="C1086" s="91">
        <v>46154.0</v>
      </c>
      <c r="D1086" s="80" t="s">
        <v>2453</v>
      </c>
      <c r="E1086" s="81" t="s">
        <v>2454</v>
      </c>
      <c r="F1086" s="88"/>
      <c r="G1086" s="80">
        <v>2.349137786174E12</v>
      </c>
      <c r="H1086" s="89">
        <v>10000.0</v>
      </c>
      <c r="I1086" s="84">
        <v>10000.0</v>
      </c>
      <c r="J1086" s="87" t="s">
        <v>26</v>
      </c>
      <c r="K1086" s="86"/>
      <c r="L1086" s="87" t="s">
        <v>2455</v>
      </c>
    </row>
    <row r="1087">
      <c r="A1087" s="77"/>
      <c r="B1087" s="90">
        <v>0.6337300347222481</v>
      </c>
      <c r="C1087" s="91">
        <v>46154.0</v>
      </c>
      <c r="D1087" s="80" t="s">
        <v>2456</v>
      </c>
      <c r="E1087" s="81" t="s">
        <v>2457</v>
      </c>
      <c r="F1087" s="88"/>
      <c r="G1087" s="80">
        <v>2.34813588852E12</v>
      </c>
      <c r="H1087" s="89">
        <v>2500.0</v>
      </c>
      <c r="I1087" s="97"/>
      <c r="J1087" s="87" t="s">
        <v>121</v>
      </c>
      <c r="K1087" s="86"/>
      <c r="L1087" s="87" t="s">
        <v>2458</v>
      </c>
    </row>
    <row r="1088">
      <c r="A1088" s="77"/>
      <c r="B1088" s="90">
        <v>0.641140925930813</v>
      </c>
      <c r="C1088" s="91">
        <v>46154.0</v>
      </c>
      <c r="D1088" s="80" t="s">
        <v>60</v>
      </c>
      <c r="E1088" s="81" t="s">
        <v>2459</v>
      </c>
      <c r="F1088" s="88"/>
      <c r="G1088" s="95" t="str">
        <f>IF(LEN(TRIM(D1088))=0,"",IFNA(VLOOKUP(UPPER(TRIM(D1088)),'CLIENT DIRECTORY'!A:B,2,FALSE),""))</f>
        <v>2348130793960</v>
      </c>
      <c r="H1088" s="89">
        <v>2500.0</v>
      </c>
      <c r="I1088" s="97"/>
      <c r="J1088" s="87" t="s">
        <v>121</v>
      </c>
      <c r="K1088" s="86"/>
      <c r="L1088" s="87" t="s">
        <v>2460</v>
      </c>
    </row>
    <row r="1089">
      <c r="A1089" s="77"/>
      <c r="B1089" s="90">
        <v>0.691791932869819</v>
      </c>
      <c r="C1089" s="91">
        <v>46154.0</v>
      </c>
      <c r="D1089" s="80" t="s">
        <v>2461</v>
      </c>
      <c r="E1089" s="81" t="s">
        <v>2367</v>
      </c>
      <c r="F1089" s="88"/>
      <c r="G1089" s="80" t="s">
        <v>2462</v>
      </c>
      <c r="H1089" s="89">
        <v>5000.0</v>
      </c>
      <c r="I1089" s="97"/>
      <c r="J1089" s="87" t="s">
        <v>121</v>
      </c>
      <c r="K1089" s="86"/>
      <c r="L1089" s="87" t="s">
        <v>2463</v>
      </c>
    </row>
    <row r="1090">
      <c r="A1090" s="77"/>
      <c r="B1090" s="90">
        <v>0.6923308912082575</v>
      </c>
      <c r="C1090" s="91">
        <v>46154.0</v>
      </c>
      <c r="D1090" s="80" t="s">
        <v>2464</v>
      </c>
      <c r="E1090" s="81" t="s">
        <v>2367</v>
      </c>
      <c r="F1090" s="88"/>
      <c r="G1090" s="95">
        <f>2348112324279</f>
        <v>2348112324279</v>
      </c>
      <c r="H1090" s="89">
        <v>5000.0</v>
      </c>
      <c r="I1090" s="84">
        <v>5000.0</v>
      </c>
      <c r="J1090" s="87" t="s">
        <v>26</v>
      </c>
      <c r="K1090" s="86"/>
      <c r="L1090" s="87" t="s">
        <v>2465</v>
      </c>
    </row>
    <row r="1091">
      <c r="A1091" s="77"/>
      <c r="B1091" s="90">
        <v>0.7266126041649841</v>
      </c>
      <c r="C1091" s="91">
        <v>46154.0</v>
      </c>
      <c r="D1091" s="80" t="s">
        <v>2466</v>
      </c>
      <c r="E1091" s="81" t="s">
        <v>2467</v>
      </c>
      <c r="F1091" s="88"/>
      <c r="G1091" s="95">
        <f>2348106081752</f>
        <v>2348106081752</v>
      </c>
      <c r="H1091" s="89">
        <v>50000.0</v>
      </c>
      <c r="I1091" s="97"/>
      <c r="J1091" s="87" t="s">
        <v>121</v>
      </c>
      <c r="K1091" s="86"/>
      <c r="L1091" s="86"/>
    </row>
    <row r="1092">
      <c r="A1092" s="77"/>
      <c r="B1092" s="90">
        <v>0.7291799999948125</v>
      </c>
      <c r="C1092" s="91">
        <v>46154.0</v>
      </c>
      <c r="D1092" s="80" t="s">
        <v>2433</v>
      </c>
      <c r="E1092" s="81" t="s">
        <v>2414</v>
      </c>
      <c r="F1092" s="88"/>
      <c r="G1092" s="80">
        <v>2.349160254317E12</v>
      </c>
      <c r="H1092" s="89">
        <v>2500.0</v>
      </c>
      <c r="I1092" s="97"/>
      <c r="J1092" s="87" t="s">
        <v>121</v>
      </c>
      <c r="K1092" s="86"/>
      <c r="L1092" s="86"/>
    </row>
    <row r="1093">
      <c r="A1093" s="77"/>
      <c r="B1093" s="90">
        <v>0.7663173032415216</v>
      </c>
      <c r="C1093" s="91">
        <v>46154.0</v>
      </c>
      <c r="D1093" s="80" t="s">
        <v>108</v>
      </c>
      <c r="E1093" s="81" t="s">
        <v>2468</v>
      </c>
      <c r="F1093" s="103" t="s">
        <v>2469</v>
      </c>
      <c r="G1093" s="95" t="str">
        <f>IF(LEN(TRIM(D1093))=0,"",IFNA(VLOOKUP(UPPER(TRIM(D1093)),'CLIENT DIRECTORY'!A:B,2,FALSE),""))</f>
        <v>2348038551439</v>
      </c>
      <c r="H1093" s="89">
        <v>855000.0</v>
      </c>
      <c r="I1093" s="97"/>
      <c r="J1093" s="87" t="s">
        <v>121</v>
      </c>
      <c r="K1093" s="86"/>
      <c r="L1093" s="86"/>
    </row>
    <row r="1094">
      <c r="A1094" s="77"/>
      <c r="B1094" s="90">
        <v>0.7785362499998882</v>
      </c>
      <c r="C1094" s="91">
        <v>46154.0</v>
      </c>
      <c r="D1094" s="80" t="s">
        <v>2173</v>
      </c>
      <c r="E1094" s="81" t="s">
        <v>2470</v>
      </c>
      <c r="F1094" s="103" t="s">
        <v>2471</v>
      </c>
      <c r="G1094" s="95" t="str">
        <f>IF(LEN(TRIM(D1094))=0,"",IFNA(VLOOKUP(UPPER(TRIM(D1094)),'CLIENT DIRECTORY'!A:B,2,FALSE),""))</f>
        <v>2349060695934</v>
      </c>
      <c r="H1094" s="89">
        <v>760000.0</v>
      </c>
      <c r="I1094" s="97"/>
      <c r="J1094" s="87" t="s">
        <v>121</v>
      </c>
      <c r="K1094" s="86"/>
      <c r="L1094" s="86"/>
    </row>
    <row r="1095">
      <c r="A1095" s="77"/>
      <c r="B1095" s="90">
        <v>0.7797420486094779</v>
      </c>
      <c r="C1095" s="91">
        <v>46154.0</v>
      </c>
      <c r="D1095" s="95"/>
      <c r="E1095" s="96"/>
      <c r="F1095" s="88"/>
      <c r="G1095" s="95" t="str">
        <f>IF(LEN(TRIM(D1095))=0,"",IFNA(VLOOKUP(UPPER(TRIM(D1095)),'CLIENT DIRECTORY'!A:B,2,FALSE),""))</f>
        <v/>
      </c>
      <c r="H1095" s="98"/>
      <c r="I1095" s="97"/>
      <c r="J1095" s="86"/>
      <c r="K1095" s="86"/>
      <c r="L1095" s="86"/>
    </row>
    <row r="1096">
      <c r="A1096" s="77"/>
      <c r="B1096" s="92"/>
      <c r="C1096" s="93"/>
      <c r="D1096" s="95"/>
      <c r="E1096" s="96"/>
      <c r="F1096" s="88"/>
      <c r="G1096" s="95" t="str">
        <f>IF(LEN(TRIM(D1096))=0,"",IFNA(VLOOKUP(UPPER(TRIM(D1096)),'CLIENT DIRECTORY'!A:B,2,FALSE),""))</f>
        <v/>
      </c>
      <c r="H1096" s="98"/>
      <c r="I1096" s="97"/>
      <c r="J1096" s="86"/>
      <c r="K1096" s="86"/>
      <c r="L1096" s="86"/>
    </row>
    <row r="1097">
      <c r="A1097" s="77"/>
      <c r="B1097" s="92"/>
      <c r="C1097" s="93"/>
      <c r="D1097" s="95"/>
      <c r="E1097" s="96"/>
      <c r="F1097" s="88"/>
      <c r="G1097" s="95" t="str">
        <f>IF(LEN(TRIM(D1097))=0,"",IFNA(VLOOKUP(UPPER(TRIM(D1097)),'CLIENT DIRECTORY'!A:B,2,FALSE),""))</f>
        <v/>
      </c>
      <c r="H1097" s="98"/>
      <c r="I1097" s="97"/>
      <c r="J1097" s="86"/>
      <c r="K1097" s="86"/>
      <c r="L1097" s="86"/>
    </row>
    <row r="1098">
      <c r="A1098" s="77"/>
      <c r="B1098" s="92"/>
      <c r="C1098" s="93"/>
      <c r="D1098" s="95"/>
      <c r="E1098" s="96"/>
      <c r="F1098" s="88"/>
      <c r="G1098" s="95" t="str">
        <f>IF(LEN(TRIM(D1098))=0,"",IFNA(VLOOKUP(UPPER(TRIM(D1098)),'CLIENT DIRECTORY'!A:B,2,FALSE),""))</f>
        <v/>
      </c>
      <c r="H1098" s="98"/>
      <c r="I1098" s="97"/>
      <c r="J1098" s="86"/>
      <c r="K1098" s="86"/>
      <c r="L1098" s="86"/>
    </row>
    <row r="1099">
      <c r="A1099" s="77"/>
      <c r="B1099" s="92"/>
      <c r="C1099" s="93"/>
      <c r="D1099" s="95"/>
      <c r="E1099" s="96"/>
      <c r="F1099" s="88"/>
      <c r="G1099" s="95" t="str">
        <f>IF(LEN(TRIM(D1099))=0,"",IFNA(VLOOKUP(UPPER(TRIM(D1099)),'CLIENT DIRECTORY'!A:B,2,FALSE),""))</f>
        <v/>
      </c>
      <c r="H1099" s="98"/>
      <c r="I1099" s="97"/>
      <c r="J1099" s="86"/>
      <c r="K1099" s="86"/>
      <c r="L1099" s="86"/>
    </row>
    <row r="1100">
      <c r="A1100" s="77"/>
      <c r="B1100" s="92"/>
      <c r="C1100" s="93"/>
      <c r="D1100" s="95"/>
      <c r="E1100" s="96"/>
      <c r="F1100" s="88"/>
      <c r="G1100" s="95" t="str">
        <f>IF(LEN(TRIM(D1100))=0,"",IFNA(VLOOKUP(UPPER(TRIM(D1100)),'CLIENT DIRECTORY'!A:B,2,FALSE),""))</f>
        <v/>
      </c>
      <c r="H1100" s="98"/>
      <c r="I1100" s="97"/>
      <c r="J1100" s="86"/>
      <c r="K1100" s="86"/>
      <c r="L1100" s="86"/>
    </row>
    <row r="1101">
      <c r="A1101" s="77"/>
      <c r="B1101" s="92"/>
      <c r="C1101" s="93"/>
      <c r="D1101" s="95"/>
      <c r="E1101" s="96"/>
      <c r="F1101" s="88"/>
      <c r="G1101" s="95" t="str">
        <f>IF(LEN(TRIM(D1101))=0,"",IFNA(VLOOKUP(UPPER(TRIM(D1101)),'CLIENT DIRECTORY'!A:B,2,FALSE),""))</f>
        <v/>
      </c>
      <c r="H1101" s="98"/>
      <c r="I1101" s="97"/>
      <c r="J1101" s="86"/>
      <c r="K1101" s="86"/>
      <c r="L1101" s="86"/>
    </row>
    <row r="1102">
      <c r="A1102" s="77"/>
      <c r="B1102" s="92"/>
      <c r="C1102" s="93"/>
      <c r="D1102" s="95"/>
      <c r="E1102" s="96"/>
      <c r="F1102" s="88"/>
      <c r="G1102" s="95" t="str">
        <f>IF(LEN(TRIM(D1102))=0,"",IFNA(VLOOKUP(UPPER(TRIM(D1102)),'CLIENT DIRECTORY'!A:B,2,FALSE),""))</f>
        <v/>
      </c>
      <c r="H1102" s="98"/>
      <c r="I1102" s="97"/>
      <c r="J1102" s="86"/>
      <c r="K1102" s="86"/>
      <c r="L1102" s="86"/>
    </row>
    <row r="1103">
      <c r="A1103" s="77"/>
      <c r="B1103" s="92"/>
      <c r="C1103" s="93"/>
      <c r="D1103" s="95"/>
      <c r="E1103" s="96"/>
      <c r="F1103" s="88"/>
      <c r="G1103" s="95" t="str">
        <f>IF(LEN(TRIM(D1103))=0,"",IFNA(VLOOKUP(UPPER(TRIM(D1103)),'CLIENT DIRECTORY'!A:B,2,FALSE),""))</f>
        <v/>
      </c>
      <c r="H1103" s="98"/>
      <c r="I1103" s="97"/>
      <c r="J1103" s="86"/>
      <c r="K1103" s="86"/>
      <c r="L1103" s="86"/>
    </row>
    <row r="1104">
      <c r="A1104" s="77"/>
      <c r="B1104" s="92"/>
      <c r="C1104" s="93"/>
      <c r="D1104" s="95"/>
      <c r="E1104" s="96"/>
      <c r="F1104" s="88"/>
      <c r="G1104" s="95" t="str">
        <f>IF(LEN(TRIM(D1104))=0,"",IFNA(VLOOKUP(UPPER(TRIM(D1104)),'CLIENT DIRECTORY'!A:B,2,FALSE),""))</f>
        <v/>
      </c>
      <c r="H1104" s="98"/>
      <c r="I1104" s="97"/>
      <c r="J1104" s="86"/>
      <c r="K1104" s="86"/>
      <c r="L1104" s="86"/>
    </row>
    <row r="1105">
      <c r="A1105" s="77"/>
      <c r="B1105" s="92"/>
      <c r="C1105" s="93"/>
      <c r="D1105" s="95"/>
      <c r="E1105" s="96"/>
      <c r="F1105" s="88"/>
      <c r="G1105" s="95" t="str">
        <f>IF(LEN(TRIM(D1105))=0,"",IFNA(VLOOKUP(UPPER(TRIM(D1105)),'CLIENT DIRECTORY'!A:B,2,FALSE),""))</f>
        <v/>
      </c>
      <c r="H1105" s="98"/>
      <c r="I1105" s="97"/>
      <c r="J1105" s="86"/>
      <c r="K1105" s="86"/>
      <c r="L1105" s="86"/>
    </row>
    <row r="1106">
      <c r="A1106" s="77"/>
      <c r="B1106" s="92"/>
      <c r="C1106" s="93"/>
      <c r="D1106" s="95"/>
      <c r="E1106" s="96"/>
      <c r="F1106" s="88"/>
      <c r="G1106" s="95" t="str">
        <f>IF(LEN(TRIM(D1106))=0,"",IFNA(VLOOKUP(UPPER(TRIM(D1106)),'CLIENT DIRECTORY'!A:B,2,FALSE),""))</f>
        <v/>
      </c>
      <c r="H1106" s="98"/>
      <c r="I1106" s="97"/>
      <c r="J1106" s="86"/>
      <c r="K1106" s="86"/>
      <c r="L1106" s="86"/>
    </row>
    <row r="1107">
      <c r="A1107" s="77"/>
      <c r="B1107" s="92"/>
      <c r="C1107" s="93"/>
      <c r="D1107" s="95"/>
      <c r="E1107" s="96"/>
      <c r="F1107" s="88"/>
      <c r="G1107" s="95" t="str">
        <f>IF(LEN(TRIM(D1107))=0,"",IFNA(VLOOKUP(UPPER(TRIM(D1107)),'CLIENT DIRECTORY'!A:B,2,FALSE),""))</f>
        <v/>
      </c>
      <c r="H1107" s="98"/>
      <c r="I1107" s="97"/>
      <c r="J1107" s="86"/>
      <c r="K1107" s="86"/>
      <c r="L1107" s="86"/>
    </row>
    <row r="1108">
      <c r="A1108" s="77"/>
      <c r="B1108" s="92"/>
      <c r="C1108" s="93"/>
      <c r="D1108" s="95"/>
      <c r="E1108" s="96"/>
      <c r="F1108" s="88"/>
      <c r="G1108" s="95" t="str">
        <f>IF(LEN(TRIM(D1108))=0,"",IFNA(VLOOKUP(UPPER(TRIM(D1108)),'CLIENT DIRECTORY'!A:B,2,FALSE),""))</f>
        <v/>
      </c>
      <c r="H1108" s="98"/>
      <c r="I1108" s="97"/>
      <c r="J1108" s="86"/>
      <c r="K1108" s="86"/>
      <c r="L1108" s="86"/>
    </row>
    <row r="1109">
      <c r="A1109" s="77"/>
      <c r="B1109" s="92"/>
      <c r="C1109" s="93"/>
      <c r="D1109" s="95"/>
      <c r="E1109" s="96"/>
      <c r="F1109" s="88"/>
      <c r="G1109" s="95" t="str">
        <f>IF(LEN(TRIM(D1109))=0,"",IFNA(VLOOKUP(UPPER(TRIM(D1109)),'CLIENT DIRECTORY'!A:B,2,FALSE),""))</f>
        <v/>
      </c>
      <c r="H1109" s="98"/>
      <c r="I1109" s="97"/>
      <c r="J1109" s="86"/>
      <c r="K1109" s="86"/>
      <c r="L1109" s="86"/>
    </row>
    <row r="1110">
      <c r="A1110" s="77"/>
      <c r="B1110" s="92"/>
      <c r="C1110" s="93"/>
      <c r="D1110" s="95"/>
      <c r="E1110" s="96"/>
      <c r="F1110" s="88"/>
      <c r="G1110" s="95" t="str">
        <f>IF(LEN(TRIM(D1110))=0,"",IFNA(VLOOKUP(UPPER(TRIM(D1110)),'CLIENT DIRECTORY'!A:B,2,FALSE),""))</f>
        <v/>
      </c>
      <c r="H1110" s="98"/>
      <c r="I1110" s="97"/>
      <c r="J1110" s="86"/>
      <c r="K1110" s="86"/>
      <c r="L1110" s="86"/>
    </row>
    <row r="1111">
      <c r="A1111" s="77"/>
      <c r="B1111" s="92"/>
      <c r="C1111" s="93"/>
      <c r="D1111" s="95"/>
      <c r="E1111" s="96"/>
      <c r="F1111" s="88"/>
      <c r="G1111" s="95" t="str">
        <f>IF(LEN(TRIM(D1111))=0,"",IFNA(VLOOKUP(UPPER(TRIM(D1111)),'CLIENT DIRECTORY'!A:B,2,FALSE),""))</f>
        <v/>
      </c>
      <c r="H1111" s="98"/>
      <c r="I1111" s="97"/>
      <c r="J1111" s="86"/>
      <c r="K1111" s="86"/>
      <c r="L1111" s="86"/>
    </row>
    <row r="1112">
      <c r="A1112" s="77"/>
      <c r="B1112" s="92"/>
      <c r="C1112" s="93"/>
      <c r="D1112" s="95"/>
      <c r="E1112" s="96"/>
      <c r="F1112" s="88"/>
      <c r="G1112" s="95" t="str">
        <f>IF(LEN(TRIM(D1112))=0,"",IFNA(VLOOKUP(UPPER(TRIM(D1112)),'CLIENT DIRECTORY'!A:B,2,FALSE),""))</f>
        <v/>
      </c>
      <c r="H1112" s="98"/>
      <c r="I1112" s="97"/>
      <c r="J1112" s="86"/>
      <c r="K1112" s="86"/>
      <c r="L1112" s="86"/>
    </row>
    <row r="1113">
      <c r="A1113" s="77"/>
      <c r="B1113" s="92"/>
      <c r="C1113" s="93"/>
      <c r="D1113" s="95"/>
      <c r="E1113" s="96"/>
      <c r="F1113" s="88"/>
      <c r="G1113" s="95" t="str">
        <f>IF(LEN(TRIM(D1113))=0,"",IFNA(VLOOKUP(UPPER(TRIM(D1113)),'CLIENT DIRECTORY'!A:B,2,FALSE),""))</f>
        <v/>
      </c>
      <c r="H1113" s="98"/>
      <c r="I1113" s="97"/>
      <c r="J1113" s="86"/>
      <c r="K1113" s="86"/>
      <c r="L1113" s="86"/>
    </row>
    <row r="1114">
      <c r="A1114" s="77"/>
      <c r="B1114" s="92"/>
      <c r="C1114" s="93"/>
      <c r="D1114" s="95"/>
      <c r="E1114" s="96"/>
      <c r="F1114" s="88"/>
      <c r="G1114" s="95" t="str">
        <f>IF(LEN(TRIM(D1114))=0,"",IFNA(VLOOKUP(UPPER(TRIM(D1114)),'CLIENT DIRECTORY'!A:B,2,FALSE),""))</f>
        <v/>
      </c>
      <c r="H1114" s="98"/>
      <c r="I1114" s="97"/>
      <c r="J1114" s="86"/>
      <c r="K1114" s="86"/>
      <c r="L1114" s="86"/>
    </row>
    <row r="1115">
      <c r="A1115" s="77"/>
      <c r="B1115" s="92"/>
      <c r="C1115" s="93"/>
      <c r="D1115" s="95"/>
      <c r="E1115" s="96"/>
      <c r="F1115" s="88"/>
      <c r="G1115" s="95" t="str">
        <f>IF(LEN(TRIM(D1115))=0,"",IFNA(VLOOKUP(UPPER(TRIM(D1115)),'CLIENT DIRECTORY'!A:B,2,FALSE),""))</f>
        <v/>
      </c>
      <c r="H1115" s="98"/>
      <c r="I1115" s="97"/>
      <c r="J1115" s="86"/>
      <c r="K1115" s="86"/>
      <c r="L1115" s="86"/>
    </row>
    <row r="1116">
      <c r="A1116" s="77"/>
      <c r="B1116" s="92"/>
      <c r="C1116" s="93"/>
      <c r="D1116" s="95"/>
      <c r="E1116" s="96"/>
      <c r="F1116" s="88"/>
      <c r="G1116" s="95" t="str">
        <f>IF(LEN(TRIM(D1116))=0,"",IFNA(VLOOKUP(UPPER(TRIM(D1116)),'CLIENT DIRECTORY'!A:B,2,FALSE),""))</f>
        <v/>
      </c>
      <c r="H1116" s="98"/>
      <c r="I1116" s="97"/>
      <c r="J1116" s="86"/>
      <c r="K1116" s="86"/>
      <c r="L1116" s="86"/>
    </row>
    <row r="1117">
      <c r="A1117" s="77"/>
      <c r="B1117" s="92"/>
      <c r="C1117" s="93"/>
      <c r="D1117" s="95"/>
      <c r="E1117" s="96"/>
      <c r="F1117" s="88"/>
      <c r="G1117" s="95" t="str">
        <f>IF(LEN(TRIM(D1117))=0,"",IFNA(VLOOKUP(UPPER(TRIM(D1117)),'CLIENT DIRECTORY'!A:B,2,FALSE),""))</f>
        <v/>
      </c>
      <c r="H1117" s="98"/>
      <c r="I1117" s="97"/>
      <c r="J1117" s="86"/>
      <c r="K1117" s="86"/>
      <c r="L1117" s="86"/>
    </row>
    <row r="1118">
      <c r="A1118" s="77"/>
      <c r="B1118" s="92"/>
      <c r="C1118" s="93"/>
      <c r="D1118" s="95"/>
      <c r="E1118" s="96"/>
      <c r="F1118" s="88"/>
      <c r="G1118" s="95" t="str">
        <f>IF(LEN(TRIM(D1118))=0,"",IFNA(VLOOKUP(UPPER(TRIM(D1118)),'CLIENT DIRECTORY'!A:B,2,FALSE),""))</f>
        <v/>
      </c>
      <c r="H1118" s="98"/>
      <c r="I1118" s="97"/>
      <c r="J1118" s="86"/>
      <c r="K1118" s="86"/>
      <c r="L1118" s="86"/>
    </row>
    <row r="1119">
      <c r="A1119" s="77"/>
      <c r="B1119" s="92"/>
      <c r="C1119" s="93"/>
      <c r="D1119" s="95"/>
      <c r="E1119" s="96"/>
      <c r="F1119" s="88"/>
      <c r="G1119" s="95" t="str">
        <f>IF(LEN(TRIM(D1119))=0,"",IFNA(VLOOKUP(UPPER(TRIM(D1119)),'CLIENT DIRECTORY'!A:B,2,FALSE),""))</f>
        <v/>
      </c>
      <c r="H1119" s="98"/>
      <c r="I1119" s="97"/>
      <c r="J1119" s="86"/>
      <c r="K1119" s="86"/>
      <c r="L1119" s="86"/>
    </row>
    <row r="1120">
      <c r="A1120" s="77"/>
      <c r="B1120" s="92"/>
      <c r="C1120" s="93"/>
      <c r="D1120" s="95"/>
      <c r="E1120" s="96"/>
      <c r="F1120" s="88"/>
      <c r="G1120" s="95" t="str">
        <f>IF(LEN(TRIM(D1120))=0,"",IFNA(VLOOKUP(UPPER(TRIM(D1120)),'CLIENT DIRECTORY'!A:B,2,FALSE),""))</f>
        <v/>
      </c>
      <c r="H1120" s="98"/>
      <c r="I1120" s="97"/>
      <c r="J1120" s="86"/>
      <c r="K1120" s="86"/>
      <c r="L1120" s="86"/>
    </row>
    <row r="1121">
      <c r="A1121" s="77"/>
      <c r="B1121" s="92"/>
      <c r="C1121" s="93"/>
      <c r="D1121" s="95"/>
      <c r="E1121" s="96"/>
      <c r="F1121" s="88"/>
      <c r="G1121" s="95" t="str">
        <f>IF(LEN(TRIM(D1121))=0,"",IFNA(VLOOKUP(UPPER(TRIM(D1121)),'CLIENT DIRECTORY'!A:B,2,FALSE),""))</f>
        <v/>
      </c>
      <c r="H1121" s="98"/>
      <c r="I1121" s="97"/>
      <c r="J1121" s="86"/>
      <c r="K1121" s="86"/>
      <c r="L1121" s="86"/>
    </row>
    <row r="1122">
      <c r="A1122" s="77"/>
      <c r="B1122" s="92"/>
      <c r="C1122" s="93"/>
      <c r="D1122" s="95"/>
      <c r="E1122" s="96"/>
      <c r="F1122" s="88"/>
      <c r="G1122" s="95" t="str">
        <f>IF(LEN(TRIM(D1122))=0,"",IFNA(VLOOKUP(UPPER(TRIM(D1122)),'CLIENT DIRECTORY'!A:B,2,FALSE),""))</f>
        <v/>
      </c>
      <c r="H1122" s="98"/>
      <c r="I1122" s="97"/>
      <c r="J1122" s="86"/>
      <c r="K1122" s="86"/>
      <c r="L1122" s="86"/>
    </row>
    <row r="1123">
      <c r="A1123" s="77"/>
      <c r="B1123" s="92"/>
      <c r="C1123" s="93"/>
      <c r="D1123" s="95"/>
      <c r="E1123" s="96"/>
      <c r="F1123" s="88"/>
      <c r="G1123" s="95" t="str">
        <f>IF(LEN(TRIM(D1123))=0,"",IFNA(VLOOKUP(UPPER(TRIM(D1123)),'CLIENT DIRECTORY'!A:B,2,FALSE),""))</f>
        <v/>
      </c>
      <c r="H1123" s="98"/>
      <c r="I1123" s="97"/>
      <c r="J1123" s="86"/>
      <c r="K1123" s="86"/>
      <c r="L1123" s="86"/>
    </row>
    <row r="1124">
      <c r="A1124" s="77"/>
      <c r="B1124" s="92"/>
      <c r="C1124" s="93"/>
      <c r="D1124" s="95"/>
      <c r="E1124" s="96"/>
      <c r="F1124" s="88"/>
      <c r="G1124" s="95" t="str">
        <f>IF(LEN(TRIM(D1124))=0,"",IFNA(VLOOKUP(UPPER(TRIM(D1124)),'CLIENT DIRECTORY'!A:B,2,FALSE),""))</f>
        <v/>
      </c>
      <c r="H1124" s="98"/>
      <c r="I1124" s="97"/>
      <c r="J1124" s="86"/>
      <c r="K1124" s="86"/>
      <c r="L1124" s="86"/>
    </row>
    <row r="1125">
      <c r="A1125" s="77"/>
      <c r="B1125" s="92"/>
      <c r="C1125" s="93"/>
      <c r="D1125" s="95"/>
      <c r="E1125" s="96"/>
      <c r="F1125" s="88"/>
      <c r="G1125" s="95" t="str">
        <f>IF(LEN(TRIM(D1125))=0,"",IFNA(VLOOKUP(UPPER(TRIM(D1125)),'CLIENT DIRECTORY'!A:B,2,FALSE),""))</f>
        <v/>
      </c>
      <c r="H1125" s="98"/>
      <c r="I1125" s="97"/>
      <c r="J1125" s="86"/>
      <c r="K1125" s="86"/>
      <c r="L1125" s="86"/>
    </row>
    <row r="1126">
      <c r="A1126" s="77"/>
      <c r="B1126" s="92"/>
      <c r="C1126" s="93"/>
      <c r="D1126" s="95"/>
      <c r="E1126" s="96"/>
      <c r="F1126" s="88"/>
      <c r="G1126" s="95" t="str">
        <f>IF(LEN(TRIM(D1126))=0,"",IFNA(VLOOKUP(UPPER(TRIM(D1126)),'CLIENT DIRECTORY'!A:B,2,FALSE),""))</f>
        <v/>
      </c>
      <c r="H1126" s="98"/>
      <c r="I1126" s="97"/>
      <c r="J1126" s="86"/>
      <c r="K1126" s="86"/>
      <c r="L1126" s="86"/>
    </row>
    <row r="1127">
      <c r="A1127" s="77"/>
      <c r="B1127" s="92"/>
      <c r="C1127" s="93"/>
      <c r="D1127" s="95"/>
      <c r="E1127" s="96"/>
      <c r="F1127" s="88"/>
      <c r="G1127" s="95" t="str">
        <f>IF(LEN(TRIM(D1127))=0,"",IFNA(VLOOKUP(UPPER(TRIM(D1127)),'CLIENT DIRECTORY'!A:B,2,FALSE),""))</f>
        <v/>
      </c>
      <c r="H1127" s="98"/>
      <c r="I1127" s="97"/>
      <c r="J1127" s="86"/>
      <c r="K1127" s="86"/>
      <c r="L1127" s="86"/>
    </row>
    <row r="1128">
      <c r="A1128" s="77"/>
      <c r="B1128" s="92"/>
      <c r="C1128" s="93"/>
      <c r="D1128" s="95"/>
      <c r="E1128" s="96"/>
      <c r="F1128" s="88"/>
      <c r="G1128" s="95" t="str">
        <f>IF(LEN(TRIM(D1128))=0,"",IFNA(VLOOKUP(UPPER(TRIM(D1128)),'CLIENT DIRECTORY'!A:B,2,FALSE),""))</f>
        <v/>
      </c>
      <c r="H1128" s="98"/>
      <c r="I1128" s="97"/>
      <c r="J1128" s="86"/>
      <c r="K1128" s="86"/>
      <c r="L1128" s="86"/>
    </row>
    <row r="1129">
      <c r="A1129" s="77"/>
      <c r="B1129" s="92"/>
      <c r="C1129" s="93"/>
      <c r="D1129" s="95"/>
      <c r="E1129" s="96"/>
      <c r="F1129" s="88"/>
      <c r="G1129" s="95" t="str">
        <f>IF(LEN(TRIM(D1129))=0,"",IFNA(VLOOKUP(UPPER(TRIM(D1129)),'CLIENT DIRECTORY'!A:B,2,FALSE),""))</f>
        <v/>
      </c>
      <c r="H1129" s="98"/>
      <c r="I1129" s="97"/>
      <c r="J1129" s="86"/>
      <c r="K1129" s="86"/>
      <c r="L1129" s="86"/>
    </row>
    <row r="1130">
      <c r="A1130" s="77"/>
      <c r="B1130" s="92"/>
      <c r="C1130" s="93"/>
      <c r="D1130" s="95"/>
      <c r="E1130" s="96"/>
      <c r="F1130" s="88"/>
      <c r="G1130" s="95" t="str">
        <f>IF(LEN(TRIM(D1130))=0,"",IFNA(VLOOKUP(UPPER(TRIM(D1130)),'CLIENT DIRECTORY'!A:B,2,FALSE),""))</f>
        <v/>
      </c>
      <c r="H1130" s="98"/>
      <c r="I1130" s="97"/>
      <c r="J1130" s="86"/>
      <c r="K1130" s="86"/>
      <c r="L1130" s="86"/>
    </row>
    <row r="1131">
      <c r="A1131" s="77"/>
      <c r="B1131" s="92"/>
      <c r="C1131" s="93"/>
      <c r="D1131" s="95"/>
      <c r="E1131" s="96"/>
      <c r="F1131" s="88"/>
      <c r="G1131" s="95" t="str">
        <f>IF(LEN(TRIM(D1131))=0,"",IFNA(VLOOKUP(UPPER(TRIM(D1131)),'CLIENT DIRECTORY'!A:B,2,FALSE),""))</f>
        <v/>
      </c>
      <c r="H1131" s="98"/>
      <c r="I1131" s="97"/>
      <c r="J1131" s="86"/>
      <c r="K1131" s="86"/>
      <c r="L1131" s="86"/>
    </row>
    <row r="1132">
      <c r="A1132" s="77"/>
      <c r="B1132" s="92"/>
      <c r="C1132" s="93"/>
      <c r="D1132" s="95"/>
      <c r="E1132" s="96"/>
      <c r="F1132" s="88"/>
      <c r="G1132" s="95" t="str">
        <f>IF(LEN(TRIM(D1132))=0,"",IFNA(VLOOKUP(UPPER(TRIM(D1132)),'CLIENT DIRECTORY'!A:B,2,FALSE),""))</f>
        <v/>
      </c>
      <c r="H1132" s="98"/>
      <c r="I1132" s="97"/>
      <c r="J1132" s="86"/>
      <c r="K1132" s="86"/>
      <c r="L1132" s="86"/>
    </row>
    <row r="1133">
      <c r="A1133" s="77"/>
      <c r="B1133" s="92"/>
      <c r="C1133" s="93"/>
      <c r="D1133" s="95"/>
      <c r="E1133" s="96"/>
      <c r="F1133" s="88"/>
      <c r="G1133" s="95" t="str">
        <f>IF(LEN(TRIM(D1133))=0,"",IFNA(VLOOKUP(UPPER(TRIM(D1133)),'CLIENT DIRECTORY'!A:B,2,FALSE),""))</f>
        <v/>
      </c>
      <c r="H1133" s="98"/>
      <c r="I1133" s="97"/>
      <c r="J1133" s="86"/>
      <c r="K1133" s="86"/>
      <c r="L1133" s="86"/>
    </row>
    <row r="1134">
      <c r="A1134" s="77"/>
      <c r="B1134" s="92"/>
      <c r="C1134" s="93"/>
      <c r="D1134" s="95"/>
      <c r="E1134" s="96"/>
      <c r="F1134" s="88"/>
      <c r="G1134" s="95" t="str">
        <f>IF(LEN(TRIM(D1134))=0,"",IFNA(VLOOKUP(UPPER(TRIM(D1134)),'CLIENT DIRECTORY'!A:B,2,FALSE),""))</f>
        <v/>
      </c>
      <c r="H1134" s="98"/>
      <c r="I1134" s="97"/>
      <c r="J1134" s="86"/>
      <c r="K1134" s="86"/>
      <c r="L1134" s="86"/>
    </row>
    <row r="1135">
      <c r="A1135" s="77"/>
      <c r="B1135" s="92"/>
      <c r="C1135" s="93"/>
      <c r="D1135" s="95"/>
      <c r="E1135" s="96"/>
      <c r="F1135" s="88"/>
      <c r="G1135" s="95" t="str">
        <f>IF(LEN(TRIM(D1135))=0,"",IFNA(VLOOKUP(UPPER(TRIM(D1135)),'CLIENT DIRECTORY'!A:B,2,FALSE),""))</f>
        <v/>
      </c>
      <c r="H1135" s="98"/>
      <c r="I1135" s="97"/>
      <c r="J1135" s="86"/>
      <c r="K1135" s="86"/>
      <c r="L1135" s="86"/>
    </row>
    <row r="1136">
      <c r="A1136" s="77"/>
      <c r="B1136" s="92"/>
      <c r="C1136" s="93"/>
      <c r="D1136" s="95"/>
      <c r="E1136" s="96"/>
      <c r="F1136" s="88"/>
      <c r="G1136" s="95" t="str">
        <f>IF(LEN(TRIM(D1136))=0,"",IFNA(VLOOKUP(UPPER(TRIM(D1136)),'CLIENT DIRECTORY'!A:B,2,FALSE),""))</f>
        <v/>
      </c>
      <c r="H1136" s="98"/>
      <c r="I1136" s="97"/>
      <c r="J1136" s="86"/>
      <c r="K1136" s="86"/>
      <c r="L1136" s="86"/>
    </row>
    <row r="1137">
      <c r="A1137" s="77"/>
      <c r="B1137" s="92"/>
      <c r="C1137" s="93"/>
      <c r="D1137" s="95"/>
      <c r="E1137" s="96"/>
      <c r="F1137" s="88"/>
      <c r="G1137" s="95" t="str">
        <f>IF(LEN(TRIM(D1137))=0,"",IFNA(VLOOKUP(UPPER(TRIM(D1137)),'CLIENT DIRECTORY'!A:B,2,FALSE),""))</f>
        <v/>
      </c>
      <c r="H1137" s="98"/>
      <c r="I1137" s="97"/>
      <c r="J1137" s="86"/>
      <c r="K1137" s="86"/>
      <c r="L1137" s="86"/>
    </row>
    <row r="1138">
      <c r="A1138" s="77"/>
      <c r="B1138" s="92"/>
      <c r="C1138" s="93"/>
      <c r="D1138" s="95"/>
      <c r="E1138" s="96"/>
      <c r="F1138" s="88"/>
      <c r="G1138" s="95" t="str">
        <f>IF(LEN(TRIM(D1138))=0,"",IFNA(VLOOKUP(UPPER(TRIM(D1138)),'CLIENT DIRECTORY'!A:B,2,FALSE),""))</f>
        <v/>
      </c>
      <c r="H1138" s="98"/>
      <c r="I1138" s="97"/>
      <c r="J1138" s="86"/>
      <c r="K1138" s="86"/>
      <c r="L1138" s="86"/>
    </row>
    <row r="1139">
      <c r="A1139" s="77"/>
      <c r="B1139" s="92"/>
      <c r="C1139" s="93"/>
      <c r="D1139" s="95"/>
      <c r="E1139" s="96"/>
      <c r="F1139" s="88"/>
      <c r="G1139" s="95" t="str">
        <f>IF(LEN(TRIM(D1139))=0,"",IFNA(VLOOKUP(UPPER(TRIM(D1139)),'CLIENT DIRECTORY'!A:B,2,FALSE),""))</f>
        <v/>
      </c>
      <c r="H1139" s="98"/>
      <c r="I1139" s="97"/>
      <c r="J1139" s="86"/>
      <c r="K1139" s="86"/>
      <c r="L1139" s="86"/>
    </row>
    <row r="1140">
      <c r="A1140" s="77"/>
      <c r="B1140" s="92"/>
      <c r="C1140" s="93"/>
      <c r="D1140" s="95"/>
      <c r="E1140" s="96"/>
      <c r="F1140" s="88"/>
      <c r="G1140" s="95" t="str">
        <f>IF(LEN(TRIM(D1140))=0,"",IFNA(VLOOKUP(UPPER(TRIM(D1140)),'CLIENT DIRECTORY'!A:B,2,FALSE),""))</f>
        <v/>
      </c>
      <c r="H1140" s="98"/>
      <c r="I1140" s="97"/>
      <c r="J1140" s="86"/>
      <c r="K1140" s="86"/>
      <c r="L1140" s="86"/>
    </row>
    <row r="1141">
      <c r="A1141" s="77"/>
      <c r="B1141" s="92"/>
      <c r="C1141" s="93"/>
      <c r="D1141" s="95"/>
      <c r="E1141" s="96"/>
      <c r="F1141" s="88"/>
      <c r="G1141" s="95" t="str">
        <f>IF(LEN(TRIM(D1141))=0,"",IFNA(VLOOKUP(UPPER(TRIM(D1141)),'CLIENT DIRECTORY'!A:B,2,FALSE),""))</f>
        <v/>
      </c>
      <c r="H1141" s="98"/>
      <c r="I1141" s="97"/>
      <c r="J1141" s="86"/>
      <c r="K1141" s="86"/>
      <c r="L1141" s="86"/>
    </row>
    <row r="1142">
      <c r="A1142" s="77"/>
      <c r="B1142" s="92"/>
      <c r="C1142" s="93"/>
      <c r="D1142" s="95"/>
      <c r="E1142" s="96"/>
      <c r="F1142" s="88"/>
      <c r="G1142" s="95" t="str">
        <f>IF(LEN(TRIM(D1142))=0,"",IFNA(VLOOKUP(UPPER(TRIM(D1142)),'CLIENT DIRECTORY'!A:B,2,FALSE),""))</f>
        <v/>
      </c>
      <c r="H1142" s="98"/>
      <c r="I1142" s="97"/>
      <c r="J1142" s="86"/>
      <c r="K1142" s="86"/>
      <c r="L1142" s="86"/>
    </row>
    <row r="1143">
      <c r="A1143" s="77"/>
      <c r="B1143" s="92"/>
      <c r="C1143" s="93"/>
      <c r="D1143" s="95"/>
      <c r="E1143" s="96"/>
      <c r="F1143" s="88"/>
      <c r="G1143" s="95" t="str">
        <f>IF(LEN(TRIM(D1143))=0,"",IFNA(VLOOKUP(UPPER(TRIM(D1143)),'CLIENT DIRECTORY'!A:B,2,FALSE),""))</f>
        <v/>
      </c>
      <c r="H1143" s="98"/>
      <c r="I1143" s="97"/>
      <c r="J1143" s="86"/>
      <c r="K1143" s="86"/>
      <c r="L1143" s="86"/>
    </row>
    <row r="1144">
      <c r="A1144" s="77"/>
      <c r="B1144" s="92"/>
      <c r="C1144" s="93"/>
      <c r="D1144" s="95"/>
      <c r="E1144" s="96"/>
      <c r="F1144" s="88"/>
      <c r="G1144" s="95" t="str">
        <f>IF(LEN(TRIM(D1144))=0,"",IFNA(VLOOKUP(UPPER(TRIM(D1144)),'CLIENT DIRECTORY'!A:B,2,FALSE),""))</f>
        <v/>
      </c>
      <c r="H1144" s="98"/>
      <c r="I1144" s="97"/>
      <c r="J1144" s="86"/>
      <c r="K1144" s="86"/>
      <c r="L1144" s="86"/>
    </row>
    <row r="1145">
      <c r="A1145" s="77"/>
      <c r="B1145" s="92"/>
      <c r="C1145" s="93"/>
      <c r="D1145" s="95"/>
      <c r="E1145" s="96"/>
      <c r="F1145" s="88"/>
      <c r="G1145" s="95" t="str">
        <f>IF(LEN(TRIM(D1145))=0,"",IFNA(VLOOKUP(UPPER(TRIM(D1145)),'CLIENT DIRECTORY'!A:B,2,FALSE),""))</f>
        <v/>
      </c>
      <c r="H1145" s="98"/>
      <c r="I1145" s="97"/>
      <c r="J1145" s="86"/>
      <c r="K1145" s="86"/>
      <c r="L1145" s="86"/>
    </row>
    <row r="1146">
      <c r="A1146" s="77"/>
      <c r="B1146" s="92"/>
      <c r="C1146" s="93"/>
      <c r="D1146" s="95"/>
      <c r="E1146" s="96"/>
      <c r="F1146" s="88"/>
      <c r="G1146" s="95" t="str">
        <f>IF(LEN(TRIM(D1146))=0,"",IFNA(VLOOKUP(UPPER(TRIM(D1146)),'CLIENT DIRECTORY'!A:B,2,FALSE),""))</f>
        <v/>
      </c>
      <c r="H1146" s="98"/>
      <c r="I1146" s="97"/>
      <c r="J1146" s="86"/>
      <c r="K1146" s="86"/>
      <c r="L1146" s="86"/>
    </row>
    <row r="1147">
      <c r="A1147" s="77"/>
      <c r="B1147" s="92"/>
      <c r="C1147" s="93"/>
      <c r="D1147" s="95"/>
      <c r="E1147" s="96"/>
      <c r="F1147" s="88"/>
      <c r="G1147" s="95" t="str">
        <f>IF(LEN(TRIM(D1147))=0,"",IFNA(VLOOKUP(UPPER(TRIM(D1147)),'CLIENT DIRECTORY'!A:B,2,FALSE),""))</f>
        <v/>
      </c>
      <c r="H1147" s="98"/>
      <c r="I1147" s="97"/>
      <c r="J1147" s="86"/>
      <c r="K1147" s="86"/>
      <c r="L1147" s="86"/>
    </row>
    <row r="1148">
      <c r="A1148" s="77"/>
      <c r="B1148" s="92"/>
      <c r="C1148" s="93"/>
      <c r="D1148" s="95"/>
      <c r="E1148" s="96"/>
      <c r="F1148" s="88"/>
      <c r="G1148" s="95" t="str">
        <f>IF(LEN(TRIM(D1148))=0,"",IFNA(VLOOKUP(UPPER(TRIM(D1148)),'CLIENT DIRECTORY'!A:B,2,FALSE),""))</f>
        <v/>
      </c>
      <c r="H1148" s="98"/>
      <c r="I1148" s="97"/>
      <c r="J1148" s="86"/>
      <c r="K1148" s="86"/>
      <c r="L1148" s="86"/>
    </row>
    <row r="1149">
      <c r="A1149" s="77"/>
      <c r="B1149" s="92"/>
      <c r="C1149" s="93"/>
      <c r="D1149" s="95"/>
      <c r="E1149" s="96"/>
      <c r="F1149" s="88"/>
      <c r="G1149" s="95" t="str">
        <f>IF(LEN(TRIM(D1149))=0,"",IFNA(VLOOKUP(UPPER(TRIM(D1149)),'CLIENT DIRECTORY'!A:B,2,FALSE),""))</f>
        <v/>
      </c>
      <c r="H1149" s="98"/>
      <c r="I1149" s="97"/>
      <c r="J1149" s="86"/>
      <c r="K1149" s="86"/>
      <c r="L1149" s="86"/>
    </row>
    <row r="1150">
      <c r="A1150" s="77"/>
      <c r="B1150" s="92"/>
      <c r="C1150" s="93"/>
      <c r="D1150" s="95"/>
      <c r="E1150" s="96"/>
      <c r="F1150" s="88"/>
      <c r="G1150" s="95" t="str">
        <f>IF(LEN(TRIM(D1150))=0,"",IFNA(VLOOKUP(UPPER(TRIM(D1150)),'CLIENT DIRECTORY'!A:B,2,FALSE),""))</f>
        <v/>
      </c>
      <c r="H1150" s="98"/>
      <c r="I1150" s="97"/>
      <c r="J1150" s="86"/>
      <c r="K1150" s="86"/>
      <c r="L1150" s="86"/>
    </row>
    <row r="1151">
      <c r="A1151" s="77"/>
      <c r="B1151" s="92"/>
      <c r="C1151" s="93"/>
      <c r="D1151" s="95"/>
      <c r="E1151" s="96"/>
      <c r="F1151" s="88"/>
      <c r="G1151" s="95" t="str">
        <f>IF(LEN(TRIM(D1151))=0,"",IFNA(VLOOKUP(UPPER(TRIM(D1151)),'CLIENT DIRECTORY'!A:B,2,FALSE),""))</f>
        <v/>
      </c>
      <c r="H1151" s="98"/>
      <c r="I1151" s="97"/>
      <c r="J1151" s="86"/>
      <c r="K1151" s="86"/>
      <c r="L1151" s="86"/>
    </row>
    <row r="1152">
      <c r="A1152" s="77"/>
      <c r="B1152" s="92"/>
      <c r="C1152" s="93"/>
      <c r="D1152" s="95"/>
      <c r="E1152" s="96"/>
      <c r="F1152" s="88"/>
      <c r="G1152" s="95" t="str">
        <f>IF(LEN(TRIM(D1152))=0,"",IFNA(VLOOKUP(UPPER(TRIM(D1152)),'CLIENT DIRECTORY'!A:B,2,FALSE),""))</f>
        <v/>
      </c>
      <c r="H1152" s="98"/>
      <c r="I1152" s="97"/>
      <c r="J1152" s="86"/>
      <c r="K1152" s="86"/>
      <c r="L1152" s="86"/>
    </row>
    <row r="1153">
      <c r="A1153" s="77"/>
      <c r="B1153" s="92"/>
      <c r="C1153" s="93"/>
      <c r="D1153" s="95"/>
      <c r="E1153" s="96"/>
      <c r="F1153" s="88"/>
      <c r="G1153" s="95" t="str">
        <f>IF(LEN(TRIM(D1153))=0,"",IFNA(VLOOKUP(UPPER(TRIM(D1153)),'CLIENT DIRECTORY'!A:B,2,FALSE),""))</f>
        <v/>
      </c>
      <c r="H1153" s="98"/>
      <c r="I1153" s="97"/>
      <c r="J1153" s="86"/>
      <c r="K1153" s="86"/>
      <c r="L1153" s="86"/>
    </row>
    <row r="1154">
      <c r="A1154" s="77"/>
      <c r="B1154" s="92"/>
      <c r="C1154" s="93"/>
      <c r="D1154" s="95"/>
      <c r="E1154" s="96"/>
      <c r="F1154" s="88"/>
      <c r="G1154" s="95" t="str">
        <f>IF(LEN(TRIM(D1154))=0,"",IFNA(VLOOKUP(UPPER(TRIM(D1154)),'CLIENT DIRECTORY'!A:B,2,FALSE),""))</f>
        <v/>
      </c>
      <c r="H1154" s="98"/>
      <c r="I1154" s="97"/>
      <c r="J1154" s="86"/>
      <c r="K1154" s="86"/>
      <c r="L1154" s="86"/>
    </row>
    <row r="1155">
      <c r="A1155" s="77"/>
      <c r="B1155" s="92"/>
      <c r="C1155" s="93"/>
      <c r="D1155" s="95"/>
      <c r="E1155" s="96"/>
      <c r="F1155" s="88"/>
      <c r="G1155" s="95" t="str">
        <f>IF(LEN(TRIM(D1155))=0,"",IFNA(VLOOKUP(UPPER(TRIM(D1155)),'CLIENT DIRECTORY'!A:B,2,FALSE),""))</f>
        <v/>
      </c>
      <c r="H1155" s="98"/>
      <c r="I1155" s="97"/>
      <c r="J1155" s="86"/>
      <c r="K1155" s="86"/>
      <c r="L1155" s="86"/>
    </row>
    <row r="1156">
      <c r="A1156" s="77"/>
      <c r="B1156" s="92"/>
      <c r="C1156" s="93"/>
      <c r="D1156" s="95"/>
      <c r="E1156" s="96"/>
      <c r="F1156" s="88"/>
      <c r="G1156" s="95" t="str">
        <f>IF(LEN(TRIM(D1156))=0,"",IFNA(VLOOKUP(UPPER(TRIM(D1156)),'CLIENT DIRECTORY'!A:B,2,FALSE),""))</f>
        <v/>
      </c>
      <c r="H1156" s="98"/>
      <c r="I1156" s="97"/>
      <c r="J1156" s="86"/>
      <c r="K1156" s="86"/>
      <c r="L1156" s="86"/>
    </row>
    <row r="1157">
      <c r="A1157" s="77"/>
      <c r="B1157" s="92"/>
      <c r="C1157" s="93"/>
      <c r="D1157" s="95"/>
      <c r="E1157" s="96"/>
      <c r="F1157" s="88"/>
      <c r="G1157" s="95" t="str">
        <f>IF(LEN(TRIM(D1157))=0,"",IFNA(VLOOKUP(UPPER(TRIM(D1157)),'CLIENT DIRECTORY'!A:B,2,FALSE),""))</f>
        <v/>
      </c>
      <c r="H1157" s="98"/>
      <c r="I1157" s="97"/>
      <c r="J1157" s="86"/>
      <c r="K1157" s="86"/>
      <c r="L1157" s="86"/>
    </row>
    <row r="1158">
      <c r="A1158" s="77"/>
      <c r="B1158" s="92"/>
      <c r="C1158" s="93"/>
      <c r="D1158" s="95"/>
      <c r="E1158" s="96"/>
      <c r="F1158" s="88"/>
      <c r="G1158" s="95" t="str">
        <f>IF(LEN(TRIM(D1158))=0,"",IFNA(VLOOKUP(UPPER(TRIM(D1158)),'CLIENT DIRECTORY'!A:B,2,FALSE),""))</f>
        <v/>
      </c>
      <c r="H1158" s="98"/>
      <c r="I1158" s="97"/>
      <c r="J1158" s="86"/>
      <c r="K1158" s="86"/>
      <c r="L1158" s="86"/>
    </row>
    <row r="1159">
      <c r="A1159" s="77"/>
      <c r="B1159" s="92"/>
      <c r="C1159" s="93"/>
      <c r="D1159" s="95"/>
      <c r="E1159" s="96"/>
      <c r="F1159" s="88"/>
      <c r="G1159" s="95" t="str">
        <f>IF(LEN(TRIM(D1159))=0,"",IFNA(VLOOKUP(UPPER(TRIM(D1159)),'CLIENT DIRECTORY'!A:B,2,FALSE),""))</f>
        <v/>
      </c>
      <c r="H1159" s="98"/>
      <c r="I1159" s="97"/>
      <c r="J1159" s="86"/>
      <c r="K1159" s="86"/>
      <c r="L1159" s="86"/>
    </row>
    <row r="1160">
      <c r="A1160" s="77"/>
      <c r="B1160" s="92"/>
      <c r="C1160" s="93"/>
      <c r="D1160" s="95"/>
      <c r="E1160" s="96"/>
      <c r="F1160" s="88"/>
      <c r="G1160" s="95" t="str">
        <f>IF(LEN(TRIM(D1160))=0,"",IFNA(VLOOKUP(UPPER(TRIM(D1160)),'CLIENT DIRECTORY'!A:B,2,FALSE),""))</f>
        <v/>
      </c>
      <c r="H1160" s="98"/>
      <c r="I1160" s="97"/>
      <c r="J1160" s="86"/>
      <c r="K1160" s="86"/>
      <c r="L1160" s="86"/>
    </row>
    <row r="1161">
      <c r="A1161" s="77"/>
      <c r="B1161" s="92"/>
      <c r="C1161" s="93"/>
      <c r="D1161" s="95"/>
      <c r="E1161" s="96"/>
      <c r="F1161" s="88"/>
      <c r="G1161" s="95" t="str">
        <f>IF(LEN(TRIM(D1161))=0,"",IFNA(VLOOKUP(UPPER(TRIM(D1161)),'CLIENT DIRECTORY'!A:B,2,FALSE),""))</f>
        <v/>
      </c>
      <c r="H1161" s="98"/>
      <c r="I1161" s="97"/>
      <c r="J1161" s="86"/>
      <c r="K1161" s="86"/>
      <c r="L1161" s="86"/>
    </row>
    <row r="1162">
      <c r="A1162" s="77"/>
      <c r="B1162" s="92"/>
      <c r="C1162" s="93"/>
      <c r="D1162" s="95"/>
      <c r="E1162" s="96"/>
      <c r="F1162" s="88"/>
      <c r="G1162" s="95" t="str">
        <f>IF(LEN(TRIM(D1162))=0,"",IFNA(VLOOKUP(UPPER(TRIM(D1162)),'CLIENT DIRECTORY'!A:B,2,FALSE),""))</f>
        <v/>
      </c>
      <c r="H1162" s="98"/>
      <c r="I1162" s="97"/>
      <c r="J1162" s="86"/>
      <c r="K1162" s="86"/>
      <c r="L1162" s="86"/>
    </row>
    <row r="1163">
      <c r="A1163" s="77"/>
      <c r="B1163" s="92"/>
      <c r="C1163" s="93"/>
      <c r="D1163" s="95"/>
      <c r="E1163" s="96"/>
      <c r="F1163" s="88"/>
      <c r="G1163" s="95" t="str">
        <f>IF(LEN(TRIM(D1163))=0,"",IFNA(VLOOKUP(UPPER(TRIM(D1163)),'CLIENT DIRECTORY'!A:B,2,FALSE),""))</f>
        <v/>
      </c>
      <c r="H1163" s="98"/>
      <c r="I1163" s="97"/>
      <c r="J1163" s="86"/>
      <c r="K1163" s="86"/>
      <c r="L1163" s="86"/>
    </row>
    <row r="1164">
      <c r="A1164" s="77"/>
      <c r="B1164" s="92"/>
      <c r="C1164" s="93"/>
      <c r="D1164" s="95"/>
      <c r="E1164" s="96"/>
      <c r="F1164" s="88"/>
      <c r="G1164" s="95" t="str">
        <f>IF(LEN(TRIM(D1164))=0,"",IFNA(VLOOKUP(UPPER(TRIM(D1164)),'CLIENT DIRECTORY'!A:B,2,FALSE),""))</f>
        <v/>
      </c>
      <c r="H1164" s="98"/>
      <c r="I1164" s="97"/>
      <c r="J1164" s="86"/>
      <c r="K1164" s="86"/>
      <c r="L1164" s="86"/>
    </row>
    <row r="1165">
      <c r="A1165" s="77"/>
      <c r="B1165" s="92"/>
      <c r="C1165" s="93"/>
      <c r="D1165" s="95"/>
      <c r="E1165" s="96"/>
      <c r="F1165" s="88"/>
      <c r="G1165" s="95" t="str">
        <f>IF(LEN(TRIM(D1165))=0,"",IFNA(VLOOKUP(UPPER(TRIM(D1165)),'CLIENT DIRECTORY'!A:B,2,FALSE),""))</f>
        <v/>
      </c>
      <c r="H1165" s="98"/>
      <c r="I1165" s="97"/>
      <c r="J1165" s="86"/>
      <c r="K1165" s="86"/>
      <c r="L1165" s="86"/>
    </row>
    <row r="1166">
      <c r="A1166" s="77"/>
      <c r="B1166" s="92"/>
      <c r="C1166" s="93"/>
      <c r="D1166" s="95"/>
      <c r="E1166" s="96"/>
      <c r="F1166" s="88"/>
      <c r="G1166" s="95" t="str">
        <f>IF(LEN(TRIM(D1166))=0,"",IFNA(VLOOKUP(UPPER(TRIM(D1166)),'CLIENT DIRECTORY'!A:B,2,FALSE),""))</f>
        <v/>
      </c>
      <c r="H1166" s="98"/>
      <c r="I1166" s="97"/>
      <c r="J1166" s="86"/>
      <c r="K1166" s="86"/>
      <c r="L1166" s="86"/>
    </row>
    <row r="1167">
      <c r="A1167" s="77"/>
      <c r="B1167" s="92"/>
      <c r="C1167" s="93"/>
      <c r="D1167" s="95"/>
      <c r="E1167" s="96"/>
      <c r="F1167" s="88"/>
      <c r="G1167" s="95" t="str">
        <f>IF(LEN(TRIM(D1167))=0,"",IFNA(VLOOKUP(UPPER(TRIM(D1167)),'CLIENT DIRECTORY'!A:B,2,FALSE),""))</f>
        <v/>
      </c>
      <c r="H1167" s="98"/>
      <c r="I1167" s="97"/>
      <c r="J1167" s="86"/>
      <c r="K1167" s="86"/>
      <c r="L1167" s="86"/>
    </row>
    <row r="1168">
      <c r="A1168" s="77"/>
      <c r="B1168" s="92"/>
      <c r="C1168" s="93"/>
      <c r="D1168" s="95"/>
      <c r="E1168" s="96"/>
      <c r="F1168" s="88"/>
      <c r="G1168" s="95" t="str">
        <f>IF(LEN(TRIM(D1168))=0,"",IFNA(VLOOKUP(UPPER(TRIM(D1168)),'CLIENT DIRECTORY'!A:B,2,FALSE),""))</f>
        <v/>
      </c>
      <c r="H1168" s="98"/>
      <c r="I1168" s="97"/>
      <c r="J1168" s="86"/>
      <c r="K1168" s="86"/>
      <c r="L1168" s="86"/>
    </row>
    <row r="1169">
      <c r="A1169" s="77"/>
      <c r="B1169" s="92"/>
      <c r="C1169" s="93"/>
      <c r="D1169" s="95"/>
      <c r="E1169" s="96"/>
      <c r="F1169" s="88"/>
      <c r="G1169" s="95" t="str">
        <f>IF(LEN(TRIM(D1169))=0,"",IFNA(VLOOKUP(UPPER(TRIM(D1169)),'CLIENT DIRECTORY'!A:B,2,FALSE),""))</f>
        <v/>
      </c>
      <c r="H1169" s="98"/>
      <c r="I1169" s="97"/>
      <c r="J1169" s="86"/>
      <c r="K1169" s="86"/>
      <c r="L1169" s="86"/>
    </row>
    <row r="1170">
      <c r="A1170" s="77"/>
      <c r="B1170" s="92"/>
      <c r="C1170" s="93"/>
      <c r="D1170" s="95"/>
      <c r="E1170" s="96"/>
      <c r="F1170" s="88"/>
      <c r="G1170" s="95" t="str">
        <f>IF(LEN(TRIM(D1170))=0,"",IFNA(VLOOKUP(UPPER(TRIM(D1170)),'CLIENT DIRECTORY'!A:B,2,FALSE),""))</f>
        <v/>
      </c>
      <c r="H1170" s="98"/>
      <c r="I1170" s="97"/>
      <c r="J1170" s="86"/>
      <c r="K1170" s="86"/>
      <c r="L1170" s="86"/>
    </row>
    <row r="1171">
      <c r="A1171" s="77"/>
      <c r="B1171" s="92"/>
      <c r="C1171" s="93"/>
      <c r="D1171" s="95"/>
      <c r="E1171" s="96"/>
      <c r="F1171" s="88"/>
      <c r="G1171" s="95" t="str">
        <f>IF(LEN(TRIM(D1171))=0,"",IFNA(VLOOKUP(UPPER(TRIM(D1171)),'CLIENT DIRECTORY'!A:B,2,FALSE),""))</f>
        <v/>
      </c>
      <c r="H1171" s="98"/>
      <c r="I1171" s="97"/>
      <c r="J1171" s="86"/>
      <c r="K1171" s="86"/>
      <c r="L1171" s="86"/>
    </row>
    <row r="1172">
      <c r="A1172" s="77"/>
      <c r="B1172" s="92"/>
      <c r="C1172" s="93"/>
      <c r="D1172" s="95"/>
      <c r="E1172" s="96"/>
      <c r="F1172" s="88"/>
      <c r="G1172" s="95" t="str">
        <f>IF(LEN(TRIM(D1172))=0,"",IFNA(VLOOKUP(UPPER(TRIM(D1172)),'CLIENT DIRECTORY'!A:B,2,FALSE),""))</f>
        <v/>
      </c>
      <c r="H1172" s="98"/>
      <c r="I1172" s="97"/>
      <c r="J1172" s="86"/>
      <c r="K1172" s="86"/>
      <c r="L1172" s="86"/>
    </row>
    <row r="1173">
      <c r="A1173" s="77"/>
      <c r="B1173" s="92"/>
      <c r="C1173" s="93"/>
      <c r="D1173" s="95"/>
      <c r="E1173" s="96"/>
      <c r="F1173" s="88"/>
      <c r="G1173" s="95" t="str">
        <f>IF(LEN(TRIM(D1173))=0,"",IFNA(VLOOKUP(UPPER(TRIM(D1173)),'CLIENT DIRECTORY'!A:B,2,FALSE),""))</f>
        <v/>
      </c>
      <c r="H1173" s="98"/>
      <c r="I1173" s="97"/>
      <c r="J1173" s="86"/>
      <c r="K1173" s="86"/>
      <c r="L1173" s="86"/>
    </row>
    <row r="1174">
      <c r="A1174" s="77"/>
      <c r="B1174" s="92"/>
      <c r="C1174" s="93"/>
      <c r="D1174" s="95"/>
      <c r="E1174" s="96"/>
      <c r="F1174" s="88"/>
      <c r="G1174" s="95" t="str">
        <f>IF(LEN(TRIM(D1174))=0,"",IFNA(VLOOKUP(UPPER(TRIM(D1174)),'CLIENT DIRECTORY'!A:B,2,FALSE),""))</f>
        <v/>
      </c>
      <c r="H1174" s="98"/>
      <c r="I1174" s="97"/>
      <c r="J1174" s="86"/>
      <c r="K1174" s="86"/>
      <c r="L1174" s="86"/>
    </row>
    <row r="1175">
      <c r="A1175" s="77"/>
      <c r="B1175" s="92"/>
      <c r="C1175" s="93"/>
      <c r="D1175" s="95"/>
      <c r="E1175" s="96"/>
      <c r="F1175" s="88"/>
      <c r="G1175" s="95" t="str">
        <f>IF(LEN(TRIM(D1175))=0,"",IFNA(VLOOKUP(UPPER(TRIM(D1175)),'CLIENT DIRECTORY'!A:B,2,FALSE),""))</f>
        <v/>
      </c>
      <c r="H1175" s="98"/>
      <c r="I1175" s="97"/>
      <c r="J1175" s="86"/>
      <c r="K1175" s="86"/>
      <c r="L1175" s="86"/>
    </row>
    <row r="1176">
      <c r="A1176" s="77"/>
      <c r="B1176" s="92"/>
      <c r="C1176" s="93"/>
      <c r="D1176" s="95"/>
      <c r="E1176" s="96"/>
      <c r="F1176" s="88"/>
      <c r="G1176" s="95" t="str">
        <f>IF(LEN(TRIM(D1176))=0,"",IFNA(VLOOKUP(UPPER(TRIM(D1176)),'CLIENT DIRECTORY'!A:B,2,FALSE),""))</f>
        <v/>
      </c>
      <c r="H1176" s="98"/>
      <c r="I1176" s="97"/>
      <c r="J1176" s="86"/>
      <c r="K1176" s="86"/>
      <c r="L1176" s="86"/>
    </row>
    <row r="1177">
      <c r="A1177" s="77"/>
      <c r="B1177" s="92"/>
      <c r="C1177" s="93"/>
      <c r="D1177" s="95"/>
      <c r="E1177" s="96"/>
      <c r="F1177" s="88"/>
      <c r="G1177" s="95" t="str">
        <f>IF(LEN(TRIM(D1177))=0,"",IFNA(VLOOKUP(UPPER(TRIM(D1177)),'CLIENT DIRECTORY'!A:B,2,FALSE),""))</f>
        <v/>
      </c>
      <c r="H1177" s="98"/>
      <c r="I1177" s="97"/>
      <c r="J1177" s="86"/>
      <c r="K1177" s="86"/>
      <c r="L1177" s="86"/>
    </row>
    <row r="1178">
      <c r="A1178" s="77"/>
      <c r="B1178" s="92"/>
      <c r="C1178" s="93"/>
      <c r="D1178" s="95"/>
      <c r="E1178" s="96"/>
      <c r="F1178" s="88"/>
      <c r="G1178" s="95" t="str">
        <f>IF(LEN(TRIM(D1178))=0,"",IFNA(VLOOKUP(UPPER(TRIM(D1178)),'CLIENT DIRECTORY'!A:B,2,FALSE),""))</f>
        <v/>
      </c>
      <c r="H1178" s="98"/>
      <c r="I1178" s="97"/>
      <c r="J1178" s="86"/>
      <c r="K1178" s="86"/>
      <c r="L1178" s="86"/>
    </row>
    <row r="1179">
      <c r="A1179" s="77"/>
      <c r="B1179" s="92"/>
      <c r="C1179" s="93"/>
      <c r="D1179" s="95"/>
      <c r="E1179" s="96"/>
      <c r="F1179" s="88"/>
      <c r="G1179" s="95" t="str">
        <f>IF(LEN(TRIM(D1179))=0,"",IFNA(VLOOKUP(UPPER(TRIM(D1179)),'CLIENT DIRECTORY'!A:B,2,FALSE),""))</f>
        <v/>
      </c>
      <c r="H1179" s="98"/>
      <c r="I1179" s="97"/>
      <c r="J1179" s="86"/>
      <c r="K1179" s="86"/>
      <c r="L1179" s="86"/>
    </row>
    <row r="1180">
      <c r="A1180" s="77"/>
      <c r="B1180" s="92"/>
      <c r="C1180" s="93"/>
      <c r="D1180" s="95"/>
      <c r="E1180" s="96"/>
      <c r="F1180" s="88"/>
      <c r="G1180" s="95" t="str">
        <f>IF(LEN(TRIM(D1180))=0,"",IFNA(VLOOKUP(UPPER(TRIM(D1180)),'CLIENT DIRECTORY'!A:B,2,FALSE),""))</f>
        <v/>
      </c>
      <c r="H1180" s="98"/>
      <c r="I1180" s="97"/>
      <c r="J1180" s="86"/>
      <c r="K1180" s="86"/>
      <c r="L1180" s="86"/>
    </row>
    <row r="1181">
      <c r="A1181" s="77"/>
      <c r="B1181" s="92"/>
      <c r="C1181" s="93"/>
      <c r="D1181" s="95"/>
      <c r="E1181" s="96"/>
      <c r="F1181" s="88"/>
      <c r="G1181" s="95" t="str">
        <f>IF(LEN(TRIM(D1181))=0,"",IFNA(VLOOKUP(UPPER(TRIM(D1181)),'CLIENT DIRECTORY'!A:B,2,FALSE),""))</f>
        <v/>
      </c>
      <c r="H1181" s="98"/>
      <c r="I1181" s="97"/>
      <c r="J1181" s="86"/>
      <c r="K1181" s="86"/>
      <c r="L1181" s="86"/>
    </row>
    <row r="1182">
      <c r="A1182" s="77"/>
      <c r="B1182" s="92"/>
      <c r="C1182" s="93"/>
      <c r="D1182" s="95"/>
      <c r="E1182" s="96"/>
      <c r="F1182" s="88"/>
      <c r="G1182" s="95" t="str">
        <f>IF(LEN(TRIM(D1182))=0,"",IFNA(VLOOKUP(UPPER(TRIM(D1182)),'CLIENT DIRECTORY'!A:B,2,FALSE),""))</f>
        <v/>
      </c>
      <c r="H1182" s="98"/>
      <c r="I1182" s="97"/>
      <c r="J1182" s="86"/>
      <c r="K1182" s="86"/>
      <c r="L1182" s="86"/>
    </row>
    <row r="1183">
      <c r="A1183" s="77"/>
      <c r="B1183" s="92"/>
      <c r="C1183" s="93"/>
      <c r="D1183" s="95"/>
      <c r="E1183" s="96"/>
      <c r="F1183" s="88"/>
      <c r="G1183" s="95" t="str">
        <f>IF(LEN(TRIM(D1183))=0,"",IFNA(VLOOKUP(UPPER(TRIM(D1183)),'CLIENT DIRECTORY'!A:B,2,FALSE),""))</f>
        <v/>
      </c>
      <c r="H1183" s="98"/>
      <c r="I1183" s="97"/>
      <c r="J1183" s="86"/>
      <c r="K1183" s="86"/>
      <c r="L1183" s="86"/>
    </row>
    <row r="1184">
      <c r="A1184" s="77"/>
      <c r="B1184" s="92"/>
      <c r="C1184" s="93"/>
      <c r="D1184" s="95"/>
      <c r="E1184" s="96"/>
      <c r="F1184" s="88"/>
      <c r="G1184" s="95" t="str">
        <f>IF(LEN(TRIM(D1184))=0,"",IFNA(VLOOKUP(UPPER(TRIM(D1184)),'CLIENT DIRECTORY'!A:B,2,FALSE),""))</f>
        <v/>
      </c>
      <c r="H1184" s="98"/>
      <c r="I1184" s="97"/>
      <c r="J1184" s="86"/>
      <c r="K1184" s="86"/>
      <c r="L1184" s="86"/>
    </row>
    <row r="1185">
      <c r="A1185" s="77"/>
      <c r="B1185" s="92"/>
      <c r="C1185" s="93"/>
      <c r="D1185" s="95"/>
      <c r="E1185" s="96"/>
      <c r="F1185" s="88"/>
      <c r="G1185" s="95" t="str">
        <f>IF(LEN(TRIM(D1185))=0,"",IFNA(VLOOKUP(UPPER(TRIM(D1185)),'CLIENT DIRECTORY'!A:B,2,FALSE),""))</f>
        <v/>
      </c>
      <c r="H1185" s="98"/>
      <c r="I1185" s="97"/>
      <c r="J1185" s="86"/>
      <c r="K1185" s="86"/>
      <c r="L1185" s="86"/>
    </row>
    <row r="1186">
      <c r="A1186" s="77"/>
      <c r="B1186" s="92"/>
      <c r="C1186" s="93"/>
      <c r="D1186" s="95"/>
      <c r="E1186" s="96"/>
      <c r="F1186" s="88"/>
      <c r="G1186" s="95" t="str">
        <f>IF(LEN(TRIM(D1186))=0,"",IFNA(VLOOKUP(UPPER(TRIM(D1186)),'CLIENT DIRECTORY'!A:B,2,FALSE),""))</f>
        <v/>
      </c>
      <c r="H1186" s="98"/>
      <c r="I1186" s="97"/>
      <c r="J1186" s="86"/>
      <c r="K1186" s="86"/>
      <c r="L1186" s="86"/>
    </row>
    <row r="1187">
      <c r="A1187" s="77"/>
      <c r="B1187" s="92"/>
      <c r="C1187" s="93"/>
      <c r="D1187" s="95"/>
      <c r="E1187" s="96"/>
      <c r="F1187" s="88"/>
      <c r="G1187" s="95" t="str">
        <f>IF(LEN(TRIM(D1187))=0,"",IFNA(VLOOKUP(UPPER(TRIM(D1187)),'CLIENT DIRECTORY'!A:B,2,FALSE),""))</f>
        <v/>
      </c>
      <c r="H1187" s="98"/>
      <c r="I1187" s="97"/>
      <c r="J1187" s="86"/>
      <c r="K1187" s="86"/>
      <c r="L1187" s="86"/>
    </row>
    <row r="1188">
      <c r="A1188" s="77"/>
      <c r="B1188" s="92"/>
      <c r="C1188" s="93"/>
      <c r="D1188" s="95"/>
      <c r="E1188" s="96"/>
      <c r="F1188" s="88"/>
      <c r="G1188" s="95" t="str">
        <f>IF(LEN(TRIM(D1188))=0,"",IFNA(VLOOKUP(UPPER(TRIM(D1188)),'CLIENT DIRECTORY'!A:B,2,FALSE),""))</f>
        <v/>
      </c>
      <c r="H1188" s="98"/>
      <c r="I1188" s="97"/>
      <c r="J1188" s="86"/>
      <c r="K1188" s="86"/>
      <c r="L1188" s="86"/>
    </row>
    <row r="1189">
      <c r="A1189" s="77"/>
      <c r="B1189" s="92"/>
      <c r="C1189" s="93"/>
      <c r="D1189" s="95"/>
      <c r="E1189" s="96"/>
      <c r="F1189" s="88"/>
      <c r="G1189" s="95" t="str">
        <f>IF(LEN(TRIM(D1189))=0,"",IFNA(VLOOKUP(UPPER(TRIM(D1189)),'CLIENT DIRECTORY'!A:B,2,FALSE),""))</f>
        <v/>
      </c>
      <c r="H1189" s="98"/>
      <c r="I1189" s="97"/>
      <c r="J1189" s="86"/>
      <c r="K1189" s="86"/>
      <c r="L1189" s="86"/>
    </row>
    <row r="1190">
      <c r="A1190" s="77"/>
      <c r="B1190" s="92"/>
      <c r="C1190" s="93"/>
      <c r="D1190" s="95"/>
      <c r="E1190" s="96"/>
      <c r="F1190" s="88"/>
      <c r="G1190" s="95" t="str">
        <f>IF(LEN(TRIM(D1190))=0,"",IFNA(VLOOKUP(UPPER(TRIM(D1190)),'CLIENT DIRECTORY'!A:B,2,FALSE),""))</f>
        <v/>
      </c>
      <c r="H1190" s="98"/>
      <c r="I1190" s="97"/>
      <c r="J1190" s="86"/>
      <c r="K1190" s="86"/>
      <c r="L1190" s="86"/>
    </row>
    <row r="1191">
      <c r="A1191" s="77"/>
      <c r="B1191" s="92"/>
      <c r="C1191" s="93"/>
      <c r="D1191" s="95"/>
      <c r="E1191" s="96"/>
      <c r="F1191" s="88"/>
      <c r="G1191" s="95" t="str">
        <f>IF(LEN(TRIM(D1191))=0,"",IFNA(VLOOKUP(UPPER(TRIM(D1191)),'CLIENT DIRECTORY'!A:B,2,FALSE),""))</f>
        <v/>
      </c>
      <c r="H1191" s="98"/>
      <c r="I1191" s="97"/>
      <c r="J1191" s="86"/>
      <c r="K1191" s="86"/>
      <c r="L1191" s="86"/>
    </row>
    <row r="1192">
      <c r="A1192" s="77"/>
      <c r="B1192" s="92"/>
      <c r="C1192" s="93"/>
      <c r="D1192" s="95"/>
      <c r="E1192" s="96"/>
      <c r="F1192" s="88"/>
      <c r="G1192" s="95" t="str">
        <f>IF(LEN(TRIM(D1192))=0,"",IFNA(VLOOKUP(UPPER(TRIM(D1192)),'CLIENT DIRECTORY'!A:B,2,FALSE),""))</f>
        <v/>
      </c>
      <c r="H1192" s="98"/>
      <c r="I1192" s="97"/>
      <c r="J1192" s="86"/>
      <c r="K1192" s="86"/>
      <c r="L1192" s="86"/>
    </row>
    <row r="1193">
      <c r="A1193" s="77"/>
      <c r="B1193" s="92"/>
      <c r="C1193" s="93"/>
      <c r="D1193" s="95"/>
      <c r="E1193" s="96"/>
      <c r="F1193" s="88"/>
      <c r="G1193" s="95" t="str">
        <f>IF(LEN(TRIM(D1193))=0,"",IFNA(VLOOKUP(UPPER(TRIM(D1193)),'CLIENT DIRECTORY'!A:B,2,FALSE),""))</f>
        <v/>
      </c>
      <c r="H1193" s="98"/>
      <c r="I1193" s="97"/>
      <c r="J1193" s="86"/>
      <c r="K1193" s="86"/>
      <c r="L1193" s="86"/>
    </row>
    <row r="1194">
      <c r="A1194" s="77"/>
      <c r="B1194" s="92"/>
      <c r="C1194" s="93"/>
      <c r="D1194" s="95"/>
      <c r="E1194" s="96"/>
      <c r="F1194" s="88"/>
      <c r="G1194" s="95" t="str">
        <f>IF(LEN(TRIM(D1194))=0,"",IFNA(VLOOKUP(UPPER(TRIM(D1194)),'CLIENT DIRECTORY'!A:B,2,FALSE),""))</f>
        <v/>
      </c>
      <c r="H1194" s="98"/>
      <c r="I1194" s="97"/>
      <c r="J1194" s="86"/>
      <c r="K1194" s="86"/>
      <c r="L1194" s="86"/>
    </row>
    <row r="1195">
      <c r="A1195" s="77"/>
      <c r="B1195" s="92"/>
      <c r="C1195" s="93"/>
      <c r="D1195" s="95"/>
      <c r="E1195" s="96"/>
      <c r="F1195" s="88"/>
      <c r="G1195" s="95" t="str">
        <f>IF(LEN(TRIM(D1195))=0,"",IFNA(VLOOKUP(UPPER(TRIM(D1195)),'CLIENT DIRECTORY'!A:B,2,FALSE),""))</f>
        <v/>
      </c>
      <c r="H1195" s="98"/>
      <c r="I1195" s="97"/>
      <c r="J1195" s="86"/>
      <c r="K1195" s="86"/>
      <c r="L1195" s="86"/>
    </row>
    <row r="1196">
      <c r="A1196" s="77"/>
      <c r="B1196" s="92"/>
      <c r="C1196" s="93"/>
      <c r="D1196" s="95"/>
      <c r="E1196" s="96"/>
      <c r="F1196" s="88"/>
      <c r="G1196" s="95" t="str">
        <f>IF(LEN(TRIM(D1196))=0,"",IFNA(VLOOKUP(UPPER(TRIM(D1196)),'CLIENT DIRECTORY'!A:B,2,FALSE),""))</f>
        <v/>
      </c>
      <c r="H1196" s="98"/>
      <c r="I1196" s="97"/>
      <c r="J1196" s="86"/>
      <c r="K1196" s="86"/>
      <c r="L1196" s="86"/>
    </row>
    <row r="1197">
      <c r="A1197" s="77"/>
      <c r="B1197" s="92"/>
      <c r="C1197" s="93"/>
      <c r="D1197" s="95"/>
      <c r="E1197" s="96"/>
      <c r="F1197" s="88"/>
      <c r="G1197" s="95" t="str">
        <f>IF(LEN(TRIM(D1197))=0,"",IFNA(VLOOKUP(UPPER(TRIM(D1197)),'CLIENT DIRECTORY'!A:B,2,FALSE),""))</f>
        <v/>
      </c>
      <c r="H1197" s="98"/>
      <c r="I1197" s="97"/>
      <c r="J1197" s="86"/>
      <c r="K1197" s="86"/>
      <c r="L1197" s="86"/>
    </row>
    <row r="1198">
      <c r="A1198" s="77"/>
      <c r="B1198" s="92"/>
      <c r="C1198" s="93"/>
      <c r="D1198" s="95"/>
      <c r="E1198" s="96"/>
      <c r="F1198" s="88"/>
      <c r="G1198" s="95" t="str">
        <f>IF(LEN(TRIM(D1198))=0,"",IFNA(VLOOKUP(UPPER(TRIM(D1198)),'CLIENT DIRECTORY'!A:B,2,FALSE),""))</f>
        <v/>
      </c>
      <c r="H1198" s="98"/>
      <c r="I1198" s="97"/>
      <c r="J1198" s="86"/>
      <c r="K1198" s="86"/>
      <c r="L1198" s="86"/>
    </row>
    <row r="1199">
      <c r="A1199" s="77"/>
      <c r="B1199" s="92"/>
      <c r="C1199" s="93"/>
      <c r="D1199" s="95"/>
      <c r="E1199" s="96"/>
      <c r="F1199" s="88"/>
      <c r="G1199" s="95" t="str">
        <f>IF(LEN(TRIM(D1199))=0,"",IFNA(VLOOKUP(UPPER(TRIM(D1199)),'CLIENT DIRECTORY'!A:B,2,FALSE),""))</f>
        <v/>
      </c>
      <c r="H1199" s="98"/>
      <c r="I1199" s="97"/>
      <c r="J1199" s="86"/>
      <c r="K1199" s="86"/>
      <c r="L1199" s="86"/>
    </row>
    <row r="1200">
      <c r="A1200" s="77"/>
      <c r="B1200" s="92"/>
      <c r="C1200" s="93"/>
      <c r="D1200" s="95"/>
      <c r="E1200" s="96"/>
      <c r="F1200" s="88"/>
      <c r="G1200" s="95" t="str">
        <f>IF(LEN(TRIM(D1200))=0,"",IFNA(VLOOKUP(UPPER(TRIM(D1200)),'CLIENT DIRECTORY'!A:B,2,FALSE),""))</f>
        <v/>
      </c>
      <c r="H1200" s="98"/>
      <c r="I1200" s="97"/>
      <c r="J1200" s="86"/>
      <c r="K1200" s="86"/>
      <c r="L1200" s="86"/>
    </row>
    <row r="1201">
      <c r="A1201" s="77"/>
      <c r="B1201" s="92"/>
      <c r="C1201" s="93"/>
      <c r="D1201" s="95"/>
      <c r="E1201" s="96"/>
      <c r="F1201" s="88"/>
      <c r="G1201" s="95" t="str">
        <f>IF(LEN(TRIM(D1201))=0,"",IFNA(VLOOKUP(UPPER(TRIM(D1201)),'CLIENT DIRECTORY'!A:B,2,FALSE),""))</f>
        <v/>
      </c>
      <c r="H1201" s="98"/>
      <c r="I1201" s="97"/>
      <c r="J1201" s="86"/>
      <c r="K1201" s="86"/>
      <c r="L1201" s="86"/>
    </row>
    <row r="1202">
      <c r="A1202" s="77"/>
      <c r="B1202" s="92"/>
      <c r="C1202" s="93"/>
      <c r="D1202" s="95"/>
      <c r="E1202" s="96"/>
      <c r="F1202" s="88"/>
      <c r="G1202" s="95" t="str">
        <f>IF(LEN(TRIM(D1202))=0,"",IFNA(VLOOKUP(UPPER(TRIM(D1202)),'CLIENT DIRECTORY'!A:B,2,FALSE),""))</f>
        <v/>
      </c>
      <c r="H1202" s="98"/>
      <c r="I1202" s="97"/>
      <c r="J1202" s="86"/>
      <c r="K1202" s="86"/>
      <c r="L1202" s="86"/>
    </row>
    <row r="1203">
      <c r="A1203" s="77"/>
      <c r="B1203" s="92"/>
      <c r="C1203" s="93"/>
      <c r="D1203" s="95"/>
      <c r="E1203" s="96"/>
      <c r="F1203" s="88"/>
      <c r="G1203" s="95" t="str">
        <f>IF(LEN(TRIM(D1203))=0,"",IFNA(VLOOKUP(UPPER(TRIM(D1203)),'CLIENT DIRECTORY'!A:B,2,FALSE),""))</f>
        <v/>
      </c>
      <c r="H1203" s="98"/>
      <c r="I1203" s="97"/>
      <c r="J1203" s="86"/>
      <c r="K1203" s="86"/>
      <c r="L1203" s="86"/>
    </row>
    <row r="1204">
      <c r="A1204" s="77"/>
      <c r="B1204" s="92"/>
      <c r="C1204" s="93"/>
      <c r="D1204" s="95"/>
      <c r="E1204" s="96"/>
      <c r="F1204" s="88"/>
      <c r="G1204" s="95" t="str">
        <f>IF(LEN(TRIM(D1204))=0,"",IFNA(VLOOKUP(UPPER(TRIM(D1204)),'CLIENT DIRECTORY'!A:B,2,FALSE),""))</f>
        <v/>
      </c>
      <c r="H1204" s="98"/>
      <c r="I1204" s="97"/>
      <c r="J1204" s="86"/>
      <c r="K1204" s="86"/>
      <c r="L1204" s="86"/>
    </row>
    <row r="1205">
      <c r="A1205" s="77"/>
      <c r="B1205" s="92"/>
      <c r="C1205" s="93"/>
      <c r="D1205" s="95"/>
      <c r="E1205" s="96"/>
      <c r="F1205" s="88"/>
      <c r="G1205" s="95" t="str">
        <f>IF(LEN(TRIM(D1205))=0,"",IFNA(VLOOKUP(UPPER(TRIM(D1205)),'CLIENT DIRECTORY'!A:B,2,FALSE),""))</f>
        <v/>
      </c>
      <c r="H1205" s="98"/>
      <c r="I1205" s="97"/>
      <c r="J1205" s="86"/>
      <c r="K1205" s="86"/>
      <c r="L1205" s="86"/>
    </row>
    <row r="1206">
      <c r="A1206" s="77"/>
      <c r="B1206" s="92"/>
      <c r="C1206" s="93"/>
      <c r="D1206" s="95"/>
      <c r="E1206" s="96"/>
      <c r="F1206" s="88"/>
      <c r="G1206" s="95" t="str">
        <f>IF(LEN(TRIM(D1206))=0,"",IFNA(VLOOKUP(UPPER(TRIM(D1206)),'CLIENT DIRECTORY'!A:B,2,FALSE),""))</f>
        <v/>
      </c>
      <c r="H1206" s="98"/>
      <c r="I1206" s="97"/>
      <c r="J1206" s="86"/>
      <c r="K1206" s="86"/>
      <c r="L1206" s="86"/>
    </row>
    <row r="1207">
      <c r="A1207" s="77"/>
      <c r="B1207" s="92"/>
      <c r="C1207" s="93"/>
      <c r="D1207" s="95"/>
      <c r="E1207" s="96"/>
      <c r="F1207" s="88"/>
      <c r="G1207" s="95" t="str">
        <f>IF(LEN(TRIM(D1207))=0,"",IFNA(VLOOKUP(UPPER(TRIM(D1207)),'CLIENT DIRECTORY'!A:B,2,FALSE),""))</f>
        <v/>
      </c>
      <c r="H1207" s="98"/>
      <c r="I1207" s="97"/>
      <c r="J1207" s="86"/>
      <c r="K1207" s="86"/>
      <c r="L1207" s="86"/>
    </row>
    <row r="1208">
      <c r="A1208" s="77"/>
      <c r="B1208" s="92"/>
      <c r="C1208" s="93"/>
      <c r="D1208" s="95"/>
      <c r="E1208" s="96"/>
      <c r="F1208" s="88"/>
      <c r="G1208" s="95" t="str">
        <f>IF(LEN(TRIM(D1208))=0,"",IFNA(VLOOKUP(UPPER(TRIM(D1208)),'CLIENT DIRECTORY'!A:B,2,FALSE),""))</f>
        <v/>
      </c>
      <c r="H1208" s="98"/>
      <c r="I1208" s="97"/>
      <c r="J1208" s="86"/>
      <c r="K1208" s="86"/>
      <c r="L1208" s="86"/>
    </row>
    <row r="1209">
      <c r="A1209" s="77"/>
      <c r="B1209" s="92"/>
      <c r="C1209" s="93"/>
      <c r="D1209" s="95"/>
      <c r="E1209" s="96"/>
      <c r="F1209" s="88"/>
      <c r="G1209" s="95" t="str">
        <f>IF(LEN(TRIM(D1209))=0,"",IFNA(VLOOKUP(UPPER(TRIM(D1209)),'CLIENT DIRECTORY'!A:B,2,FALSE),""))</f>
        <v/>
      </c>
      <c r="H1209" s="98"/>
      <c r="I1209" s="97"/>
      <c r="J1209" s="86"/>
      <c r="K1209" s="86"/>
      <c r="L1209" s="86"/>
    </row>
    <row r="1210">
      <c r="A1210" s="77"/>
      <c r="B1210" s="92"/>
      <c r="C1210" s="93"/>
      <c r="D1210" s="95"/>
      <c r="E1210" s="96"/>
      <c r="F1210" s="88"/>
      <c r="G1210" s="95" t="str">
        <f>IF(LEN(TRIM(D1210))=0,"",IFNA(VLOOKUP(UPPER(TRIM(D1210)),'CLIENT DIRECTORY'!A:B,2,FALSE),""))</f>
        <v/>
      </c>
      <c r="H1210" s="98"/>
      <c r="I1210" s="97"/>
      <c r="J1210" s="86"/>
      <c r="K1210" s="86"/>
      <c r="L1210" s="86"/>
    </row>
    <row r="1211">
      <c r="A1211" s="77"/>
      <c r="B1211" s="92"/>
      <c r="C1211" s="93"/>
      <c r="D1211" s="95"/>
      <c r="E1211" s="96"/>
      <c r="F1211" s="88"/>
      <c r="G1211" s="95" t="str">
        <f>IF(LEN(TRIM(D1211))=0,"",IFNA(VLOOKUP(UPPER(TRIM(D1211)),'CLIENT DIRECTORY'!A:B,2,FALSE),""))</f>
        <v/>
      </c>
      <c r="H1211" s="98"/>
      <c r="I1211" s="97"/>
      <c r="J1211" s="86"/>
      <c r="K1211" s="86"/>
      <c r="L1211" s="86"/>
    </row>
    <row r="1212">
      <c r="A1212" s="77"/>
      <c r="B1212" s="92"/>
      <c r="C1212" s="93"/>
      <c r="D1212" s="95"/>
      <c r="E1212" s="96"/>
      <c r="F1212" s="88"/>
      <c r="G1212" s="95" t="str">
        <f>IF(LEN(TRIM(D1212))=0,"",IFNA(VLOOKUP(UPPER(TRIM(D1212)),'CLIENT DIRECTORY'!A:B,2,FALSE),""))</f>
        <v/>
      </c>
      <c r="H1212" s="98"/>
      <c r="I1212" s="97"/>
      <c r="J1212" s="86"/>
      <c r="K1212" s="86"/>
      <c r="L1212" s="86"/>
    </row>
    <row r="1213">
      <c r="A1213" s="77"/>
      <c r="B1213" s="92"/>
      <c r="C1213" s="93"/>
      <c r="D1213" s="95"/>
      <c r="E1213" s="96"/>
      <c r="F1213" s="88"/>
      <c r="G1213" s="95" t="str">
        <f>IF(LEN(TRIM(D1213))=0,"",IFNA(VLOOKUP(UPPER(TRIM(D1213)),'CLIENT DIRECTORY'!A:B,2,FALSE),""))</f>
        <v/>
      </c>
      <c r="H1213" s="98"/>
      <c r="I1213" s="97"/>
      <c r="J1213" s="86"/>
      <c r="K1213" s="86"/>
      <c r="L1213" s="86"/>
    </row>
    <row r="1214">
      <c r="A1214" s="77"/>
      <c r="B1214" s="92"/>
      <c r="C1214" s="93"/>
      <c r="D1214" s="95"/>
      <c r="E1214" s="96"/>
      <c r="F1214" s="88"/>
      <c r="G1214" s="95" t="str">
        <f>IF(LEN(TRIM(D1214))=0,"",IFNA(VLOOKUP(UPPER(TRIM(D1214)),'CLIENT DIRECTORY'!A:B,2,FALSE),""))</f>
        <v/>
      </c>
      <c r="H1214" s="98"/>
      <c r="I1214" s="97"/>
      <c r="J1214" s="86"/>
      <c r="K1214" s="86"/>
      <c r="L1214" s="86"/>
    </row>
    <row r="1215">
      <c r="A1215" s="77"/>
      <c r="B1215" s="92"/>
      <c r="C1215" s="93"/>
      <c r="D1215" s="95"/>
      <c r="E1215" s="96"/>
      <c r="F1215" s="88"/>
      <c r="G1215" s="95" t="str">
        <f>IF(LEN(TRIM(D1215))=0,"",IFNA(VLOOKUP(UPPER(TRIM(D1215)),'CLIENT DIRECTORY'!A:B,2,FALSE),""))</f>
        <v/>
      </c>
      <c r="H1215" s="98"/>
      <c r="I1215" s="97"/>
      <c r="J1215" s="86"/>
      <c r="K1215" s="86"/>
      <c r="L1215" s="86"/>
    </row>
    <row r="1216">
      <c r="A1216" s="77"/>
      <c r="B1216" s="92"/>
      <c r="C1216" s="93"/>
      <c r="D1216" s="95"/>
      <c r="E1216" s="96"/>
      <c r="F1216" s="88"/>
      <c r="G1216" s="95" t="str">
        <f>IF(LEN(TRIM(D1216))=0,"",IFNA(VLOOKUP(UPPER(TRIM(D1216)),'CLIENT DIRECTORY'!A:B,2,FALSE),""))</f>
        <v/>
      </c>
      <c r="H1216" s="98"/>
      <c r="I1216" s="97"/>
      <c r="J1216" s="86"/>
      <c r="K1216" s="86"/>
      <c r="L1216" s="86"/>
    </row>
    <row r="1217">
      <c r="A1217" s="77"/>
      <c r="B1217" s="92"/>
      <c r="C1217" s="93"/>
      <c r="D1217" s="95"/>
      <c r="E1217" s="96"/>
      <c r="F1217" s="88"/>
      <c r="G1217" s="95" t="str">
        <f>IF(LEN(TRIM(D1217))=0,"",IFNA(VLOOKUP(UPPER(TRIM(D1217)),'CLIENT DIRECTORY'!A:B,2,FALSE),""))</f>
        <v/>
      </c>
      <c r="H1217" s="98"/>
      <c r="I1217" s="97"/>
      <c r="J1217" s="86"/>
      <c r="K1217" s="86"/>
      <c r="L1217" s="86"/>
    </row>
    <row r="1218">
      <c r="A1218" s="77"/>
      <c r="B1218" s="92"/>
      <c r="C1218" s="93"/>
      <c r="D1218" s="95"/>
      <c r="E1218" s="96"/>
      <c r="F1218" s="88"/>
      <c r="G1218" s="95" t="str">
        <f>IF(LEN(TRIM(D1218))=0,"",IFNA(VLOOKUP(UPPER(TRIM(D1218)),'CLIENT DIRECTORY'!A:B,2,FALSE),""))</f>
        <v/>
      </c>
      <c r="H1218" s="98"/>
      <c r="I1218" s="97"/>
      <c r="J1218" s="86"/>
      <c r="K1218" s="86"/>
      <c r="L1218" s="86"/>
    </row>
    <row r="1219">
      <c r="A1219" s="77"/>
      <c r="B1219" s="92"/>
      <c r="C1219" s="93"/>
      <c r="D1219" s="95"/>
      <c r="E1219" s="96"/>
      <c r="F1219" s="88"/>
      <c r="G1219" s="95" t="str">
        <f>IF(LEN(TRIM(D1219))=0,"",IFNA(VLOOKUP(UPPER(TRIM(D1219)),'CLIENT DIRECTORY'!A:B,2,FALSE),""))</f>
        <v/>
      </c>
      <c r="H1219" s="98"/>
      <c r="I1219" s="97"/>
      <c r="J1219" s="86"/>
      <c r="K1219" s="86"/>
      <c r="L1219" s="86"/>
    </row>
    <row r="1220">
      <c r="A1220" s="77"/>
      <c r="B1220" s="92"/>
      <c r="C1220" s="93"/>
      <c r="D1220" s="95"/>
      <c r="E1220" s="96"/>
      <c r="F1220" s="88"/>
      <c r="G1220" s="95" t="str">
        <f>IF(LEN(TRIM(D1220))=0,"",IFNA(VLOOKUP(UPPER(TRIM(D1220)),'CLIENT DIRECTORY'!A:B,2,FALSE),""))</f>
        <v/>
      </c>
      <c r="H1220" s="98"/>
      <c r="I1220" s="97"/>
      <c r="J1220" s="86"/>
      <c r="K1220" s="86"/>
      <c r="L1220" s="86"/>
    </row>
    <row r="1221">
      <c r="A1221" s="77"/>
      <c r="B1221" s="92"/>
      <c r="C1221" s="93"/>
      <c r="D1221" s="95"/>
      <c r="E1221" s="96"/>
      <c r="F1221" s="88"/>
      <c r="G1221" s="95" t="str">
        <f>IF(LEN(TRIM(D1221))=0,"",IFNA(VLOOKUP(UPPER(TRIM(D1221)),'CLIENT DIRECTORY'!A:B,2,FALSE),""))</f>
        <v/>
      </c>
      <c r="H1221" s="98"/>
      <c r="I1221" s="97"/>
      <c r="J1221" s="86"/>
      <c r="K1221" s="86"/>
      <c r="L1221" s="86"/>
    </row>
    <row r="1222">
      <c r="A1222" s="77"/>
      <c r="B1222" s="92"/>
      <c r="C1222" s="93"/>
      <c r="D1222" s="95"/>
      <c r="E1222" s="96"/>
      <c r="F1222" s="88"/>
      <c r="G1222" s="95" t="str">
        <f>IF(LEN(TRIM(D1222))=0,"",IFNA(VLOOKUP(UPPER(TRIM(D1222)),'CLIENT DIRECTORY'!A:B,2,FALSE),""))</f>
        <v/>
      </c>
      <c r="H1222" s="98"/>
      <c r="I1222" s="97"/>
      <c r="J1222" s="86"/>
      <c r="K1222" s="86"/>
      <c r="L1222" s="86"/>
    </row>
    <row r="1223">
      <c r="A1223" s="77"/>
      <c r="B1223" s="92"/>
      <c r="C1223" s="93"/>
      <c r="D1223" s="95"/>
      <c r="E1223" s="96"/>
      <c r="F1223" s="88"/>
      <c r="G1223" s="95" t="str">
        <f>IF(LEN(TRIM(D1223))=0,"",IFNA(VLOOKUP(UPPER(TRIM(D1223)),'CLIENT DIRECTORY'!A:B,2,FALSE),""))</f>
        <v/>
      </c>
      <c r="H1223" s="98"/>
      <c r="I1223" s="97"/>
      <c r="J1223" s="86"/>
      <c r="K1223" s="86"/>
      <c r="L1223" s="86"/>
    </row>
    <row r="1224">
      <c r="A1224" s="77"/>
      <c r="B1224" s="92"/>
      <c r="C1224" s="93"/>
      <c r="D1224" s="95"/>
      <c r="E1224" s="96"/>
      <c r="F1224" s="88"/>
      <c r="G1224" s="95" t="str">
        <f>IF(LEN(TRIM(D1224))=0,"",IFNA(VLOOKUP(UPPER(TRIM(D1224)),'CLIENT DIRECTORY'!A:B,2,FALSE),""))</f>
        <v/>
      </c>
      <c r="H1224" s="98"/>
      <c r="I1224" s="97"/>
      <c r="J1224" s="86"/>
      <c r="K1224" s="86"/>
      <c r="L1224" s="86"/>
    </row>
    <row r="1225">
      <c r="A1225" s="77"/>
      <c r="B1225" s="92"/>
      <c r="C1225" s="93"/>
      <c r="D1225" s="95"/>
      <c r="E1225" s="96"/>
      <c r="F1225" s="88"/>
      <c r="G1225" s="95" t="str">
        <f>IF(LEN(TRIM(D1225))=0,"",IFNA(VLOOKUP(UPPER(TRIM(D1225)),'CLIENT DIRECTORY'!A:B,2,FALSE),""))</f>
        <v/>
      </c>
      <c r="H1225" s="98"/>
      <c r="I1225" s="97"/>
      <c r="J1225" s="86"/>
      <c r="K1225" s="86"/>
      <c r="L1225" s="86"/>
    </row>
    <row r="1226">
      <c r="A1226" s="77"/>
      <c r="B1226" s="92"/>
      <c r="C1226" s="93"/>
      <c r="D1226" s="95"/>
      <c r="E1226" s="96"/>
      <c r="F1226" s="88"/>
      <c r="G1226" s="95" t="str">
        <f>IF(LEN(TRIM(D1226))=0,"",IFNA(VLOOKUP(UPPER(TRIM(D1226)),'CLIENT DIRECTORY'!A:B,2,FALSE),""))</f>
        <v/>
      </c>
      <c r="H1226" s="98"/>
      <c r="I1226" s="97"/>
      <c r="J1226" s="86"/>
      <c r="K1226" s="86"/>
      <c r="L1226" s="86"/>
    </row>
    <row r="1227">
      <c r="A1227" s="77"/>
      <c r="B1227" s="92"/>
      <c r="C1227" s="93"/>
      <c r="D1227" s="95"/>
      <c r="E1227" s="96"/>
      <c r="F1227" s="88"/>
      <c r="G1227" s="95" t="str">
        <f>IF(LEN(TRIM(D1227))=0,"",IFNA(VLOOKUP(UPPER(TRIM(D1227)),'CLIENT DIRECTORY'!A:B,2,FALSE),""))</f>
        <v/>
      </c>
      <c r="H1227" s="98"/>
      <c r="I1227" s="97"/>
      <c r="J1227" s="86"/>
      <c r="K1227" s="86"/>
      <c r="L1227" s="86"/>
    </row>
    <row r="1228">
      <c r="A1228" s="77"/>
      <c r="B1228" s="92"/>
      <c r="C1228" s="93"/>
      <c r="D1228" s="95"/>
      <c r="E1228" s="96"/>
      <c r="F1228" s="88"/>
      <c r="G1228" s="95" t="str">
        <f>IF(LEN(TRIM(D1228))=0,"",IFNA(VLOOKUP(UPPER(TRIM(D1228)),'CLIENT DIRECTORY'!A:B,2,FALSE),""))</f>
        <v/>
      </c>
      <c r="H1228" s="98"/>
      <c r="I1228" s="97"/>
      <c r="J1228" s="86"/>
      <c r="K1228" s="86"/>
      <c r="L1228" s="86"/>
    </row>
    <row r="1229">
      <c r="A1229" s="77"/>
      <c r="B1229" s="92"/>
      <c r="C1229" s="93"/>
      <c r="D1229" s="95"/>
      <c r="E1229" s="96"/>
      <c r="F1229" s="88"/>
      <c r="G1229" s="95" t="str">
        <f>IF(LEN(TRIM(D1229))=0,"",IFNA(VLOOKUP(UPPER(TRIM(D1229)),'CLIENT DIRECTORY'!A:B,2,FALSE),""))</f>
        <v/>
      </c>
      <c r="H1229" s="98"/>
      <c r="I1229" s="97"/>
      <c r="J1229" s="86"/>
      <c r="K1229" s="86"/>
      <c r="L1229" s="86"/>
    </row>
    <row r="1230">
      <c r="A1230" s="77"/>
      <c r="B1230" s="92"/>
      <c r="C1230" s="93"/>
      <c r="D1230" s="95"/>
      <c r="E1230" s="96"/>
      <c r="F1230" s="88"/>
      <c r="G1230" s="95" t="str">
        <f>IF(LEN(TRIM(D1230))=0,"",IFNA(VLOOKUP(UPPER(TRIM(D1230)),'CLIENT DIRECTORY'!A:B,2,FALSE),""))</f>
        <v/>
      </c>
      <c r="H1230" s="98"/>
      <c r="I1230" s="97"/>
      <c r="J1230" s="86"/>
      <c r="K1230" s="86"/>
      <c r="L1230" s="86"/>
    </row>
    <row r="1231">
      <c r="A1231" s="77"/>
      <c r="B1231" s="92"/>
      <c r="C1231" s="93"/>
      <c r="D1231" s="95"/>
      <c r="E1231" s="96"/>
      <c r="F1231" s="88"/>
      <c r="G1231" s="95" t="str">
        <f>IF(LEN(TRIM(D1231))=0,"",IFNA(VLOOKUP(UPPER(TRIM(D1231)),'CLIENT DIRECTORY'!A:B,2,FALSE),""))</f>
        <v/>
      </c>
      <c r="H1231" s="98"/>
      <c r="I1231" s="97"/>
      <c r="J1231" s="86"/>
      <c r="K1231" s="86"/>
      <c r="L1231" s="86"/>
    </row>
    <row r="1232">
      <c r="A1232" s="77"/>
      <c r="B1232" s="92"/>
      <c r="C1232" s="93"/>
      <c r="D1232" s="95"/>
      <c r="E1232" s="96"/>
      <c r="F1232" s="88"/>
      <c r="G1232" s="95" t="str">
        <f>IF(LEN(TRIM(D1232))=0,"",IFNA(VLOOKUP(UPPER(TRIM(D1232)),'CLIENT DIRECTORY'!A:B,2,FALSE),""))</f>
        <v/>
      </c>
      <c r="H1232" s="98"/>
      <c r="I1232" s="97"/>
      <c r="J1232" s="86"/>
      <c r="K1232" s="86"/>
      <c r="L1232" s="86"/>
    </row>
    <row r="1233">
      <c r="A1233" s="77"/>
      <c r="B1233" s="92"/>
      <c r="C1233" s="93"/>
      <c r="D1233" s="95"/>
      <c r="E1233" s="96"/>
      <c r="F1233" s="88"/>
      <c r="G1233" s="95" t="str">
        <f>IF(LEN(TRIM(D1233))=0,"",IFNA(VLOOKUP(UPPER(TRIM(D1233)),'CLIENT DIRECTORY'!A:B,2,FALSE),""))</f>
        <v/>
      </c>
      <c r="H1233" s="98"/>
      <c r="I1233" s="97"/>
      <c r="J1233" s="86"/>
      <c r="K1233" s="86"/>
      <c r="L1233" s="86"/>
    </row>
    <row r="1234">
      <c r="A1234" s="77"/>
      <c r="B1234" s="92"/>
      <c r="C1234" s="93"/>
      <c r="D1234" s="95"/>
      <c r="E1234" s="96"/>
      <c r="F1234" s="88"/>
      <c r="G1234" s="95" t="str">
        <f>IF(LEN(TRIM(D1234))=0,"",IFNA(VLOOKUP(UPPER(TRIM(D1234)),'CLIENT DIRECTORY'!A:B,2,FALSE),""))</f>
        <v/>
      </c>
      <c r="H1234" s="98"/>
      <c r="I1234" s="97"/>
      <c r="J1234" s="86"/>
      <c r="K1234" s="86"/>
      <c r="L1234" s="86"/>
    </row>
    <row r="1235">
      <c r="A1235" s="77"/>
      <c r="B1235" s="92"/>
      <c r="C1235" s="93"/>
      <c r="D1235" s="95"/>
      <c r="E1235" s="96"/>
      <c r="F1235" s="88"/>
      <c r="G1235" s="95" t="str">
        <f>IF(LEN(TRIM(D1235))=0,"",IFNA(VLOOKUP(UPPER(TRIM(D1235)),'CLIENT DIRECTORY'!A:B,2,FALSE),""))</f>
        <v/>
      </c>
      <c r="H1235" s="98"/>
      <c r="I1235" s="97"/>
      <c r="J1235" s="86"/>
      <c r="K1235" s="86"/>
      <c r="L1235" s="86"/>
    </row>
    <row r="1236">
      <c r="A1236" s="77"/>
      <c r="B1236" s="92"/>
      <c r="C1236" s="93"/>
      <c r="D1236" s="95"/>
      <c r="E1236" s="96"/>
      <c r="F1236" s="88"/>
      <c r="G1236" s="95" t="str">
        <f>IF(LEN(TRIM(D1236))=0,"",IFNA(VLOOKUP(UPPER(TRIM(D1236)),'CLIENT DIRECTORY'!A:B,2,FALSE),""))</f>
        <v/>
      </c>
      <c r="H1236" s="98"/>
      <c r="I1236" s="97"/>
      <c r="J1236" s="86"/>
      <c r="K1236" s="86"/>
      <c r="L1236" s="86"/>
    </row>
    <row r="1237">
      <c r="A1237" s="77"/>
      <c r="B1237" s="92"/>
      <c r="C1237" s="93"/>
      <c r="D1237" s="95"/>
      <c r="E1237" s="96"/>
      <c r="F1237" s="88"/>
      <c r="G1237" s="95" t="str">
        <f>IF(LEN(TRIM(D1237))=0,"",IFNA(VLOOKUP(UPPER(TRIM(D1237)),'CLIENT DIRECTORY'!A:B,2,FALSE),""))</f>
        <v/>
      </c>
      <c r="H1237" s="98"/>
      <c r="I1237" s="97"/>
      <c r="J1237" s="86"/>
      <c r="K1237" s="86"/>
      <c r="L1237" s="86"/>
    </row>
    <row r="1238">
      <c r="A1238" s="77"/>
      <c r="B1238" s="92"/>
      <c r="C1238" s="93"/>
      <c r="D1238" s="95"/>
      <c r="E1238" s="96"/>
      <c r="F1238" s="88"/>
      <c r="G1238" s="95" t="str">
        <f>IF(LEN(TRIM(D1238))=0,"",IFNA(VLOOKUP(UPPER(TRIM(D1238)),'CLIENT DIRECTORY'!A:B,2,FALSE),""))</f>
        <v/>
      </c>
      <c r="H1238" s="98"/>
      <c r="I1238" s="97"/>
      <c r="J1238" s="86"/>
      <c r="K1238" s="86"/>
      <c r="L1238" s="86"/>
    </row>
    <row r="1239">
      <c r="A1239" s="77"/>
      <c r="B1239" s="92"/>
      <c r="C1239" s="93"/>
      <c r="D1239" s="95"/>
      <c r="E1239" s="96"/>
      <c r="F1239" s="88"/>
      <c r="G1239" s="95" t="str">
        <f>IF(LEN(TRIM(D1239))=0,"",IFNA(VLOOKUP(UPPER(TRIM(D1239)),'CLIENT DIRECTORY'!A:B,2,FALSE),""))</f>
        <v/>
      </c>
      <c r="H1239" s="98"/>
      <c r="I1239" s="97"/>
      <c r="J1239" s="86"/>
      <c r="K1239" s="86"/>
      <c r="L1239" s="86"/>
    </row>
    <row r="1240">
      <c r="A1240" s="77"/>
      <c r="B1240" s="92"/>
      <c r="C1240" s="93"/>
      <c r="D1240" s="95"/>
      <c r="E1240" s="96"/>
      <c r="F1240" s="88"/>
      <c r="G1240" s="95" t="str">
        <f>IF(LEN(TRIM(D1240))=0,"",IFNA(VLOOKUP(UPPER(TRIM(D1240)),'CLIENT DIRECTORY'!A:B,2,FALSE),""))</f>
        <v/>
      </c>
      <c r="H1240" s="98"/>
      <c r="I1240" s="97"/>
      <c r="J1240" s="86"/>
      <c r="K1240" s="86"/>
      <c r="L1240" s="86"/>
    </row>
    <row r="1241">
      <c r="A1241" s="77"/>
      <c r="B1241" s="92"/>
      <c r="C1241" s="93"/>
      <c r="D1241" s="95"/>
      <c r="E1241" s="96"/>
      <c r="F1241" s="88"/>
      <c r="G1241" s="95" t="str">
        <f>IF(LEN(TRIM(D1241))=0,"",IFNA(VLOOKUP(UPPER(TRIM(D1241)),'CLIENT DIRECTORY'!A:B,2,FALSE),""))</f>
        <v/>
      </c>
      <c r="H1241" s="98"/>
      <c r="I1241" s="97"/>
      <c r="J1241" s="86"/>
      <c r="K1241" s="86"/>
      <c r="L1241" s="86"/>
    </row>
    <row r="1242">
      <c r="A1242" s="77"/>
      <c r="B1242" s="92"/>
      <c r="C1242" s="93"/>
      <c r="D1242" s="95"/>
      <c r="E1242" s="96"/>
      <c r="F1242" s="88"/>
      <c r="G1242" s="95" t="str">
        <f>IF(LEN(TRIM(D1242))=0,"",IFNA(VLOOKUP(UPPER(TRIM(D1242)),'CLIENT DIRECTORY'!A:B,2,FALSE),""))</f>
        <v/>
      </c>
      <c r="H1242" s="98"/>
      <c r="I1242" s="97"/>
      <c r="J1242" s="86"/>
      <c r="K1242" s="86"/>
      <c r="L1242" s="86"/>
    </row>
    <row r="1243">
      <c r="A1243" s="77"/>
      <c r="B1243" s="92"/>
      <c r="C1243" s="93"/>
      <c r="D1243" s="95"/>
      <c r="E1243" s="96"/>
      <c r="F1243" s="88"/>
      <c r="G1243" s="95" t="str">
        <f>IF(LEN(TRIM(D1243))=0,"",IFNA(VLOOKUP(UPPER(TRIM(D1243)),'CLIENT DIRECTORY'!A:B,2,FALSE),""))</f>
        <v/>
      </c>
      <c r="H1243" s="98"/>
      <c r="I1243" s="97"/>
      <c r="J1243" s="86"/>
      <c r="K1243" s="86"/>
      <c r="L1243" s="86"/>
    </row>
    <row r="1244">
      <c r="A1244" s="77"/>
      <c r="B1244" s="92"/>
      <c r="C1244" s="93"/>
      <c r="D1244" s="95"/>
      <c r="E1244" s="96"/>
      <c r="F1244" s="88"/>
      <c r="G1244" s="95" t="str">
        <f>IF(LEN(TRIM(D1244))=0,"",IFNA(VLOOKUP(UPPER(TRIM(D1244)),'CLIENT DIRECTORY'!A:B,2,FALSE),""))</f>
        <v/>
      </c>
      <c r="H1244" s="98"/>
      <c r="I1244" s="97"/>
      <c r="J1244" s="86"/>
      <c r="K1244" s="86"/>
      <c r="L1244" s="86"/>
    </row>
    <row r="1245">
      <c r="A1245" s="77"/>
      <c r="B1245" s="92"/>
      <c r="C1245" s="93"/>
      <c r="D1245" s="95"/>
      <c r="E1245" s="96"/>
      <c r="F1245" s="88"/>
      <c r="G1245" s="95" t="str">
        <f>IF(LEN(TRIM(D1245))=0,"",IFNA(VLOOKUP(UPPER(TRIM(D1245)),'CLIENT DIRECTORY'!A:B,2,FALSE),""))</f>
        <v/>
      </c>
      <c r="H1245" s="98"/>
      <c r="I1245" s="97"/>
      <c r="J1245" s="86"/>
      <c r="K1245" s="86"/>
      <c r="L1245" s="86"/>
    </row>
    <row r="1246">
      <c r="A1246" s="77"/>
      <c r="B1246" s="92"/>
      <c r="C1246" s="93"/>
      <c r="D1246" s="95"/>
      <c r="E1246" s="96"/>
      <c r="F1246" s="88"/>
      <c r="G1246" s="95" t="str">
        <f>IF(LEN(TRIM(D1246))=0,"",IFNA(VLOOKUP(UPPER(TRIM(D1246)),'CLIENT DIRECTORY'!A:B,2,FALSE),""))</f>
        <v/>
      </c>
      <c r="H1246" s="98"/>
      <c r="I1246" s="97"/>
      <c r="J1246" s="86"/>
      <c r="K1246" s="86"/>
      <c r="L1246" s="86"/>
    </row>
    <row r="1247">
      <c r="A1247" s="77"/>
      <c r="B1247" s="92"/>
      <c r="C1247" s="93"/>
      <c r="D1247" s="95"/>
      <c r="E1247" s="96"/>
      <c r="F1247" s="88"/>
      <c r="G1247" s="95" t="str">
        <f>IF(LEN(TRIM(D1247))=0,"",IFNA(VLOOKUP(UPPER(TRIM(D1247)),'CLIENT DIRECTORY'!A:B,2,FALSE),""))</f>
        <v/>
      </c>
      <c r="H1247" s="98"/>
      <c r="I1247" s="97"/>
      <c r="J1247" s="86"/>
      <c r="K1247" s="86"/>
      <c r="L1247" s="86"/>
    </row>
    <row r="1248">
      <c r="A1248" s="77"/>
      <c r="B1248" s="92"/>
      <c r="C1248" s="93"/>
      <c r="D1248" s="95"/>
      <c r="E1248" s="96"/>
      <c r="F1248" s="88"/>
      <c r="G1248" s="95" t="str">
        <f>IF(LEN(TRIM(D1248))=0,"",IFNA(VLOOKUP(UPPER(TRIM(D1248)),'CLIENT DIRECTORY'!A:B,2,FALSE),""))</f>
        <v/>
      </c>
      <c r="H1248" s="98"/>
      <c r="I1248" s="97"/>
      <c r="J1248" s="86"/>
      <c r="K1248" s="86"/>
      <c r="L1248" s="86"/>
    </row>
    <row r="1249">
      <c r="A1249" s="77"/>
      <c r="B1249" s="92"/>
      <c r="C1249" s="93"/>
      <c r="D1249" s="95"/>
      <c r="E1249" s="96"/>
      <c r="F1249" s="88"/>
      <c r="G1249" s="95" t="str">
        <f>IF(LEN(TRIM(D1249))=0,"",IFNA(VLOOKUP(UPPER(TRIM(D1249)),'CLIENT DIRECTORY'!A:B,2,FALSE),""))</f>
        <v/>
      </c>
      <c r="H1249" s="98"/>
      <c r="I1249" s="97"/>
      <c r="J1249" s="86"/>
      <c r="K1249" s="86"/>
      <c r="L1249" s="86"/>
    </row>
    <row r="1250">
      <c r="A1250" s="77"/>
      <c r="B1250" s="92"/>
      <c r="C1250" s="93"/>
      <c r="D1250" s="95"/>
      <c r="E1250" s="96"/>
      <c r="F1250" s="88"/>
      <c r="G1250" s="95" t="str">
        <f>IF(LEN(TRIM(D1250))=0,"",IFNA(VLOOKUP(UPPER(TRIM(D1250)),'CLIENT DIRECTORY'!A:B,2,FALSE),""))</f>
        <v/>
      </c>
      <c r="H1250" s="98"/>
      <c r="I1250" s="97"/>
      <c r="J1250" s="86"/>
      <c r="K1250" s="86"/>
      <c r="L1250" s="86"/>
    </row>
    <row r="1251">
      <c r="A1251" s="77"/>
      <c r="B1251" s="92"/>
      <c r="C1251" s="93"/>
      <c r="D1251" s="95"/>
      <c r="E1251" s="96"/>
      <c r="F1251" s="88"/>
      <c r="G1251" s="95" t="str">
        <f>IF(LEN(TRIM(D1251))=0,"",IFNA(VLOOKUP(UPPER(TRIM(D1251)),'CLIENT DIRECTORY'!A:B,2,FALSE),""))</f>
        <v/>
      </c>
      <c r="H1251" s="98"/>
      <c r="I1251" s="97"/>
      <c r="J1251" s="86"/>
      <c r="K1251" s="86"/>
      <c r="L1251" s="86"/>
    </row>
    <row r="1252">
      <c r="A1252" s="77"/>
      <c r="B1252" s="92"/>
      <c r="C1252" s="93"/>
      <c r="D1252" s="95"/>
      <c r="E1252" s="96"/>
      <c r="F1252" s="88"/>
      <c r="G1252" s="95" t="str">
        <f>IF(LEN(TRIM(D1252))=0,"",IFNA(VLOOKUP(UPPER(TRIM(D1252)),'CLIENT DIRECTORY'!A:B,2,FALSE),""))</f>
        <v/>
      </c>
      <c r="H1252" s="98"/>
      <c r="I1252" s="97"/>
      <c r="J1252" s="86"/>
      <c r="K1252" s="86"/>
      <c r="L1252" s="86"/>
    </row>
    <row r="1253">
      <c r="A1253" s="77"/>
      <c r="B1253" s="92"/>
      <c r="C1253" s="93"/>
      <c r="D1253" s="95"/>
      <c r="E1253" s="96"/>
      <c r="F1253" s="88"/>
      <c r="G1253" s="95" t="str">
        <f>IF(LEN(TRIM(D1253))=0,"",IFNA(VLOOKUP(UPPER(TRIM(D1253)),'CLIENT DIRECTORY'!A:B,2,FALSE),""))</f>
        <v/>
      </c>
      <c r="H1253" s="98"/>
      <c r="I1253" s="97"/>
      <c r="J1253" s="86"/>
      <c r="K1253" s="86"/>
      <c r="L1253" s="86"/>
    </row>
    <row r="1254">
      <c r="A1254" s="77"/>
      <c r="B1254" s="92"/>
      <c r="C1254" s="93"/>
      <c r="D1254" s="95"/>
      <c r="E1254" s="96"/>
      <c r="F1254" s="88"/>
      <c r="G1254" s="95" t="str">
        <f>IF(LEN(TRIM(D1254))=0,"",IFNA(VLOOKUP(UPPER(TRIM(D1254)),'CLIENT DIRECTORY'!A:B,2,FALSE),""))</f>
        <v/>
      </c>
      <c r="H1254" s="98"/>
      <c r="I1254" s="97"/>
      <c r="J1254" s="86"/>
      <c r="K1254" s="86"/>
      <c r="L1254" s="86"/>
    </row>
    <row r="1255">
      <c r="A1255" s="77"/>
      <c r="B1255" s="92"/>
      <c r="C1255" s="93"/>
      <c r="D1255" s="95"/>
      <c r="E1255" s="96"/>
      <c r="F1255" s="88"/>
      <c r="G1255" s="95" t="str">
        <f>IF(LEN(TRIM(D1255))=0,"",IFNA(VLOOKUP(UPPER(TRIM(D1255)),'CLIENT DIRECTORY'!A:B,2,FALSE),""))</f>
        <v/>
      </c>
      <c r="H1255" s="98"/>
      <c r="I1255" s="97"/>
      <c r="J1255" s="86"/>
      <c r="K1255" s="86"/>
      <c r="L1255" s="86"/>
    </row>
    <row r="1256">
      <c r="A1256" s="77"/>
      <c r="B1256" s="92"/>
      <c r="C1256" s="93"/>
      <c r="D1256" s="95"/>
      <c r="E1256" s="96"/>
      <c r="F1256" s="88"/>
      <c r="G1256" s="95" t="str">
        <f>IF(LEN(TRIM(D1256))=0,"",IFNA(VLOOKUP(UPPER(TRIM(D1256)),'CLIENT DIRECTORY'!A:B,2,FALSE),""))</f>
        <v/>
      </c>
      <c r="H1256" s="98"/>
      <c r="I1256" s="97"/>
      <c r="J1256" s="86"/>
      <c r="K1256" s="86"/>
      <c r="L1256" s="86"/>
    </row>
    <row r="1257">
      <c r="A1257" s="77"/>
      <c r="B1257" s="92"/>
      <c r="C1257" s="93"/>
      <c r="D1257" s="95"/>
      <c r="E1257" s="96"/>
      <c r="F1257" s="88"/>
      <c r="G1257" s="95" t="str">
        <f>IF(LEN(TRIM(D1257))=0,"",IFNA(VLOOKUP(UPPER(TRIM(D1257)),'CLIENT DIRECTORY'!A:B,2,FALSE),""))</f>
        <v/>
      </c>
      <c r="H1257" s="98"/>
      <c r="I1257" s="97"/>
      <c r="J1257" s="86"/>
      <c r="K1257" s="86"/>
      <c r="L1257" s="86"/>
    </row>
    <row r="1258">
      <c r="A1258" s="77"/>
      <c r="B1258" s="92"/>
      <c r="C1258" s="93"/>
      <c r="D1258" s="95"/>
      <c r="E1258" s="96"/>
      <c r="F1258" s="88"/>
      <c r="G1258" s="95" t="str">
        <f>IF(LEN(TRIM(D1258))=0,"",IFNA(VLOOKUP(UPPER(TRIM(D1258)),'CLIENT DIRECTORY'!A:B,2,FALSE),""))</f>
        <v/>
      </c>
      <c r="H1258" s="98"/>
      <c r="I1258" s="97"/>
      <c r="J1258" s="86"/>
      <c r="K1258" s="86"/>
      <c r="L1258" s="86"/>
    </row>
    <row r="1259">
      <c r="A1259" s="77"/>
      <c r="B1259" s="92"/>
      <c r="C1259" s="93"/>
      <c r="D1259" s="95"/>
      <c r="E1259" s="96"/>
      <c r="F1259" s="88"/>
      <c r="G1259" s="95" t="str">
        <f>IF(LEN(TRIM(D1259))=0,"",IFNA(VLOOKUP(UPPER(TRIM(D1259)),'CLIENT DIRECTORY'!A:B,2,FALSE),""))</f>
        <v/>
      </c>
      <c r="H1259" s="98"/>
      <c r="I1259" s="97"/>
      <c r="J1259" s="86"/>
      <c r="K1259" s="86"/>
      <c r="L1259" s="86"/>
    </row>
    <row r="1260">
      <c r="A1260" s="77"/>
      <c r="B1260" s="92"/>
      <c r="C1260" s="93"/>
      <c r="D1260" s="95"/>
      <c r="E1260" s="96"/>
      <c r="F1260" s="88"/>
      <c r="G1260" s="95" t="str">
        <f>IF(LEN(TRIM(D1260))=0,"",IFNA(VLOOKUP(UPPER(TRIM(D1260)),'CLIENT DIRECTORY'!A:B,2,FALSE),""))</f>
        <v/>
      </c>
      <c r="H1260" s="98"/>
      <c r="I1260" s="97"/>
      <c r="J1260" s="86"/>
      <c r="K1260" s="86"/>
      <c r="L1260" s="86"/>
    </row>
    <row r="1261">
      <c r="A1261" s="77"/>
      <c r="B1261" s="92"/>
      <c r="C1261" s="93"/>
      <c r="D1261" s="95"/>
      <c r="E1261" s="96"/>
      <c r="F1261" s="88"/>
      <c r="G1261" s="95" t="str">
        <f>IF(LEN(TRIM(D1261))=0,"",IFNA(VLOOKUP(UPPER(TRIM(D1261)),'CLIENT DIRECTORY'!A:B,2,FALSE),""))</f>
        <v/>
      </c>
      <c r="H1261" s="98"/>
      <c r="I1261" s="97"/>
      <c r="J1261" s="86"/>
      <c r="K1261" s="86"/>
      <c r="L1261" s="86"/>
    </row>
    <row r="1262">
      <c r="A1262" s="77"/>
      <c r="B1262" s="92"/>
      <c r="C1262" s="93"/>
      <c r="D1262" s="95"/>
      <c r="E1262" s="96"/>
      <c r="F1262" s="88"/>
      <c r="G1262" s="95" t="str">
        <f>IF(LEN(TRIM(D1262))=0,"",IFNA(VLOOKUP(UPPER(TRIM(D1262)),'CLIENT DIRECTORY'!A:B,2,FALSE),""))</f>
        <v/>
      </c>
      <c r="H1262" s="98"/>
      <c r="I1262" s="97"/>
      <c r="J1262" s="86"/>
      <c r="K1262" s="86"/>
      <c r="L1262" s="86"/>
    </row>
    <row r="1263">
      <c r="A1263" s="77"/>
      <c r="B1263" s="92"/>
      <c r="C1263" s="93"/>
      <c r="D1263" s="95"/>
      <c r="E1263" s="96"/>
      <c r="F1263" s="88"/>
      <c r="G1263" s="95" t="str">
        <f>IF(LEN(TRIM(D1263))=0,"",IFNA(VLOOKUP(UPPER(TRIM(D1263)),'CLIENT DIRECTORY'!A:B,2,FALSE),""))</f>
        <v/>
      </c>
      <c r="H1263" s="98"/>
      <c r="I1263" s="97"/>
      <c r="J1263" s="86"/>
      <c r="K1263" s="86"/>
      <c r="L1263" s="86"/>
    </row>
    <row r="1264">
      <c r="A1264" s="77"/>
      <c r="B1264" s="92"/>
      <c r="C1264" s="93"/>
      <c r="D1264" s="95"/>
      <c r="E1264" s="96"/>
      <c r="F1264" s="88"/>
      <c r="G1264" s="95" t="str">
        <f>IF(LEN(TRIM(D1264))=0,"",IFNA(VLOOKUP(UPPER(TRIM(D1264)),'CLIENT DIRECTORY'!A:B,2,FALSE),""))</f>
        <v/>
      </c>
      <c r="H1264" s="98"/>
      <c r="I1264" s="97"/>
      <c r="J1264" s="86"/>
      <c r="K1264" s="86"/>
      <c r="L1264" s="86"/>
    </row>
    <row r="1265">
      <c r="A1265" s="77"/>
      <c r="B1265" s="92"/>
      <c r="C1265" s="93"/>
      <c r="D1265" s="95"/>
      <c r="E1265" s="96"/>
      <c r="F1265" s="88"/>
      <c r="G1265" s="95" t="str">
        <f>IF(LEN(TRIM(D1265))=0,"",IFNA(VLOOKUP(UPPER(TRIM(D1265)),'CLIENT DIRECTORY'!A:B,2,FALSE),""))</f>
        <v/>
      </c>
      <c r="H1265" s="98"/>
      <c r="I1265" s="97"/>
      <c r="J1265" s="86"/>
      <c r="K1265" s="86"/>
      <c r="L1265" s="86"/>
    </row>
    <row r="1266">
      <c r="A1266" s="77"/>
      <c r="B1266" s="92"/>
      <c r="C1266" s="93"/>
      <c r="D1266" s="95"/>
      <c r="E1266" s="96"/>
      <c r="F1266" s="88"/>
      <c r="G1266" s="95" t="str">
        <f>IF(LEN(TRIM(D1266))=0,"",IFNA(VLOOKUP(UPPER(TRIM(D1266)),'CLIENT DIRECTORY'!A:B,2,FALSE),""))</f>
        <v/>
      </c>
      <c r="H1266" s="98"/>
      <c r="I1266" s="97"/>
      <c r="J1266" s="86"/>
      <c r="K1266" s="86"/>
      <c r="L1266" s="86"/>
    </row>
    <row r="1267">
      <c r="A1267" s="77"/>
      <c r="B1267" s="92"/>
      <c r="C1267" s="93"/>
      <c r="D1267" s="95"/>
      <c r="E1267" s="96"/>
      <c r="F1267" s="88"/>
      <c r="G1267" s="95" t="str">
        <f>IF(LEN(TRIM(D1267))=0,"",IFNA(VLOOKUP(UPPER(TRIM(D1267)),'CLIENT DIRECTORY'!A:B,2,FALSE),""))</f>
        <v/>
      </c>
      <c r="H1267" s="98"/>
      <c r="I1267" s="97"/>
      <c r="J1267" s="86"/>
      <c r="K1267" s="86"/>
      <c r="L1267" s="86"/>
    </row>
    <row r="1268">
      <c r="A1268" s="77"/>
      <c r="B1268" s="92"/>
      <c r="C1268" s="93"/>
      <c r="D1268" s="95"/>
      <c r="E1268" s="96"/>
      <c r="F1268" s="88"/>
      <c r="G1268" s="95" t="str">
        <f>IF(LEN(TRIM(D1268))=0,"",IFNA(VLOOKUP(UPPER(TRIM(D1268)),'CLIENT DIRECTORY'!A:B,2,FALSE),""))</f>
        <v/>
      </c>
      <c r="H1268" s="98"/>
      <c r="I1268" s="97"/>
      <c r="J1268" s="86"/>
      <c r="K1268" s="86"/>
      <c r="L1268" s="86"/>
    </row>
    <row r="1269">
      <c r="A1269" s="77"/>
      <c r="B1269" s="92"/>
      <c r="C1269" s="93"/>
      <c r="D1269" s="95"/>
      <c r="E1269" s="96"/>
      <c r="F1269" s="88"/>
      <c r="G1269" s="95" t="str">
        <f>IF(LEN(TRIM(D1269))=0,"",IFNA(VLOOKUP(UPPER(TRIM(D1269)),'CLIENT DIRECTORY'!A:B,2,FALSE),""))</f>
        <v/>
      </c>
      <c r="H1269" s="98"/>
      <c r="I1269" s="97"/>
      <c r="J1269" s="86"/>
      <c r="K1269" s="86"/>
      <c r="L1269" s="86"/>
    </row>
    <row r="1270">
      <c r="A1270" s="77"/>
      <c r="B1270" s="92"/>
      <c r="C1270" s="93"/>
      <c r="D1270" s="95"/>
      <c r="E1270" s="96"/>
      <c r="F1270" s="88"/>
      <c r="G1270" s="95" t="str">
        <f>IF(LEN(TRIM(D1270))=0,"",IFNA(VLOOKUP(UPPER(TRIM(D1270)),'CLIENT DIRECTORY'!A:B,2,FALSE),""))</f>
        <v/>
      </c>
      <c r="H1270" s="98"/>
      <c r="I1270" s="97"/>
      <c r="J1270" s="86"/>
      <c r="K1270" s="86"/>
      <c r="L1270" s="86"/>
    </row>
    <row r="1271">
      <c r="A1271" s="77"/>
      <c r="B1271" s="92"/>
      <c r="C1271" s="93"/>
      <c r="D1271" s="95"/>
      <c r="E1271" s="96"/>
      <c r="F1271" s="88"/>
      <c r="G1271" s="95" t="str">
        <f>IF(LEN(TRIM(D1271))=0,"",IFNA(VLOOKUP(UPPER(TRIM(D1271)),'CLIENT DIRECTORY'!A:B,2,FALSE),""))</f>
        <v/>
      </c>
      <c r="H1271" s="98"/>
      <c r="I1271" s="97"/>
      <c r="J1271" s="86"/>
      <c r="K1271" s="86"/>
      <c r="L1271" s="86"/>
    </row>
    <row r="1272">
      <c r="A1272" s="77"/>
      <c r="B1272" s="92"/>
      <c r="C1272" s="93"/>
      <c r="D1272" s="95"/>
      <c r="E1272" s="96"/>
      <c r="F1272" s="88"/>
      <c r="G1272" s="95" t="str">
        <f>IF(LEN(TRIM(D1272))=0,"",IFNA(VLOOKUP(UPPER(TRIM(D1272)),'CLIENT DIRECTORY'!A:B,2,FALSE),""))</f>
        <v/>
      </c>
      <c r="H1272" s="98"/>
      <c r="I1272" s="97"/>
      <c r="J1272" s="86"/>
      <c r="K1272" s="86"/>
      <c r="L1272" s="86"/>
    </row>
    <row r="1273">
      <c r="A1273" s="77"/>
      <c r="B1273" s="92"/>
      <c r="C1273" s="93"/>
      <c r="D1273" s="95"/>
      <c r="E1273" s="96"/>
      <c r="F1273" s="88"/>
      <c r="G1273" s="95" t="str">
        <f>IF(LEN(TRIM(D1273))=0,"",IFNA(VLOOKUP(UPPER(TRIM(D1273)),'CLIENT DIRECTORY'!A:B,2,FALSE),""))</f>
        <v/>
      </c>
      <c r="H1273" s="98"/>
      <c r="I1273" s="97"/>
      <c r="J1273" s="86"/>
      <c r="K1273" s="86"/>
      <c r="L1273" s="86"/>
    </row>
    <row r="1274">
      <c r="A1274" s="77"/>
      <c r="B1274" s="92"/>
      <c r="C1274" s="93"/>
      <c r="D1274" s="95"/>
      <c r="E1274" s="96"/>
      <c r="F1274" s="88"/>
      <c r="G1274" s="95" t="str">
        <f>IF(LEN(TRIM(D1274))=0,"",IFNA(VLOOKUP(UPPER(TRIM(D1274)),'CLIENT DIRECTORY'!A:B,2,FALSE),""))</f>
        <v/>
      </c>
      <c r="H1274" s="98"/>
      <c r="I1274" s="97"/>
      <c r="J1274" s="86"/>
      <c r="K1274" s="86"/>
      <c r="L1274" s="86"/>
    </row>
  </sheetData>
  <conditionalFormatting sqref="G1:H17 I1:I1015 J1:J583 G19:G1012 H19:H1274 K435:K442 K449:K452 F460:F461 J585:J1012">
    <cfRule type="cellIs" dxfId="5" priority="1" operator="equal">
      <formula>"UNPAID"</formula>
    </cfRule>
  </conditionalFormatting>
  <conditionalFormatting sqref="G1:H17 I1:I1015 J1:J583 G19:G1012 H19:H1274 K435:K442 K449:K452 F460:F461 J585:J1012">
    <cfRule type="cellIs" dxfId="6" priority="2" operator="equal">
      <formula>"PAID"</formula>
    </cfRule>
  </conditionalFormatting>
  <conditionalFormatting sqref="G10:I10">
    <cfRule type="cellIs" dxfId="6" priority="3" operator="equal">
      <formula>"PAID"</formula>
    </cfRule>
  </conditionalFormatting>
  <conditionalFormatting sqref="G10:I10">
    <cfRule type="cellIs" dxfId="5" priority="4" operator="equal">
      <formula>"UNPAID"</formula>
    </cfRule>
  </conditionalFormatting>
  <conditionalFormatting sqref="G1:H17 I1:I1015 J1:J583 G19:G1012 H19:H1274 K435:K442 K449:K452 F460:F461 J585:J1012">
    <cfRule type="cellIs" dxfId="7" priority="5" operator="equal">
      <formula>"RETURNED"</formula>
    </cfRule>
  </conditionalFormatting>
  <conditionalFormatting sqref="F1:F1274 G435:H442 G449:H452 G463:H466 G480:H483 G497:H500 G510:H515 G525:H530">
    <cfRule type="cellIs" dxfId="8" priority="6" operator="equal">
      <formula>"PENDING"</formula>
    </cfRule>
  </conditionalFormatting>
  <conditionalFormatting sqref="G1:H17 I1:I1015 J1:J583 G19:G1012 H19:H1274 K435:K442 K449:K452 F460:F461 J585:J1012">
    <cfRule type="cellIs" dxfId="9" priority="7" operator="equal">
      <formula>"PENDING"</formula>
    </cfRule>
  </conditionalFormatting>
  <conditionalFormatting sqref="G1:H17 I1:I1015 J1:J583 G19:G1012 H19:H1274 K435:K442 K449:K452 F460:F461 J585:J1012">
    <cfRule type="cellIs" dxfId="10" priority="8" operator="equal">
      <formula>"PART PAYMENT"</formula>
    </cfRule>
  </conditionalFormatting>
  <conditionalFormatting sqref="J1013:J1274">
    <cfRule type="cellIs" dxfId="6" priority="9" operator="equal">
      <formula>"PAID"</formula>
    </cfRule>
  </conditionalFormatting>
  <conditionalFormatting sqref="J1013:J1274">
    <cfRule type="cellIs" dxfId="5" priority="10" operator="equal">
      <formula>"UNPAID"</formula>
    </cfRule>
  </conditionalFormatting>
  <conditionalFormatting sqref="J1013:J1274">
    <cfRule type="cellIs" dxfId="11" priority="11" operator="equal">
      <formula>"PART PAYMENT"</formula>
    </cfRule>
  </conditionalFormatting>
  <conditionalFormatting sqref="J1013:J1274">
    <cfRule type="cellIs" dxfId="7" priority="12" operator="equal">
      <formula>"RETURNED"</formula>
    </cfRule>
  </conditionalFormatting>
  <dataValidations>
    <dataValidation type="custom" allowBlank="1" showDropDown="1" sqref="H2:H1006">
      <formula1>AND(ISNUMBER(H2),(NOT(OR(NOT(ISERROR(DATEVALUE(H2))), AND(ISNUMBER(H2), LEFT(CELL("format", H2))="D")))))</formula1>
    </dataValidation>
    <dataValidation type="custom" allowBlank="1" showDropDown="1" sqref="A2:A1006">
      <formula1>AND(ISNUMBER(A2),(NOT(OR(NOT(ISERROR(DATEVALUE(A2))), AND(ISNUMBER(A2), LEFT(CELL("format", A2))="D")))))</formula1>
    </dataValidation>
    <dataValidation type="list" allowBlank="1" sqref="D2:D1274">
      <formula1>"ACTIVE,ADEBAYO ROKEEB,ADESOLA AYODELE,ADEX GADGETS,ADEYEYE,AFRIKA,AHB,AKINPELUMI MEE,ANNIE,ANOINTED WEALTH,AREMO,AYANFE,AYOMIDE DAVIDE FASORE,BAHMS,BARRY,BAYESH,BIG INVESTOR,BIGMO,BLESSING SOLOMON,BOLTUNSAM INT'L LTD,CH4,CH4 REP,CLARK GADGETS,CLEARIES GAS"&amp;"GETS,CSGV,CUSTOMER,DAH UNIQUE,DAMBOX,DAMOLA FCG,DAPPER,DARQUIZ,DARQUIZ PROMOTIONS,DE YUNG,DELIGHT,DEMEX,DEMIGLOBAL MULTISERVICE,DENIS4WARD,DON,DOVESGADGETS,DRAKE DEMO,DREY,D_HYSE,EAZI GADGETS,EMM GUY,EMMANUEL DAMILARE,EMMANUEL OLAMILEKAN,EMMEX,EMMZY,ENEST"&amp;"A,ENGINEER JOHN,ENGR AZ,ESTEEM GADGETS STORE AND MORE,FAME,FEMI,FEMI IBUGATTI,FILMS JESSE,FIRSTCLASS FURNITURE,FOLAKEMI,FORMULA,FOSTER,GADGET TECH,GBOLAHAN,GLORY BOMA,GLORY HOLLAH GADGETS,GNF,HALLAND APH'25,HANSPHEEZY,HAYOR GADGET,HOLLAH GADGET,HONEYTEE,H"&amp;"ORJOR,IA GADGET,IFEM GADGETS,IGEE,IJEOMA,IMISIOLUWA,IPRO GADGET,ISAIAH BIKEMAN,JAGO DC,JAMEX,JEFFERY EMONEMA,JENROLA OZ,JONAH,KABEX KAYWISE,KAYWISE,KEKULE,KHING [GOMEZ STORE],KUDA GADGET,KUNLEX COMMUNICATION,LOVETH KAYWISE,MARVITECH,MARVY FCG,MARVY T.M,MA"&amp;"STERY MOBILE,MBENZ,MC GADGETS,MD GADGS,MILLY,MOBILE TRENDS,MOLYM VENTURES,MULLAR GADGET,MZEE,NUMBER TELLOS,NURUDEEN,OG LEVEL,OG SCOTT,OLABTC,OLAJIRE,OLALEKAN AWOGBOLA,OLAMIDE,OLAOLUWA,OLA_BTC,OLLY ESIM,OLUBAYO IFE,OLUFAD TELECOMMUNICATION,OLUWATOMI VICTOR"&amp;" AVE,OMONLA BUGATTI,OPEYEMI STORE,OSAMA,OZ GADGET,OZZY,PANKYGEE,PAPPY TECH,PERFECT,PHLEMZY,POSI,PRINCE MOSES,PRINZE GADGETS,PROMISE OKON,PROTECH GADGET,QAFFIF,RAYMOND,RICHIE APPLE ID,RIDWAN,SAINTYUNG,SALVAGE YARD,SAM EXCHANGE,SAMMY CONCEPT,SAMTOP GADGETS,"&amp;"SEGUN DISPATCH,SEMILORE,SEVILEN AUTOS,SEYIFUNMI,SHARK,SMART,SPENZER,SPILOIT,STAR BUSSY,STARBOX,SWEETBOY,TECH BOX,TECH JAR,TEE BEST GADGET,TEST,TETE GADGET,THANKGOD CONCEPT,TIMILEYIN,TIZZY,TONYTRENDS,TOP NATION,TUNA MONEY,TUNARO,TUNDE BABZ,VERTEX,VICTOR EX"&amp;"CEL,WIDAD,WILLIX,WIZZY,XPIFF,YUPPIE GADGETS,YUSLORD,ZADDY ROLLAND,ZEE TECH,ZINO,ZINTO"</formula1>
    </dataValidation>
    <dataValidation allowBlank="1" showDropDown="1" sqref="G2:G1006"/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13"/>
  </cols>
  <sheetData>
    <row r="1">
      <c r="A1" s="6" t="s">
        <v>2472</v>
      </c>
      <c r="B1" s="6" t="s">
        <v>2473</v>
      </c>
    </row>
    <row r="2">
      <c r="A2" s="6" t="s">
        <v>1040</v>
      </c>
      <c r="B2" s="6" t="s">
        <v>2474</v>
      </c>
    </row>
    <row r="3">
      <c r="A3" s="6" t="s">
        <v>855</v>
      </c>
      <c r="B3" s="6" t="s">
        <v>2475</v>
      </c>
    </row>
    <row r="4">
      <c r="A4" s="6" t="s">
        <v>89</v>
      </c>
      <c r="B4" s="6" t="s">
        <v>2476</v>
      </c>
    </row>
    <row r="5">
      <c r="A5" s="6" t="s">
        <v>1391</v>
      </c>
      <c r="B5" s="6" t="s">
        <v>2477</v>
      </c>
    </row>
    <row r="6">
      <c r="A6" s="6" t="s">
        <v>605</v>
      </c>
      <c r="B6" s="6" t="s">
        <v>2478</v>
      </c>
    </row>
    <row r="7">
      <c r="A7" s="6" t="s">
        <v>115</v>
      </c>
      <c r="B7" s="6" t="s">
        <v>2479</v>
      </c>
    </row>
    <row r="8">
      <c r="A8" s="6" t="s">
        <v>123</v>
      </c>
      <c r="B8" s="6" t="s">
        <v>2480</v>
      </c>
    </row>
    <row r="9">
      <c r="A9" s="6" t="s">
        <v>1154</v>
      </c>
      <c r="B9" s="6" t="s">
        <v>2481</v>
      </c>
    </row>
    <row r="10">
      <c r="A10" s="6" t="s">
        <v>404</v>
      </c>
      <c r="B10" s="6" t="s">
        <v>2482</v>
      </c>
    </row>
    <row r="11">
      <c r="A11" s="6" t="s">
        <v>464</v>
      </c>
      <c r="B11" s="6" t="s">
        <v>2483</v>
      </c>
    </row>
    <row r="12">
      <c r="A12" s="6" t="s">
        <v>2484</v>
      </c>
      <c r="B12" s="6" t="s">
        <v>2485</v>
      </c>
    </row>
    <row r="13">
      <c r="A13" s="6" t="s">
        <v>173</v>
      </c>
      <c r="B13" s="6" t="s">
        <v>2486</v>
      </c>
    </row>
    <row r="14">
      <c r="A14" s="6" t="s">
        <v>1108</v>
      </c>
      <c r="B14" s="6" t="s">
        <v>2487</v>
      </c>
    </row>
    <row r="15">
      <c r="A15" s="6" t="s">
        <v>828</v>
      </c>
      <c r="B15" s="6" t="s">
        <v>2488</v>
      </c>
    </row>
    <row r="16">
      <c r="A16" s="6" t="s">
        <v>424</v>
      </c>
      <c r="B16" s="6" t="s">
        <v>2488</v>
      </c>
    </row>
    <row r="17">
      <c r="A17" s="6" t="s">
        <v>18</v>
      </c>
      <c r="B17" s="6" t="s">
        <v>2489</v>
      </c>
    </row>
    <row r="18">
      <c r="A18" s="6" t="s">
        <v>741</v>
      </c>
      <c r="B18" s="6" t="s">
        <v>2490</v>
      </c>
    </row>
    <row r="19">
      <c r="A19" s="6" t="s">
        <v>763</v>
      </c>
      <c r="B19" s="6" t="s">
        <v>2491</v>
      </c>
    </row>
    <row r="20">
      <c r="A20" s="6" t="s">
        <v>1093</v>
      </c>
      <c r="B20" s="6" t="s">
        <v>2491</v>
      </c>
    </row>
    <row r="21">
      <c r="A21" s="6" t="s">
        <v>578</v>
      </c>
      <c r="B21" s="6" t="s">
        <v>2492</v>
      </c>
    </row>
    <row r="22">
      <c r="A22" s="6" t="s">
        <v>23</v>
      </c>
      <c r="B22" s="6" t="s">
        <v>2492</v>
      </c>
    </row>
    <row r="23">
      <c r="A23" s="6" t="s">
        <v>364</v>
      </c>
      <c r="B23" s="6" t="s">
        <v>2493</v>
      </c>
    </row>
    <row r="24">
      <c r="A24" s="6" t="s">
        <v>108</v>
      </c>
      <c r="B24" s="6" t="s">
        <v>2493</v>
      </c>
    </row>
    <row r="25">
      <c r="A25" s="6" t="s">
        <v>78</v>
      </c>
      <c r="B25" s="6" t="s">
        <v>2494</v>
      </c>
    </row>
    <row r="26">
      <c r="A26" s="6" t="s">
        <v>386</v>
      </c>
      <c r="B26" s="6" t="s">
        <v>2495</v>
      </c>
    </row>
    <row r="27">
      <c r="A27" s="6" t="s">
        <v>418</v>
      </c>
      <c r="B27" s="6" t="s">
        <v>2495</v>
      </c>
    </row>
    <row r="28">
      <c r="A28" s="6" t="s">
        <v>339</v>
      </c>
      <c r="B28" s="6" t="s">
        <v>2495</v>
      </c>
    </row>
    <row r="29">
      <c r="A29" s="6" t="s">
        <v>74</v>
      </c>
      <c r="B29" s="6" t="s">
        <v>2495</v>
      </c>
    </row>
    <row r="30">
      <c r="A30" s="6" t="s">
        <v>1159</v>
      </c>
      <c r="B30" s="6" t="s">
        <v>2495</v>
      </c>
    </row>
    <row r="31">
      <c r="A31" s="6" t="s">
        <v>1190</v>
      </c>
      <c r="B31" s="6" t="s">
        <v>2495</v>
      </c>
    </row>
    <row r="32">
      <c r="A32" s="6" t="s">
        <v>1417</v>
      </c>
      <c r="B32" s="6" t="s">
        <v>2495</v>
      </c>
    </row>
    <row r="33">
      <c r="A33" s="6" t="s">
        <v>133</v>
      </c>
      <c r="B33" s="6" t="s">
        <v>2495</v>
      </c>
    </row>
    <row r="34">
      <c r="A34" s="6" t="s">
        <v>1472</v>
      </c>
      <c r="B34" s="6" t="s">
        <v>2495</v>
      </c>
    </row>
    <row r="35">
      <c r="A35" s="6" t="s">
        <v>248</v>
      </c>
      <c r="B35" s="6" t="s">
        <v>2496</v>
      </c>
    </row>
    <row r="36">
      <c r="A36" s="6" t="s">
        <v>309</v>
      </c>
      <c r="B36" s="6" t="s">
        <v>2497</v>
      </c>
    </row>
    <row r="37">
      <c r="A37" s="6" t="s">
        <v>50</v>
      </c>
      <c r="B37" s="6" t="s">
        <v>2497</v>
      </c>
    </row>
    <row r="38">
      <c r="A38" s="6" t="s">
        <v>613</v>
      </c>
      <c r="B38" s="6" t="s">
        <v>2497</v>
      </c>
    </row>
    <row r="39">
      <c r="A39" s="6" t="s">
        <v>878</v>
      </c>
      <c r="B39" s="6" t="s">
        <v>2497</v>
      </c>
    </row>
    <row r="40">
      <c r="A40" s="6" t="s">
        <v>319</v>
      </c>
      <c r="B40" s="6" t="s">
        <v>2497</v>
      </c>
    </row>
    <row r="41">
      <c r="A41" s="6" t="s">
        <v>620</v>
      </c>
      <c r="B41" s="6" t="s">
        <v>2497</v>
      </c>
    </row>
    <row r="42">
      <c r="A42" s="6" t="s">
        <v>93</v>
      </c>
      <c r="B42" s="6" t="s">
        <v>2497</v>
      </c>
    </row>
    <row r="43">
      <c r="A43" s="6" t="s">
        <v>400</v>
      </c>
      <c r="B43" s="6" t="s">
        <v>2497</v>
      </c>
    </row>
    <row r="44">
      <c r="A44" s="6" t="s">
        <v>306</v>
      </c>
      <c r="B44" s="6" t="s">
        <v>2497</v>
      </c>
    </row>
    <row r="45">
      <c r="A45" s="6" t="s">
        <v>874</v>
      </c>
      <c r="B45" s="6" t="s">
        <v>2497</v>
      </c>
    </row>
    <row r="46">
      <c r="A46" s="6" t="s">
        <v>1302</v>
      </c>
      <c r="B46" s="6" t="s">
        <v>2497</v>
      </c>
    </row>
    <row r="47">
      <c r="A47" s="6" t="s">
        <v>70</v>
      </c>
      <c r="B47" s="6" t="s">
        <v>2497</v>
      </c>
    </row>
    <row r="48">
      <c r="A48" s="6" t="s">
        <v>1334</v>
      </c>
      <c r="B48" s="6" t="s">
        <v>2497</v>
      </c>
    </row>
    <row r="49">
      <c r="A49" s="6" t="s">
        <v>413</v>
      </c>
      <c r="B49" s="6" t="s">
        <v>2497</v>
      </c>
    </row>
    <row r="50">
      <c r="A50" s="6" t="s">
        <v>97</v>
      </c>
      <c r="B50" s="6" t="s">
        <v>2497</v>
      </c>
    </row>
    <row r="51">
      <c r="A51" s="6" t="s">
        <v>236</v>
      </c>
      <c r="B51" s="6" t="s">
        <v>2497</v>
      </c>
    </row>
    <row r="52">
      <c r="A52" s="6" t="s">
        <v>1450</v>
      </c>
      <c r="B52" s="6" t="s">
        <v>2498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3</v>
      </c>
      <c r="B1" s="6" t="s">
        <v>6</v>
      </c>
    </row>
    <row r="2">
      <c r="A2" s="6" t="s">
        <v>1691</v>
      </c>
      <c r="B2" s="104" t="s">
        <v>1694</v>
      </c>
    </row>
    <row r="3">
      <c r="A3" s="6" t="s">
        <v>2097</v>
      </c>
      <c r="B3" s="104" t="s">
        <v>2100</v>
      </c>
    </row>
    <row r="4">
      <c r="A4" s="6" t="s">
        <v>2048</v>
      </c>
      <c r="B4" s="104" t="s">
        <v>2051</v>
      </c>
    </row>
    <row r="5">
      <c r="A5" s="6" t="s">
        <v>2060</v>
      </c>
      <c r="B5" s="104" t="s">
        <v>2062</v>
      </c>
    </row>
    <row r="6">
      <c r="A6" s="6" t="s">
        <v>1458</v>
      </c>
      <c r="B6" s="104" t="s">
        <v>1460</v>
      </c>
    </row>
    <row r="7">
      <c r="A7" s="6" t="s">
        <v>1391</v>
      </c>
      <c r="B7" s="104" t="s">
        <v>1393</v>
      </c>
    </row>
    <row r="8">
      <c r="A8" s="6" t="s">
        <v>1994</v>
      </c>
      <c r="B8" s="104" t="s">
        <v>1995</v>
      </c>
    </row>
    <row r="9">
      <c r="A9" s="6" t="s">
        <v>2118</v>
      </c>
      <c r="B9" s="104" t="s">
        <v>2120</v>
      </c>
    </row>
    <row r="10">
      <c r="A10" s="6" t="s">
        <v>1597</v>
      </c>
      <c r="B10" s="104" t="s">
        <v>1599</v>
      </c>
    </row>
    <row r="11">
      <c r="A11" s="6" t="s">
        <v>221</v>
      </c>
      <c r="B11" s="104" t="s">
        <v>223</v>
      </c>
    </row>
    <row r="12">
      <c r="A12" s="6" t="s">
        <v>2196</v>
      </c>
      <c r="B12" s="104" t="s">
        <v>2198</v>
      </c>
    </row>
    <row r="13">
      <c r="A13" s="6" t="s">
        <v>127</v>
      </c>
      <c r="B13" s="104" t="s">
        <v>129</v>
      </c>
    </row>
    <row r="14">
      <c r="A14" s="6" t="s">
        <v>2106</v>
      </c>
      <c r="B14" s="104" t="s">
        <v>2109</v>
      </c>
    </row>
    <row r="15">
      <c r="A15" s="6" t="s">
        <v>874</v>
      </c>
      <c r="B15" s="104" t="s">
        <v>876</v>
      </c>
    </row>
    <row r="16">
      <c r="A16" s="6" t="s">
        <v>173</v>
      </c>
      <c r="B16" s="104" t="s">
        <v>175</v>
      </c>
    </row>
    <row r="17">
      <c r="A17" s="6" t="s">
        <v>198</v>
      </c>
      <c r="B17" s="104" t="s">
        <v>200</v>
      </c>
    </row>
    <row r="18">
      <c r="A18" s="6" t="s">
        <v>1468</v>
      </c>
      <c r="B18" s="104" t="s">
        <v>1470</v>
      </c>
    </row>
    <row r="19">
      <c r="A19" s="6" t="s">
        <v>1040</v>
      </c>
      <c r="B19" s="104" t="s">
        <v>2499</v>
      </c>
    </row>
    <row r="20">
      <c r="A20" s="6" t="s">
        <v>1736</v>
      </c>
      <c r="B20" s="104" t="s">
        <v>1738</v>
      </c>
    </row>
    <row r="21">
      <c r="A21" s="6" t="s">
        <v>2126</v>
      </c>
      <c r="B21" s="104" t="s">
        <v>2127</v>
      </c>
    </row>
    <row r="22">
      <c r="A22" s="6" t="s">
        <v>93</v>
      </c>
      <c r="B22" s="104" t="s">
        <v>95</v>
      </c>
    </row>
    <row r="23">
      <c r="A23" s="6" t="s">
        <v>445</v>
      </c>
      <c r="B23" s="104" t="s">
        <v>447</v>
      </c>
    </row>
    <row r="24">
      <c r="A24" s="6" t="s">
        <v>1093</v>
      </c>
      <c r="B24" s="104" t="s">
        <v>1095</v>
      </c>
    </row>
    <row r="25">
      <c r="A25" s="6" t="s">
        <v>1657</v>
      </c>
      <c r="B25" s="104" t="s">
        <v>1659</v>
      </c>
    </row>
    <row r="26">
      <c r="A26" s="6" t="s">
        <v>1752</v>
      </c>
      <c r="B26" s="104" t="s">
        <v>1754</v>
      </c>
    </row>
    <row r="27">
      <c r="A27" s="6" t="s">
        <v>248</v>
      </c>
      <c r="B27" s="104" t="s">
        <v>250</v>
      </c>
    </row>
    <row r="28">
      <c r="A28" s="6" t="s">
        <v>23</v>
      </c>
      <c r="B28" s="104" t="s">
        <v>25</v>
      </c>
    </row>
    <row r="29">
      <c r="A29" s="6" t="s">
        <v>89</v>
      </c>
      <c r="B29" s="104" t="s">
        <v>2002</v>
      </c>
    </row>
    <row r="30">
      <c r="A30" s="6" t="s">
        <v>2240</v>
      </c>
      <c r="B30" s="104" t="s">
        <v>2242</v>
      </c>
    </row>
    <row r="31">
      <c r="A31" s="6" t="s">
        <v>78</v>
      </c>
      <c r="B31" s="104" t="s">
        <v>80</v>
      </c>
    </row>
    <row r="32">
      <c r="A32" s="6" t="s">
        <v>1583</v>
      </c>
      <c r="B32" s="104" t="s">
        <v>1585</v>
      </c>
    </row>
    <row r="33">
      <c r="A33" s="6" t="s">
        <v>1776</v>
      </c>
      <c r="B33" s="104" t="s">
        <v>1778</v>
      </c>
    </row>
    <row r="34">
      <c r="A34" s="6" t="s">
        <v>2284</v>
      </c>
      <c r="B34" s="104" t="s">
        <v>2286</v>
      </c>
    </row>
    <row r="35">
      <c r="A35" s="6" t="s">
        <v>2248</v>
      </c>
      <c r="B35" s="104" t="s">
        <v>2250</v>
      </c>
    </row>
    <row r="36">
      <c r="A36" s="6" t="s">
        <v>18</v>
      </c>
      <c r="B36" s="104" t="s">
        <v>20</v>
      </c>
    </row>
    <row r="37">
      <c r="A37" s="6" t="s">
        <v>1562</v>
      </c>
      <c r="B37" s="104" t="s">
        <v>1565</v>
      </c>
    </row>
    <row r="38">
      <c r="A38" s="6" t="s">
        <v>108</v>
      </c>
      <c r="B38" s="104" t="s">
        <v>110</v>
      </c>
    </row>
    <row r="39">
      <c r="A39" s="6" t="s">
        <v>70</v>
      </c>
      <c r="B39" s="104" t="s">
        <v>72</v>
      </c>
    </row>
    <row r="40">
      <c r="A40" s="6" t="s">
        <v>2192</v>
      </c>
      <c r="B40" s="104" t="s">
        <v>2194</v>
      </c>
    </row>
    <row r="41">
      <c r="A41" s="6" t="s">
        <v>1906</v>
      </c>
      <c r="B41" s="104" t="s">
        <v>1907</v>
      </c>
    </row>
    <row r="42">
      <c r="A42" s="6" t="s">
        <v>464</v>
      </c>
      <c r="B42" s="104" t="s">
        <v>466</v>
      </c>
    </row>
    <row r="43">
      <c r="A43" s="6" t="s">
        <v>2411</v>
      </c>
      <c r="B43" s="104" t="s">
        <v>2500</v>
      </c>
    </row>
    <row r="44">
      <c r="A44" s="6" t="s">
        <v>1837</v>
      </c>
      <c r="B44" s="104" t="s">
        <v>1839</v>
      </c>
    </row>
    <row r="45">
      <c r="A45" s="6" t="s">
        <v>828</v>
      </c>
      <c r="B45" s="104" t="s">
        <v>830</v>
      </c>
    </row>
    <row r="46">
      <c r="A46" s="6" t="s">
        <v>2373</v>
      </c>
      <c r="B46" s="104" t="s">
        <v>2501</v>
      </c>
    </row>
    <row r="47">
      <c r="A47" s="6" t="s">
        <v>1980</v>
      </c>
      <c r="B47" s="104" t="s">
        <v>1982</v>
      </c>
    </row>
    <row r="48">
      <c r="A48" s="6" t="s">
        <v>413</v>
      </c>
      <c r="B48" s="104" t="s">
        <v>416</v>
      </c>
    </row>
    <row r="49">
      <c r="A49" s="6" t="s">
        <v>2370</v>
      </c>
      <c r="B49" s="104" t="s">
        <v>2502</v>
      </c>
    </row>
    <row r="50">
      <c r="A50" s="6" t="s">
        <v>2025</v>
      </c>
      <c r="B50" s="104" t="s">
        <v>2026</v>
      </c>
    </row>
    <row r="51">
      <c r="A51" s="6" t="s">
        <v>1302</v>
      </c>
      <c r="B51" s="104" t="s">
        <v>889</v>
      </c>
    </row>
    <row r="52">
      <c r="A52" s="6" t="s">
        <v>2180</v>
      </c>
      <c r="B52" s="104" t="s">
        <v>2182</v>
      </c>
    </row>
    <row r="53">
      <c r="A53" s="6" t="s">
        <v>1624</v>
      </c>
      <c r="B53" s="104" t="s">
        <v>1625</v>
      </c>
    </row>
    <row r="54">
      <c r="A54" s="6" t="s">
        <v>984</v>
      </c>
      <c r="B54" s="104" t="s">
        <v>987</v>
      </c>
    </row>
    <row r="55">
      <c r="A55" s="6" t="s">
        <v>2200</v>
      </c>
      <c r="B55" s="104" t="s">
        <v>2202</v>
      </c>
    </row>
    <row r="56">
      <c r="A56" s="6" t="s">
        <v>1971</v>
      </c>
      <c r="B56" s="104" t="s">
        <v>1973</v>
      </c>
    </row>
    <row r="57">
      <c r="A57" s="6" t="s">
        <v>386</v>
      </c>
      <c r="B57" s="104" t="s">
        <v>388</v>
      </c>
    </row>
    <row r="58">
      <c r="A58" s="6" t="s">
        <v>1870</v>
      </c>
      <c r="B58" s="104" t="s">
        <v>1871</v>
      </c>
    </row>
    <row r="59">
      <c r="A59" s="6" t="s">
        <v>212</v>
      </c>
      <c r="B59" s="104" t="s">
        <v>214</v>
      </c>
    </row>
    <row r="60">
      <c r="A60" s="6" t="s">
        <v>442</v>
      </c>
      <c r="B60" s="104" t="s">
        <v>210</v>
      </c>
    </row>
    <row r="61">
      <c r="A61" s="6" t="s">
        <v>1990</v>
      </c>
      <c r="B61" s="104" t="s">
        <v>1992</v>
      </c>
    </row>
    <row r="62">
      <c r="A62" s="6" t="s">
        <v>887</v>
      </c>
      <c r="B62" s="104" t="s">
        <v>889</v>
      </c>
    </row>
    <row r="63">
      <c r="A63" s="6" t="s">
        <v>2064</v>
      </c>
      <c r="B63" s="104" t="s">
        <v>2065</v>
      </c>
    </row>
    <row r="64">
      <c r="A64" s="6" t="s">
        <v>1604</v>
      </c>
      <c r="B64" s="104" t="s">
        <v>1607</v>
      </c>
    </row>
    <row r="65">
      <c r="A65" s="6" t="s">
        <v>2221</v>
      </c>
      <c r="B65" s="104" t="s">
        <v>2223</v>
      </c>
    </row>
    <row r="66">
      <c r="A66" s="6" t="s">
        <v>418</v>
      </c>
      <c r="B66" s="104" t="s">
        <v>421</v>
      </c>
    </row>
    <row r="67">
      <c r="A67" s="6" t="s">
        <v>1879</v>
      </c>
      <c r="B67" s="104" t="s">
        <v>1881</v>
      </c>
    </row>
    <row r="68">
      <c r="A68" s="6" t="s">
        <v>1472</v>
      </c>
      <c r="B68" s="104" t="s">
        <v>1474</v>
      </c>
    </row>
    <row r="69">
      <c r="A69" s="6" t="s">
        <v>1620</v>
      </c>
      <c r="B69" s="104" t="s">
        <v>1622</v>
      </c>
    </row>
    <row r="70">
      <c r="A70" s="6" t="s">
        <v>424</v>
      </c>
      <c r="B70" s="104" t="s">
        <v>1519</v>
      </c>
    </row>
    <row r="71">
      <c r="A71" s="6" t="s">
        <v>1417</v>
      </c>
      <c r="B71" s="104" t="s">
        <v>1419</v>
      </c>
    </row>
    <row r="72">
      <c r="A72" s="6" t="s">
        <v>364</v>
      </c>
      <c r="B72" s="104" t="s">
        <v>366</v>
      </c>
    </row>
    <row r="73">
      <c r="A73" s="6" t="s">
        <v>309</v>
      </c>
      <c r="B73" s="104" t="s">
        <v>311</v>
      </c>
    </row>
    <row r="74">
      <c r="A74" s="6" t="s">
        <v>1591</v>
      </c>
      <c r="B74" s="104" t="s">
        <v>1593</v>
      </c>
    </row>
    <row r="75">
      <c r="A75" s="6" t="s">
        <v>620</v>
      </c>
      <c r="B75" s="104" t="s">
        <v>622</v>
      </c>
    </row>
    <row r="76">
      <c r="A76" s="6" t="s">
        <v>2230</v>
      </c>
      <c r="B76" s="104" t="s">
        <v>2232</v>
      </c>
    </row>
    <row r="77">
      <c r="A77" s="6" t="s">
        <v>1633</v>
      </c>
      <c r="B77" s="104" t="s">
        <v>1636</v>
      </c>
    </row>
    <row r="78">
      <c r="A78" s="6" t="s">
        <v>400</v>
      </c>
      <c r="B78" s="104" t="s">
        <v>402</v>
      </c>
    </row>
    <row r="79">
      <c r="A79" s="6" t="s">
        <v>1450</v>
      </c>
      <c r="B79" s="104" t="s">
        <v>1452</v>
      </c>
    </row>
    <row r="80">
      <c r="A80" s="6" t="s">
        <v>1786</v>
      </c>
      <c r="B80" s="104" t="s">
        <v>1788</v>
      </c>
    </row>
    <row r="81">
      <c r="A81" s="6" t="s">
        <v>123</v>
      </c>
      <c r="B81" s="104" t="s">
        <v>125</v>
      </c>
    </row>
    <row r="82">
      <c r="A82" s="6" t="s">
        <v>2088</v>
      </c>
      <c r="B82" s="104" t="s">
        <v>2091</v>
      </c>
    </row>
    <row r="83">
      <c r="A83" s="6" t="s">
        <v>763</v>
      </c>
      <c r="B83" s="104" t="s">
        <v>766</v>
      </c>
    </row>
    <row r="84">
      <c r="A84" s="6" t="s">
        <v>1556</v>
      </c>
      <c r="B84" s="104" t="s">
        <v>1559</v>
      </c>
    </row>
    <row r="85">
      <c r="A85" s="6" t="s">
        <v>2054</v>
      </c>
      <c r="B85" s="104" t="s">
        <v>2055</v>
      </c>
    </row>
    <row r="86">
      <c r="A86" s="6" t="s">
        <v>64</v>
      </c>
      <c r="B86" s="104" t="s">
        <v>66</v>
      </c>
    </row>
    <row r="87">
      <c r="A87" s="6" t="s">
        <v>1745</v>
      </c>
      <c r="B87" s="104" t="s">
        <v>1747</v>
      </c>
    </row>
    <row r="88">
      <c r="A88" s="6" t="s">
        <v>1967</v>
      </c>
      <c r="B88" s="104" t="s">
        <v>1969</v>
      </c>
    </row>
    <row r="89">
      <c r="A89" s="6" t="s">
        <v>1719</v>
      </c>
      <c r="B89" s="104" t="s">
        <v>1721</v>
      </c>
    </row>
    <row r="90">
      <c r="A90" s="6" t="s">
        <v>1705</v>
      </c>
      <c r="B90" s="104" t="s">
        <v>1708</v>
      </c>
    </row>
    <row r="91">
      <c r="A91" s="6" t="s">
        <v>1963</v>
      </c>
      <c r="B91" s="104" t="s">
        <v>1965</v>
      </c>
    </row>
    <row r="92">
      <c r="A92" s="6" t="s">
        <v>1759</v>
      </c>
      <c r="B92" s="104" t="s">
        <v>1761</v>
      </c>
    </row>
    <row r="93">
      <c r="A93" s="6" t="s">
        <v>1340</v>
      </c>
      <c r="B93" s="104" t="s">
        <v>1342</v>
      </c>
    </row>
    <row r="94">
      <c r="A94" s="6" t="s">
        <v>1782</v>
      </c>
      <c r="B94" s="104" t="s">
        <v>1784</v>
      </c>
    </row>
    <row r="95">
      <c r="A95" s="6" t="s">
        <v>664</v>
      </c>
      <c r="B95" s="104" t="s">
        <v>666</v>
      </c>
    </row>
    <row r="96">
      <c r="A96" s="6" t="s">
        <v>855</v>
      </c>
      <c r="B96" s="104" t="s">
        <v>857</v>
      </c>
    </row>
    <row r="97">
      <c r="A97" s="6" t="s">
        <v>1831</v>
      </c>
      <c r="B97" s="104" t="s">
        <v>1832</v>
      </c>
    </row>
    <row r="98">
      <c r="A98" s="6" t="s">
        <v>605</v>
      </c>
      <c r="B98" s="104" t="s">
        <v>608</v>
      </c>
    </row>
    <row r="99">
      <c r="A99" s="6" t="s">
        <v>1841</v>
      </c>
      <c r="B99" s="104" t="s">
        <v>2503</v>
      </c>
    </row>
    <row r="100">
      <c r="A100" s="6" t="s">
        <v>613</v>
      </c>
      <c r="B100" s="104" t="s">
        <v>615</v>
      </c>
    </row>
    <row r="101">
      <c r="A101" s="6" t="s">
        <v>1913</v>
      </c>
      <c r="B101" s="104" t="s">
        <v>1915</v>
      </c>
    </row>
    <row r="102">
      <c r="A102" s="6" t="s">
        <v>693</v>
      </c>
      <c r="B102" s="104" t="s">
        <v>696</v>
      </c>
    </row>
    <row r="103">
      <c r="A103" s="6" t="s">
        <v>473</v>
      </c>
      <c r="B103" s="104" t="s">
        <v>475</v>
      </c>
    </row>
    <row r="104">
      <c r="A104" s="6" t="s">
        <v>84</v>
      </c>
      <c r="B104" s="104" t="s">
        <v>86</v>
      </c>
    </row>
    <row r="105">
      <c r="A105" s="6" t="s">
        <v>46</v>
      </c>
      <c r="B105" s="104" t="s">
        <v>1362</v>
      </c>
    </row>
    <row r="106">
      <c r="A106" s="6" t="s">
        <v>2018</v>
      </c>
      <c r="B106" s="104" t="s">
        <v>2021</v>
      </c>
    </row>
    <row r="107">
      <c r="A107" s="6" t="s">
        <v>2006</v>
      </c>
      <c r="B107" s="104" t="s">
        <v>2009</v>
      </c>
    </row>
    <row r="108">
      <c r="A108" s="6" t="s">
        <v>578</v>
      </c>
      <c r="B108" s="104" t="s">
        <v>580</v>
      </c>
    </row>
    <row r="109">
      <c r="A109" s="6" t="s">
        <v>878</v>
      </c>
      <c r="B109" s="104" t="s">
        <v>880</v>
      </c>
    </row>
    <row r="110">
      <c r="A110" s="6" t="s">
        <v>1159</v>
      </c>
      <c r="B110" s="104" t="s">
        <v>1161</v>
      </c>
    </row>
    <row r="111">
      <c r="A111" s="6" t="s">
        <v>997</v>
      </c>
      <c r="B111" s="104" t="s">
        <v>999</v>
      </c>
    </row>
    <row r="112">
      <c r="A112" s="6" t="s">
        <v>1680</v>
      </c>
      <c r="B112" s="104" t="s">
        <v>1682</v>
      </c>
    </row>
    <row r="113">
      <c r="A113" s="6" t="s">
        <v>1647</v>
      </c>
      <c r="B113" s="104" t="s">
        <v>1649</v>
      </c>
    </row>
    <row r="114">
      <c r="A114" s="6" t="s">
        <v>2137</v>
      </c>
      <c r="B114" s="104" t="s">
        <v>2139</v>
      </c>
    </row>
    <row r="115">
      <c r="A115" s="6" t="s">
        <v>1959</v>
      </c>
      <c r="B115" s="104" t="s">
        <v>1961</v>
      </c>
    </row>
    <row r="116">
      <c r="A116" s="6" t="s">
        <v>2292</v>
      </c>
      <c r="B116" s="104" t="s">
        <v>2294</v>
      </c>
    </row>
    <row r="117">
      <c r="A117" s="6" t="s">
        <v>2390</v>
      </c>
      <c r="B117" s="104" t="s">
        <v>2504</v>
      </c>
    </row>
    <row r="118">
      <c r="A118" s="6" t="s">
        <v>319</v>
      </c>
      <c r="B118" s="104" t="s">
        <v>321</v>
      </c>
    </row>
    <row r="119">
      <c r="A119" s="6" t="s">
        <v>2384</v>
      </c>
      <c r="B119" s="104" t="s">
        <v>2505</v>
      </c>
    </row>
    <row r="120">
      <c r="A120" s="6" t="s">
        <v>300</v>
      </c>
      <c r="B120" s="104" t="s">
        <v>302</v>
      </c>
    </row>
    <row r="121">
      <c r="A121" s="6" t="s">
        <v>254</v>
      </c>
      <c r="B121" s="104" t="s">
        <v>256</v>
      </c>
    </row>
    <row r="122">
      <c r="A122" s="6" t="s">
        <v>1952</v>
      </c>
      <c r="B122" s="104" t="s">
        <v>1953</v>
      </c>
    </row>
    <row r="123">
      <c r="A123" s="6" t="s">
        <v>485</v>
      </c>
      <c r="B123" s="104" t="s">
        <v>486</v>
      </c>
    </row>
    <row r="124">
      <c r="A124" s="6" t="s">
        <v>686</v>
      </c>
      <c r="B124" s="104" t="s">
        <v>687</v>
      </c>
    </row>
    <row r="125">
      <c r="A125" s="6" t="s">
        <v>2340</v>
      </c>
      <c r="B125" s="104" t="s">
        <v>2506</v>
      </c>
    </row>
    <row r="126">
      <c r="A126" s="6" t="s">
        <v>404</v>
      </c>
      <c r="B126" s="104" t="s">
        <v>406</v>
      </c>
    </row>
    <row r="127">
      <c r="A127" s="6" t="s">
        <v>1772</v>
      </c>
      <c r="B127" s="104" t="s">
        <v>1774</v>
      </c>
    </row>
    <row r="128">
      <c r="A128" s="6" t="s">
        <v>2329</v>
      </c>
      <c r="B128" s="104" t="s">
        <v>2507</v>
      </c>
    </row>
    <row r="129">
      <c r="A129" s="6" t="s">
        <v>133</v>
      </c>
      <c r="B129" s="104" t="s">
        <v>136</v>
      </c>
    </row>
    <row r="130">
      <c r="A130" s="6" t="s">
        <v>2428</v>
      </c>
      <c r="B130" s="104" t="s">
        <v>2508</v>
      </c>
    </row>
    <row r="131">
      <c r="A131" s="6" t="s">
        <v>1569</v>
      </c>
      <c r="B131" s="104" t="s">
        <v>1571</v>
      </c>
    </row>
    <row r="132">
      <c r="A132" s="6" t="s">
        <v>1628</v>
      </c>
      <c r="B132" s="104" t="s">
        <v>1629</v>
      </c>
    </row>
    <row r="133">
      <c r="A133" s="6" t="s">
        <v>741</v>
      </c>
      <c r="B133" s="104" t="s">
        <v>743</v>
      </c>
    </row>
    <row r="134">
      <c r="A134" s="6" t="s">
        <v>1412</v>
      </c>
      <c r="B134" s="104" t="s">
        <v>1414</v>
      </c>
    </row>
    <row r="135">
      <c r="A135" s="6" t="s">
        <v>2143</v>
      </c>
      <c r="B135" s="104" t="s">
        <v>2144</v>
      </c>
    </row>
    <row r="136">
      <c r="A136" s="6" t="s">
        <v>2423</v>
      </c>
      <c r="B136" s="104" t="s">
        <v>2509</v>
      </c>
    </row>
    <row r="137">
      <c r="A137" s="6" t="s">
        <v>851</v>
      </c>
      <c r="B137" s="104" t="s">
        <v>853</v>
      </c>
    </row>
    <row r="138">
      <c r="A138" s="6" t="s">
        <v>2234</v>
      </c>
      <c r="B138" s="104" t="s">
        <v>2236</v>
      </c>
    </row>
    <row r="139">
      <c r="A139" s="6" t="s">
        <v>1154</v>
      </c>
      <c r="B139" s="104" t="s">
        <v>1157</v>
      </c>
    </row>
    <row r="140">
      <c r="A140" s="6" t="s">
        <v>1523</v>
      </c>
      <c r="B140" s="104" t="s">
        <v>2510</v>
      </c>
    </row>
    <row r="141">
      <c r="A141" s="6" t="s">
        <v>1716</v>
      </c>
      <c r="B141" s="104" t="s">
        <v>1717</v>
      </c>
    </row>
    <row r="142">
      <c r="A142" s="6" t="s">
        <v>1850</v>
      </c>
      <c r="B142" s="104" t="s">
        <v>1852</v>
      </c>
    </row>
    <row r="143">
      <c r="A143" s="6" t="s">
        <v>1334</v>
      </c>
      <c r="B143" s="104" t="s">
        <v>1336</v>
      </c>
    </row>
    <row r="144">
      <c r="A144" s="6" t="s">
        <v>358</v>
      </c>
      <c r="B144" s="104" t="s">
        <v>360</v>
      </c>
    </row>
    <row r="145">
      <c r="A145" s="6" t="s">
        <v>1741</v>
      </c>
      <c r="B145" s="104" t="s">
        <v>1742</v>
      </c>
    </row>
    <row r="146">
      <c r="A146" s="6" t="s">
        <v>2265</v>
      </c>
      <c r="B146" s="104" t="s">
        <v>2267</v>
      </c>
    </row>
    <row r="147">
      <c r="A147" s="6" t="s">
        <v>1854</v>
      </c>
      <c r="B147" s="104" t="s">
        <v>1856</v>
      </c>
    </row>
    <row r="148">
      <c r="A148" s="6" t="s">
        <v>1108</v>
      </c>
      <c r="B148" s="104" t="s">
        <v>1110</v>
      </c>
    </row>
    <row r="149">
      <c r="A149" s="6" t="s">
        <v>236</v>
      </c>
      <c r="B149" s="104" t="s">
        <v>237</v>
      </c>
    </row>
    <row r="150">
      <c r="A150" s="6" t="s">
        <v>306</v>
      </c>
      <c r="B150" s="104" t="s">
        <v>307</v>
      </c>
    </row>
    <row r="151">
      <c r="A151" s="6" t="s">
        <v>2111</v>
      </c>
      <c r="B151" s="104" t="s">
        <v>2114</v>
      </c>
    </row>
    <row r="152">
      <c r="A152" s="6" t="s">
        <v>339</v>
      </c>
      <c r="B152" s="104" t="s">
        <v>341</v>
      </c>
    </row>
    <row r="153">
      <c r="A153" s="6" t="s">
        <v>74</v>
      </c>
      <c r="B153" s="104" t="s">
        <v>76</v>
      </c>
    </row>
    <row r="154">
      <c r="A154" s="6" t="s">
        <v>408</v>
      </c>
      <c r="B154" s="104" t="s">
        <v>411</v>
      </c>
    </row>
    <row r="155">
      <c r="A155" s="6" t="s">
        <v>1579</v>
      </c>
      <c r="B155" s="6" t="s">
        <v>1581</v>
      </c>
    </row>
    <row r="156">
      <c r="A156" s="6" t="s">
        <v>1454</v>
      </c>
      <c r="B156" s="104" t="s">
        <v>110</v>
      </c>
    </row>
    <row r="157">
      <c r="A157" s="6" t="s">
        <v>2173</v>
      </c>
      <c r="B157" s="104" t="s">
        <v>2176</v>
      </c>
    </row>
    <row r="158">
      <c r="A158" s="6" t="s">
        <v>2307</v>
      </c>
      <c r="B158" s="104" t="s">
        <v>2511</v>
      </c>
    </row>
    <row r="159">
      <c r="A159" s="6" t="s">
        <v>2184</v>
      </c>
      <c r="B159" s="104" t="s">
        <v>2186</v>
      </c>
    </row>
    <row r="160">
      <c r="A160" s="6" t="s">
        <v>2322</v>
      </c>
      <c r="B160" s="104" t="s">
        <v>2512</v>
      </c>
    </row>
    <row r="161">
      <c r="A161" s="6" t="s">
        <v>2310</v>
      </c>
      <c r="B161" s="104" t="s">
        <v>2513</v>
      </c>
    </row>
    <row r="162">
      <c r="A162" s="6" t="s">
        <v>2332</v>
      </c>
      <c r="B162" s="104" t="s">
        <v>2514</v>
      </c>
    </row>
    <row r="163">
      <c r="A163" s="6" t="s">
        <v>2210</v>
      </c>
      <c r="B163" s="104" t="s">
        <v>2212</v>
      </c>
    </row>
    <row r="164">
      <c r="A164" s="6" t="s">
        <v>60</v>
      </c>
      <c r="B164" s="104" t="s">
        <v>62</v>
      </c>
    </row>
    <row r="165">
      <c r="A165" s="6" t="s">
        <v>97</v>
      </c>
      <c r="B165" s="104" t="s">
        <v>99</v>
      </c>
    </row>
    <row r="166">
      <c r="A166" s="6" t="s">
        <v>2081</v>
      </c>
      <c r="B166" s="104" t="s">
        <v>2083</v>
      </c>
    </row>
    <row r="167">
      <c r="A167" s="6" t="s">
        <v>1940</v>
      </c>
      <c r="B167" s="104" t="s">
        <v>1942</v>
      </c>
    </row>
    <row r="168">
      <c r="A168" s="6" t="s">
        <v>2072</v>
      </c>
      <c r="B168" s="104" t="s">
        <v>2074</v>
      </c>
    </row>
    <row r="169">
      <c r="A169" s="6" t="s">
        <v>50</v>
      </c>
      <c r="B169" s="104" t="s">
        <v>52</v>
      </c>
    </row>
    <row r="170">
      <c r="A170" s="6" t="s">
        <v>993</v>
      </c>
      <c r="B170" s="104" t="s">
        <v>995</v>
      </c>
    </row>
    <row r="171">
      <c r="A171" s="6" t="s">
        <v>1663</v>
      </c>
      <c r="B171" s="104" t="s">
        <v>1664</v>
      </c>
    </row>
    <row r="172">
      <c r="A172" s="6" t="s">
        <v>368</v>
      </c>
      <c r="B172" s="104" t="s">
        <v>370</v>
      </c>
    </row>
    <row r="173">
      <c r="A173" s="6" t="s">
        <v>115</v>
      </c>
      <c r="B173" s="104" t="s">
        <v>117</v>
      </c>
    </row>
    <row r="174">
      <c r="A174" s="6" t="s">
        <v>54</v>
      </c>
      <c r="B174" s="104" t="s">
        <v>56</v>
      </c>
    </row>
    <row r="175">
      <c r="A175" s="6" t="s">
        <v>1480</v>
      </c>
      <c r="B175" s="104" t="s">
        <v>2515</v>
      </c>
    </row>
    <row r="176">
      <c r="A176" s="6" t="s">
        <v>1615</v>
      </c>
      <c r="B176" s="104" t="s">
        <v>1618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63"/>
    <col customWidth="1" min="2" max="2" width="41.0"/>
    <col customWidth="1" min="3" max="3" width="33.25"/>
    <col customWidth="1" min="4" max="4" width="77.75"/>
    <col customWidth="1" min="5" max="5" width="23.88"/>
    <col customWidth="1" min="6" max="35" width="15.0"/>
  </cols>
  <sheetData>
    <row r="1" ht="22.5" customHeight="1">
      <c r="A1" s="105" t="s">
        <v>2</v>
      </c>
      <c r="B1" s="105" t="s">
        <v>2516</v>
      </c>
      <c r="C1" s="105" t="s">
        <v>2517</v>
      </c>
      <c r="D1" s="105" t="s">
        <v>4</v>
      </c>
      <c r="E1" s="105" t="s">
        <v>2518</v>
      </c>
      <c r="F1" s="105" t="s">
        <v>2519</v>
      </c>
      <c r="G1" s="105" t="s">
        <v>2520</v>
      </c>
      <c r="H1" s="105" t="s">
        <v>2521</v>
      </c>
      <c r="I1" s="105" t="s">
        <v>2522</v>
      </c>
      <c r="J1" s="105" t="s">
        <v>2523</v>
      </c>
      <c r="K1" s="106" t="s">
        <v>2524</v>
      </c>
      <c r="L1" s="106" t="s">
        <v>2525</v>
      </c>
      <c r="M1" s="106" t="s">
        <v>2526</v>
      </c>
      <c r="N1" s="106" t="s">
        <v>2527</v>
      </c>
      <c r="O1" s="106" t="s">
        <v>2528</v>
      </c>
      <c r="P1" s="106" t="s">
        <v>2529</v>
      </c>
      <c r="Q1" s="106" t="s">
        <v>2530</v>
      </c>
      <c r="R1" s="106" t="s">
        <v>2531</v>
      </c>
      <c r="S1" s="106" t="s">
        <v>2532</v>
      </c>
      <c r="T1" s="106" t="s">
        <v>2533</v>
      </c>
      <c r="U1" s="106" t="s">
        <v>2534</v>
      </c>
      <c r="V1" s="106" t="s">
        <v>2535</v>
      </c>
      <c r="W1" s="106" t="s">
        <v>2536</v>
      </c>
      <c r="X1" s="106" t="s">
        <v>2537</v>
      </c>
      <c r="Y1" s="106" t="s">
        <v>2538</v>
      </c>
      <c r="Z1" s="106" t="s">
        <v>2539</v>
      </c>
      <c r="AA1" s="106" t="s">
        <v>2540</v>
      </c>
      <c r="AB1" s="106" t="s">
        <v>2541</v>
      </c>
      <c r="AC1" s="106" t="s">
        <v>2542</v>
      </c>
      <c r="AD1" s="106" t="s">
        <v>2543</v>
      </c>
      <c r="AE1" s="106" t="s">
        <v>2544</v>
      </c>
      <c r="AF1" s="106" t="s">
        <v>2545</v>
      </c>
      <c r="AG1" s="106" t="s">
        <v>2546</v>
      </c>
      <c r="AH1" s="106" t="s">
        <v>2547</v>
      </c>
      <c r="AI1" s="106" t="s">
        <v>2548</v>
      </c>
    </row>
    <row r="2" ht="22.5" customHeight="1">
      <c r="A2" s="107">
        <v>46146.0</v>
      </c>
      <c r="B2" s="108" t="s">
        <v>2549</v>
      </c>
      <c r="C2" s="109">
        <v>5000.0</v>
      </c>
      <c r="D2" s="60" t="s">
        <v>2235</v>
      </c>
      <c r="E2" s="60" t="s">
        <v>2234</v>
      </c>
      <c r="F2" s="108" t="s">
        <v>2550</v>
      </c>
      <c r="G2" s="60" t="s">
        <v>26</v>
      </c>
      <c r="H2" s="60" t="s">
        <v>2551</v>
      </c>
      <c r="J2" s="107">
        <v>46146.0</v>
      </c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/>
      <c r="AI2" s="107"/>
    </row>
    <row r="3" ht="22.5" customHeight="1">
      <c r="A3" s="107">
        <v>46146.0</v>
      </c>
      <c r="B3" s="108" t="s">
        <v>2549</v>
      </c>
      <c r="C3" s="109">
        <v>2500.0</v>
      </c>
      <c r="D3" s="60" t="s">
        <v>2222</v>
      </c>
      <c r="E3" s="60" t="s">
        <v>2221</v>
      </c>
      <c r="F3" s="108" t="s">
        <v>2550</v>
      </c>
      <c r="G3" s="60" t="s">
        <v>26</v>
      </c>
      <c r="H3" s="60" t="s">
        <v>2551</v>
      </c>
      <c r="J3" s="107">
        <v>46146.0</v>
      </c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</row>
    <row r="4" ht="22.5" customHeight="1">
      <c r="A4" s="107">
        <v>46146.0</v>
      </c>
      <c r="B4" s="108" t="s">
        <v>2549</v>
      </c>
      <c r="C4" s="109">
        <v>3000.0</v>
      </c>
      <c r="D4" s="60" t="s">
        <v>2249</v>
      </c>
      <c r="E4" s="60" t="s">
        <v>2248</v>
      </c>
      <c r="F4" s="108" t="s">
        <v>2550</v>
      </c>
      <c r="G4" s="60" t="s">
        <v>26</v>
      </c>
      <c r="H4" s="60" t="s">
        <v>2551</v>
      </c>
      <c r="J4" s="107">
        <v>46146.0</v>
      </c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</row>
    <row r="5" ht="22.5" customHeight="1">
      <c r="A5" s="107">
        <v>46146.0</v>
      </c>
      <c r="B5" s="108" t="s">
        <v>2549</v>
      </c>
      <c r="C5" s="109">
        <v>2500.0</v>
      </c>
      <c r="D5" s="60" t="s">
        <v>2252</v>
      </c>
      <c r="E5" s="60" t="s">
        <v>50</v>
      </c>
      <c r="F5" s="108" t="s">
        <v>2550</v>
      </c>
      <c r="G5" s="60" t="s">
        <v>26</v>
      </c>
      <c r="H5" s="60" t="s">
        <v>2551</v>
      </c>
      <c r="J5" s="107">
        <v>46146.0</v>
      </c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7"/>
      <c r="AF5" s="107"/>
      <c r="AG5" s="107"/>
      <c r="AH5" s="107"/>
      <c r="AI5" s="107"/>
    </row>
    <row r="6" ht="22.5" customHeight="1">
      <c r="A6" s="107">
        <v>46146.0</v>
      </c>
      <c r="B6" s="108" t="s">
        <v>2549</v>
      </c>
      <c r="C6" s="109">
        <v>5000.0</v>
      </c>
      <c r="D6" s="60" t="s">
        <v>2231</v>
      </c>
      <c r="E6" s="60" t="s">
        <v>2230</v>
      </c>
      <c r="F6" s="108" t="s">
        <v>2550</v>
      </c>
      <c r="G6" s="60" t="s">
        <v>26</v>
      </c>
      <c r="H6" s="60" t="s">
        <v>2551</v>
      </c>
      <c r="J6" s="107">
        <v>46146.0</v>
      </c>
      <c r="K6" s="107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7"/>
      <c r="AI6" s="107"/>
    </row>
    <row r="7" ht="22.5" customHeight="1">
      <c r="A7" s="107">
        <v>46146.0</v>
      </c>
      <c r="B7" s="108" t="s">
        <v>2549</v>
      </c>
      <c r="C7" s="109">
        <v>25000.0</v>
      </c>
      <c r="D7" s="60" t="s">
        <v>2241</v>
      </c>
      <c r="E7" s="60" t="s">
        <v>2240</v>
      </c>
      <c r="F7" s="108" t="s">
        <v>2550</v>
      </c>
      <c r="G7" s="60" t="s">
        <v>26</v>
      </c>
      <c r="H7" s="60" t="s">
        <v>2551</v>
      </c>
      <c r="J7" s="107">
        <v>46146.0</v>
      </c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</row>
    <row r="8" ht="22.5" customHeight="1">
      <c r="A8" s="107">
        <v>46147.0</v>
      </c>
      <c r="B8" s="108" t="s">
        <v>2552</v>
      </c>
      <c r="C8" s="109">
        <v>80000.0</v>
      </c>
      <c r="D8" s="60" t="s">
        <v>2272</v>
      </c>
      <c r="E8" s="60" t="s">
        <v>221</v>
      </c>
      <c r="F8" s="108" t="s">
        <v>2550</v>
      </c>
      <c r="G8" s="60" t="s">
        <v>26</v>
      </c>
      <c r="H8" s="60" t="s">
        <v>2553</v>
      </c>
      <c r="I8" s="60">
        <v>1180000.0</v>
      </c>
      <c r="J8" s="107">
        <v>46147.0</v>
      </c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</row>
    <row r="9" ht="22.5" customHeight="1">
      <c r="A9" s="107">
        <v>46147.0</v>
      </c>
      <c r="B9" s="108" t="s">
        <v>2549</v>
      </c>
      <c r="C9" s="109">
        <v>3000.0</v>
      </c>
      <c r="D9" s="60" t="s">
        <v>61</v>
      </c>
      <c r="E9" s="60" t="s">
        <v>1980</v>
      </c>
      <c r="F9" s="108" t="s">
        <v>2550</v>
      </c>
      <c r="G9" s="60" t="s">
        <v>26</v>
      </c>
      <c r="H9" s="60" t="s">
        <v>2551</v>
      </c>
      <c r="J9" s="107">
        <v>46147.0</v>
      </c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</row>
    <row r="10" ht="22.5" customHeight="1">
      <c r="A10" s="107">
        <v>46147.0</v>
      </c>
      <c r="B10" s="108" t="s">
        <v>2549</v>
      </c>
      <c r="C10" s="109">
        <v>2000.0</v>
      </c>
      <c r="D10" s="60" t="s">
        <v>2301</v>
      </c>
      <c r="E10" s="60" t="s">
        <v>221</v>
      </c>
      <c r="F10" s="108" t="s">
        <v>2550</v>
      </c>
      <c r="G10" s="60" t="s">
        <v>26</v>
      </c>
      <c r="H10" s="60" t="s">
        <v>2551</v>
      </c>
      <c r="J10" s="107">
        <v>46147.0</v>
      </c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</row>
    <row r="11" ht="22.5" customHeight="1">
      <c r="A11" s="107">
        <v>46147.0</v>
      </c>
      <c r="B11" s="108" t="s">
        <v>2549</v>
      </c>
      <c r="C11" s="109">
        <v>3000.0</v>
      </c>
      <c r="D11" s="60" t="s">
        <v>1880</v>
      </c>
      <c r="E11" s="60" t="s">
        <v>1994</v>
      </c>
      <c r="F11" s="108" t="s">
        <v>2550</v>
      </c>
      <c r="G11" s="60" t="s">
        <v>26</v>
      </c>
      <c r="H11" s="60" t="s">
        <v>2551</v>
      </c>
      <c r="J11" s="107">
        <v>46147.0</v>
      </c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</row>
    <row r="12" ht="22.5" customHeight="1">
      <c r="A12" s="107">
        <v>46147.0</v>
      </c>
      <c r="B12" s="108" t="s">
        <v>2549</v>
      </c>
      <c r="C12" s="109">
        <v>10000.0</v>
      </c>
      <c r="D12" s="60" t="s">
        <v>2293</v>
      </c>
      <c r="E12" s="60" t="s">
        <v>2292</v>
      </c>
      <c r="F12" s="108" t="s">
        <v>2550</v>
      </c>
      <c r="G12" s="60" t="s">
        <v>26</v>
      </c>
      <c r="H12" s="60" t="s">
        <v>2551</v>
      </c>
      <c r="J12" s="107">
        <v>46147.0</v>
      </c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  <c r="AF12" s="107"/>
      <c r="AG12" s="107"/>
      <c r="AH12" s="107"/>
      <c r="AI12" s="107"/>
    </row>
    <row r="13" ht="22.5" customHeight="1">
      <c r="A13" s="107">
        <v>46147.0</v>
      </c>
      <c r="B13" s="108" t="s">
        <v>2549</v>
      </c>
      <c r="C13" s="109">
        <v>2500.0</v>
      </c>
      <c r="D13" s="60" t="s">
        <v>2276</v>
      </c>
      <c r="E13" s="60" t="s">
        <v>1468</v>
      </c>
      <c r="F13" s="108" t="s">
        <v>2550</v>
      </c>
      <c r="G13" s="60" t="s">
        <v>26</v>
      </c>
      <c r="H13" s="60" t="s">
        <v>2551</v>
      </c>
      <c r="J13" s="107">
        <v>46147.0</v>
      </c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7"/>
      <c r="AF13" s="107"/>
      <c r="AG13" s="107"/>
      <c r="AH13" s="107"/>
      <c r="AI13" s="107"/>
    </row>
    <row r="14" ht="22.5" customHeight="1">
      <c r="A14" s="107">
        <v>46147.0</v>
      </c>
      <c r="B14" s="108" t="s">
        <v>2549</v>
      </c>
      <c r="C14" s="109">
        <v>3000.0</v>
      </c>
      <c r="D14" s="60" t="s">
        <v>2270</v>
      </c>
      <c r="E14" s="60" t="s">
        <v>2060</v>
      </c>
      <c r="F14" s="108" t="s">
        <v>2550</v>
      </c>
      <c r="G14" s="60" t="s">
        <v>26</v>
      </c>
      <c r="H14" s="60" t="s">
        <v>2551</v>
      </c>
      <c r="J14" s="107">
        <v>46147.0</v>
      </c>
      <c r="K14" s="107"/>
      <c r="L14" s="107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  <c r="AF14" s="107"/>
      <c r="AG14" s="107"/>
      <c r="AH14" s="107"/>
      <c r="AI14" s="107"/>
    </row>
    <row r="15" ht="22.5" customHeight="1">
      <c r="A15" s="107">
        <v>46147.0</v>
      </c>
      <c r="B15" s="108" t="s">
        <v>2549</v>
      </c>
      <c r="C15" s="109">
        <v>5000.0</v>
      </c>
      <c r="D15" s="60" t="s">
        <v>2308</v>
      </c>
      <c r="E15" s="60" t="s">
        <v>2307</v>
      </c>
      <c r="F15" s="108" t="s">
        <v>2550</v>
      </c>
      <c r="G15" s="60" t="s">
        <v>26</v>
      </c>
      <c r="H15" s="60" t="s">
        <v>2551</v>
      </c>
      <c r="J15" s="107">
        <v>46147.0</v>
      </c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</row>
    <row r="16" ht="22.5" customHeight="1">
      <c r="A16" s="107">
        <v>46147.0</v>
      </c>
      <c r="B16" s="108" t="s">
        <v>2549</v>
      </c>
      <c r="C16" s="109">
        <v>2500.0</v>
      </c>
      <c r="D16" s="60" t="s">
        <v>2266</v>
      </c>
      <c r="E16" s="60" t="s">
        <v>2265</v>
      </c>
      <c r="F16" s="108" t="s">
        <v>2550</v>
      </c>
      <c r="G16" s="60" t="s">
        <v>26</v>
      </c>
      <c r="H16" s="60" t="s">
        <v>2551</v>
      </c>
      <c r="J16" s="107">
        <v>46147.0</v>
      </c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</row>
    <row r="17" ht="22.5" customHeight="1">
      <c r="A17" s="107">
        <v>46148.0</v>
      </c>
      <c r="B17" s="108" t="s">
        <v>2549</v>
      </c>
      <c r="C17" s="109">
        <v>75000.0</v>
      </c>
      <c r="D17" s="60" t="s">
        <v>1175</v>
      </c>
      <c r="E17" s="60" t="s">
        <v>2332</v>
      </c>
      <c r="F17" s="108" t="s">
        <v>2550</v>
      </c>
      <c r="G17" s="60" t="s">
        <v>26</v>
      </c>
      <c r="H17" s="60" t="s">
        <v>2551</v>
      </c>
      <c r="J17" s="107">
        <v>46148.0</v>
      </c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  <c r="AE17" s="107"/>
      <c r="AF17" s="107"/>
      <c r="AG17" s="107"/>
      <c r="AH17" s="107"/>
      <c r="AI17" s="107"/>
    </row>
    <row r="18" ht="22.5" customHeight="1">
      <c r="A18" s="107">
        <v>46148.0</v>
      </c>
      <c r="B18" s="108" t="s">
        <v>2549</v>
      </c>
      <c r="C18" s="109">
        <v>5000.0</v>
      </c>
      <c r="D18" s="60" t="s">
        <v>2338</v>
      </c>
      <c r="E18" s="60" t="s">
        <v>212</v>
      </c>
      <c r="F18" s="108" t="s">
        <v>2550</v>
      </c>
      <c r="G18" s="60" t="s">
        <v>26</v>
      </c>
      <c r="H18" s="60" t="s">
        <v>2551</v>
      </c>
      <c r="J18" s="107">
        <v>46148.0</v>
      </c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  <c r="AA18" s="107"/>
      <c r="AB18" s="107"/>
      <c r="AC18" s="107"/>
      <c r="AD18" s="107"/>
      <c r="AE18" s="107"/>
      <c r="AF18" s="107"/>
      <c r="AG18" s="107"/>
      <c r="AH18" s="107"/>
      <c r="AI18" s="107"/>
    </row>
    <row r="19" ht="22.5" customHeight="1">
      <c r="A19" s="107">
        <v>46148.0</v>
      </c>
      <c r="B19" s="108" t="s">
        <v>2549</v>
      </c>
      <c r="C19" s="109">
        <v>3000.0</v>
      </c>
      <c r="D19" s="60" t="s">
        <v>2330</v>
      </c>
      <c r="E19" s="60" t="s">
        <v>2329</v>
      </c>
      <c r="F19" s="108" t="s">
        <v>2550</v>
      </c>
      <c r="G19" s="60" t="s">
        <v>26</v>
      </c>
      <c r="H19" s="60" t="s">
        <v>2551</v>
      </c>
      <c r="J19" s="107">
        <v>46148.0</v>
      </c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07"/>
      <c r="AE19" s="107"/>
      <c r="AF19" s="107"/>
      <c r="AG19" s="107"/>
      <c r="AH19" s="107"/>
      <c r="AI19" s="107"/>
    </row>
    <row r="20" ht="22.5" customHeight="1">
      <c r="A20" s="107">
        <v>46148.0</v>
      </c>
      <c r="B20" s="108" t="s">
        <v>2549</v>
      </c>
      <c r="C20" s="109">
        <v>3000.0</v>
      </c>
      <c r="D20" s="60" t="s">
        <v>2323</v>
      </c>
      <c r="E20" s="60" t="s">
        <v>2322</v>
      </c>
      <c r="F20" s="108" t="s">
        <v>2550</v>
      </c>
      <c r="G20" s="60" t="s">
        <v>26</v>
      </c>
      <c r="H20" s="60" t="s">
        <v>2551</v>
      </c>
      <c r="J20" s="107">
        <v>46148.0</v>
      </c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</row>
    <row r="21" ht="22.5" customHeight="1">
      <c r="A21" s="107">
        <v>46148.0</v>
      </c>
      <c r="B21" s="108" t="s">
        <v>2549</v>
      </c>
      <c r="C21" s="109">
        <v>5000.0</v>
      </c>
      <c r="D21" s="60" t="s">
        <v>2316</v>
      </c>
      <c r="E21" s="60" t="s">
        <v>248</v>
      </c>
      <c r="F21" s="108" t="s">
        <v>2550</v>
      </c>
      <c r="G21" s="60" t="s">
        <v>26</v>
      </c>
      <c r="H21" s="60" t="s">
        <v>2551</v>
      </c>
      <c r="J21" s="107">
        <v>46148.0</v>
      </c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</row>
    <row r="22" ht="22.5" customHeight="1">
      <c r="A22" s="107"/>
      <c r="B22" s="110"/>
      <c r="C22" s="109"/>
      <c r="F22" s="110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  <c r="AI22" s="107"/>
    </row>
    <row r="23" ht="22.5" customHeight="1">
      <c r="A23" s="107"/>
      <c r="B23" s="110"/>
      <c r="C23" s="109"/>
      <c r="F23" s="110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  <c r="AI23" s="107"/>
    </row>
    <row r="24" ht="22.5" customHeight="1">
      <c r="A24" s="107"/>
      <c r="B24" s="110"/>
      <c r="C24" s="109"/>
      <c r="F24" s="110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  <c r="AF24" s="107"/>
      <c r="AG24" s="107"/>
      <c r="AH24" s="107"/>
      <c r="AI24" s="107"/>
    </row>
    <row r="25" ht="22.5" customHeight="1">
      <c r="A25" s="107"/>
      <c r="B25" s="110"/>
      <c r="C25" s="109"/>
      <c r="F25" s="110"/>
      <c r="J25" s="107"/>
    </row>
    <row r="26" ht="22.5" customHeight="1">
      <c r="A26" s="107"/>
      <c r="B26" s="110"/>
      <c r="C26" s="109"/>
      <c r="F26" s="110"/>
      <c r="J26" s="107"/>
    </row>
    <row r="27" ht="22.5" customHeight="1">
      <c r="A27" s="107"/>
      <c r="B27" s="110"/>
      <c r="C27" s="109"/>
      <c r="F27" s="110"/>
      <c r="J27" s="107"/>
    </row>
    <row r="28">
      <c r="A28" s="111">
        <v>46148.0</v>
      </c>
      <c r="B28" s="6" t="s">
        <v>2554</v>
      </c>
      <c r="C28" s="6">
        <v>29000.0</v>
      </c>
      <c r="D28" s="6" t="s">
        <v>2555</v>
      </c>
      <c r="E28" s="6" t="s">
        <v>2556</v>
      </c>
      <c r="F28" s="6" t="s">
        <v>2557</v>
      </c>
      <c r="H28" s="6" t="s">
        <v>2557</v>
      </c>
      <c r="J28" s="111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111"/>
      <c r="AD28" s="111"/>
      <c r="AE28" s="111"/>
      <c r="AF28" s="111"/>
      <c r="AH28" s="111"/>
      <c r="AI28" s="111"/>
    </row>
    <row r="29">
      <c r="A29" s="101"/>
      <c r="H29" s="101">
        <v>46149.0</v>
      </c>
      <c r="I29" s="6" t="s">
        <v>2552</v>
      </c>
      <c r="J29" s="6">
        <v>90000.0</v>
      </c>
      <c r="K29" s="6" t="s">
        <v>2558</v>
      </c>
      <c r="L29" s="6" t="s">
        <v>2556</v>
      </c>
      <c r="M29" s="6" t="s">
        <v>2550</v>
      </c>
      <c r="N29" s="6" t="s">
        <v>26</v>
      </c>
      <c r="O29" s="6" t="s">
        <v>2553</v>
      </c>
      <c r="P29" s="6">
        <v>730000.0</v>
      </c>
      <c r="Q29" s="101">
        <v>46149.0</v>
      </c>
    </row>
    <row r="30">
      <c r="A30" s="101"/>
      <c r="H30" s="111">
        <v>46149.0</v>
      </c>
      <c r="I30" s="6" t="s">
        <v>2559</v>
      </c>
      <c r="J30" s="6">
        <v>2300.0</v>
      </c>
      <c r="K30" s="6" t="s">
        <v>2089</v>
      </c>
      <c r="L30" s="6" t="s">
        <v>2054</v>
      </c>
      <c r="M30" s="6" t="s">
        <v>2557</v>
      </c>
      <c r="O30" s="6" t="s">
        <v>2557</v>
      </c>
      <c r="Q30" s="111"/>
      <c r="Z30" s="111"/>
      <c r="AA30" s="111"/>
      <c r="AB30" s="111"/>
      <c r="AC30" s="111"/>
      <c r="AD30" s="111"/>
      <c r="AE30" s="111"/>
      <c r="AF30" s="111"/>
      <c r="AH30" s="111"/>
      <c r="AI30" s="111"/>
    </row>
    <row r="31">
      <c r="A31" s="101"/>
      <c r="H31" s="101">
        <v>46147.0</v>
      </c>
      <c r="I31" s="6" t="s">
        <v>2560</v>
      </c>
      <c r="J31" s="6">
        <v>29090.0</v>
      </c>
      <c r="K31" s="6" t="s">
        <v>2561</v>
      </c>
      <c r="L31" s="6" t="s">
        <v>2556</v>
      </c>
      <c r="M31" s="6" t="s">
        <v>2557</v>
      </c>
      <c r="O31" s="6" t="s">
        <v>2557</v>
      </c>
      <c r="Z31" s="111"/>
    </row>
    <row r="32">
      <c r="A32" s="101"/>
      <c r="H32" s="101">
        <v>46149.0</v>
      </c>
      <c r="I32" s="6" t="s">
        <v>2549</v>
      </c>
      <c r="J32" s="6">
        <v>2500.0</v>
      </c>
      <c r="K32" s="6" t="s">
        <v>2341</v>
      </c>
      <c r="L32" s="6" t="s">
        <v>2340</v>
      </c>
      <c r="M32" s="6" t="s">
        <v>2550</v>
      </c>
      <c r="N32" s="6" t="s">
        <v>26</v>
      </c>
      <c r="O32" s="6" t="s">
        <v>2551</v>
      </c>
      <c r="Q32" s="101">
        <v>46149.0</v>
      </c>
    </row>
    <row r="33">
      <c r="A33" s="101"/>
      <c r="H33" s="101">
        <v>46149.0</v>
      </c>
      <c r="I33" s="6" t="s">
        <v>2552</v>
      </c>
      <c r="J33" s="6">
        <v>645000.0</v>
      </c>
      <c r="K33" s="6" t="s">
        <v>1797</v>
      </c>
      <c r="L33" s="6" t="s">
        <v>70</v>
      </c>
      <c r="M33" s="6" t="s">
        <v>2550</v>
      </c>
      <c r="N33" s="6" t="s">
        <v>26</v>
      </c>
      <c r="O33" s="6" t="s">
        <v>2553</v>
      </c>
      <c r="Q33" s="101">
        <v>46149.0</v>
      </c>
    </row>
    <row r="34">
      <c r="A34" s="101"/>
      <c r="H34" s="101">
        <v>46149.0</v>
      </c>
      <c r="I34" s="6" t="s">
        <v>2549</v>
      </c>
      <c r="J34" s="6">
        <v>2500.0</v>
      </c>
      <c r="K34" s="6" t="s">
        <v>2562</v>
      </c>
      <c r="L34" s="6" t="s">
        <v>70</v>
      </c>
      <c r="M34" s="6" t="s">
        <v>2550</v>
      </c>
      <c r="N34" s="6" t="s">
        <v>26</v>
      </c>
      <c r="O34" s="6" t="s">
        <v>2551</v>
      </c>
      <c r="Q34" s="101">
        <v>46149.0</v>
      </c>
    </row>
    <row r="35">
      <c r="A35" s="101"/>
      <c r="H35" s="101">
        <v>46149.0</v>
      </c>
      <c r="I35" s="6" t="s">
        <v>2549</v>
      </c>
      <c r="J35" s="6">
        <v>2500.0</v>
      </c>
      <c r="K35" s="6" t="s">
        <v>2031</v>
      </c>
      <c r="L35" s="6" t="s">
        <v>70</v>
      </c>
      <c r="M35" s="6" t="s">
        <v>2550</v>
      </c>
      <c r="N35" s="6" t="s">
        <v>26</v>
      </c>
      <c r="O35" s="6" t="s">
        <v>2551</v>
      </c>
      <c r="Q35" s="101">
        <v>46149.0</v>
      </c>
    </row>
    <row r="36">
      <c r="A36" s="101"/>
      <c r="H36" s="101">
        <v>46149.0</v>
      </c>
      <c r="I36" s="6" t="s">
        <v>2549</v>
      </c>
      <c r="J36" s="6">
        <v>5000.0</v>
      </c>
      <c r="K36" s="6" t="s">
        <v>1465</v>
      </c>
      <c r="L36" s="6" t="s">
        <v>70</v>
      </c>
      <c r="M36" s="6" t="s">
        <v>2550</v>
      </c>
      <c r="N36" s="6" t="s">
        <v>26</v>
      </c>
      <c r="O36" s="6" t="s">
        <v>2551</v>
      </c>
      <c r="Q36" s="101">
        <v>46149.0</v>
      </c>
    </row>
    <row r="37">
      <c r="A37" s="101"/>
      <c r="H37" s="101">
        <v>46149.0</v>
      </c>
      <c r="I37" s="6" t="s">
        <v>2549</v>
      </c>
      <c r="J37" s="6">
        <v>3000.0</v>
      </c>
      <c r="K37" s="6" t="s">
        <v>2318</v>
      </c>
      <c r="L37" s="6" t="s">
        <v>70</v>
      </c>
      <c r="M37" s="6" t="s">
        <v>2550</v>
      </c>
      <c r="N37" s="6" t="s">
        <v>26</v>
      </c>
      <c r="O37" s="6" t="s">
        <v>2551</v>
      </c>
      <c r="Q37" s="101">
        <v>46149.0</v>
      </c>
    </row>
    <row r="38">
      <c r="A38" s="101"/>
      <c r="H38" s="101">
        <v>46149.0</v>
      </c>
      <c r="I38" s="6" t="s">
        <v>2549</v>
      </c>
      <c r="J38" s="6">
        <v>2000.0</v>
      </c>
      <c r="K38" s="6" t="s">
        <v>2320</v>
      </c>
      <c r="L38" s="6" t="s">
        <v>70</v>
      </c>
      <c r="M38" s="6" t="s">
        <v>2550</v>
      </c>
      <c r="N38" s="6" t="s">
        <v>26</v>
      </c>
      <c r="O38" s="6" t="s">
        <v>2551</v>
      </c>
      <c r="Q38" s="101">
        <v>46149.0</v>
      </c>
    </row>
    <row r="39">
      <c r="A39" s="101"/>
      <c r="H39" s="101">
        <v>46149.0</v>
      </c>
      <c r="I39" s="6" t="s">
        <v>2552</v>
      </c>
      <c r="J39" s="6">
        <v>560000.0</v>
      </c>
      <c r="K39" s="6" t="s">
        <v>1605</v>
      </c>
      <c r="L39" s="6" t="s">
        <v>851</v>
      </c>
      <c r="M39" s="6" t="s">
        <v>2550</v>
      </c>
      <c r="N39" s="6" t="s">
        <v>26</v>
      </c>
      <c r="O39" s="6" t="s">
        <v>2553</v>
      </c>
      <c r="Q39" s="101">
        <v>46149.0</v>
      </c>
    </row>
    <row r="40">
      <c r="A40" s="101"/>
      <c r="H40" s="111">
        <v>46149.0</v>
      </c>
      <c r="I40" s="6" t="s">
        <v>2549</v>
      </c>
      <c r="J40" s="6">
        <v>3000.0</v>
      </c>
      <c r="K40" s="6" t="s">
        <v>1332</v>
      </c>
      <c r="L40" s="6" t="s">
        <v>400</v>
      </c>
      <c r="M40" s="6" t="s">
        <v>2550</v>
      </c>
      <c r="N40" s="6" t="s">
        <v>26</v>
      </c>
      <c r="O40" s="6" t="s">
        <v>2551</v>
      </c>
      <c r="Q40" s="111">
        <v>46149.0</v>
      </c>
    </row>
    <row r="41">
      <c r="A41" s="101"/>
      <c r="H41" s="111">
        <v>46149.0</v>
      </c>
      <c r="I41" s="6" t="s">
        <v>2563</v>
      </c>
      <c r="J41" s="6">
        <v>118150.0</v>
      </c>
      <c r="K41" s="6" t="s">
        <v>2362</v>
      </c>
      <c r="L41" s="6" t="s">
        <v>485</v>
      </c>
      <c r="M41" s="6" t="s">
        <v>2557</v>
      </c>
      <c r="O41" s="6" t="s">
        <v>2557</v>
      </c>
    </row>
    <row r="42">
      <c r="A42" s="101"/>
      <c r="H42" s="101">
        <v>46149.0</v>
      </c>
      <c r="I42" s="6" t="s">
        <v>2549</v>
      </c>
      <c r="J42" s="6">
        <v>2500.0</v>
      </c>
      <c r="K42" s="6" t="s">
        <v>614</v>
      </c>
      <c r="L42" s="6" t="s">
        <v>613</v>
      </c>
      <c r="M42" s="6" t="s">
        <v>2550</v>
      </c>
      <c r="N42" s="6" t="s">
        <v>26</v>
      </c>
      <c r="O42" s="6" t="s">
        <v>2551</v>
      </c>
      <c r="Q42" s="101">
        <v>46149.0</v>
      </c>
    </row>
    <row r="43">
      <c r="A43" s="101"/>
      <c r="H43" s="101">
        <v>46149.0</v>
      </c>
      <c r="I43" s="6" t="s">
        <v>2549</v>
      </c>
      <c r="J43" s="6">
        <v>2500.0</v>
      </c>
      <c r="K43" s="6" t="s">
        <v>2564</v>
      </c>
      <c r="L43" s="6" t="s">
        <v>613</v>
      </c>
      <c r="M43" s="6" t="s">
        <v>2550</v>
      </c>
      <c r="N43" s="6" t="s">
        <v>26</v>
      </c>
      <c r="O43" s="6" t="s">
        <v>2551</v>
      </c>
      <c r="Q43" s="101">
        <v>46149.0</v>
      </c>
    </row>
    <row r="44">
      <c r="A44" s="101"/>
      <c r="H44" s="101">
        <v>46149.0</v>
      </c>
      <c r="I44" s="6" t="s">
        <v>2549</v>
      </c>
      <c r="J44" s="6">
        <v>5000.0</v>
      </c>
      <c r="K44" s="6" t="s">
        <v>2360</v>
      </c>
      <c r="L44" s="6" t="s">
        <v>418</v>
      </c>
      <c r="M44" s="6" t="s">
        <v>2550</v>
      </c>
      <c r="N44" s="6" t="s">
        <v>26</v>
      </c>
      <c r="O44" s="6" t="s">
        <v>2551</v>
      </c>
      <c r="Q44" s="101">
        <v>46149.0</v>
      </c>
    </row>
    <row r="45">
      <c r="A45" s="101"/>
      <c r="H45" s="101">
        <v>46149.0</v>
      </c>
      <c r="I45" s="6" t="s">
        <v>2549</v>
      </c>
      <c r="J45" s="6">
        <v>10000.0</v>
      </c>
      <c r="K45" s="6" t="s">
        <v>2371</v>
      </c>
      <c r="L45" s="6" t="s">
        <v>2370</v>
      </c>
      <c r="M45" s="6" t="s">
        <v>2550</v>
      </c>
      <c r="N45" s="6" t="s">
        <v>26</v>
      </c>
      <c r="O45" s="6" t="s">
        <v>2551</v>
      </c>
      <c r="Q45" s="101">
        <v>46149.0</v>
      </c>
    </row>
    <row r="46">
      <c r="A46" s="101"/>
      <c r="H46" s="101">
        <v>46149.0</v>
      </c>
      <c r="I46" s="6" t="s">
        <v>2549</v>
      </c>
      <c r="J46" s="6">
        <v>2500.0</v>
      </c>
      <c r="K46" s="6" t="s">
        <v>2303</v>
      </c>
      <c r="L46" s="6" t="s">
        <v>485</v>
      </c>
      <c r="M46" s="6" t="s">
        <v>2550</v>
      </c>
      <c r="N46" s="6" t="s">
        <v>26</v>
      </c>
      <c r="O46" s="6" t="s">
        <v>2551</v>
      </c>
      <c r="Q46" s="101">
        <v>46149.0</v>
      </c>
    </row>
    <row r="47">
      <c r="A47" s="101"/>
      <c r="H47" s="101">
        <v>46149.0</v>
      </c>
      <c r="I47" s="6" t="s">
        <v>2549</v>
      </c>
      <c r="J47" s="6">
        <v>145000.0</v>
      </c>
      <c r="K47" s="6" t="s">
        <v>2362</v>
      </c>
      <c r="L47" s="6" t="s">
        <v>485</v>
      </c>
      <c r="M47" s="6" t="s">
        <v>2550</v>
      </c>
      <c r="N47" s="6" t="s">
        <v>26</v>
      </c>
      <c r="O47" s="6" t="s">
        <v>2551</v>
      </c>
      <c r="Q47" s="101">
        <v>46149.0</v>
      </c>
    </row>
    <row r="48">
      <c r="A48" s="101"/>
      <c r="H48" s="111">
        <v>46149.0</v>
      </c>
      <c r="I48" s="6" t="s">
        <v>2549</v>
      </c>
      <c r="J48" s="6">
        <v>5000.0</v>
      </c>
      <c r="K48" s="6" t="s">
        <v>2367</v>
      </c>
      <c r="L48" s="6" t="s">
        <v>2373</v>
      </c>
      <c r="M48" s="6" t="s">
        <v>2550</v>
      </c>
      <c r="N48" s="6" t="s">
        <v>26</v>
      </c>
      <c r="O48" s="6" t="s">
        <v>2551</v>
      </c>
      <c r="Q48" s="111">
        <v>46149.0</v>
      </c>
    </row>
    <row r="49">
      <c r="A49" s="101"/>
      <c r="H49" s="101">
        <v>46150.0</v>
      </c>
      <c r="I49" s="6" t="s">
        <v>2565</v>
      </c>
      <c r="J49" s="6">
        <v>29090.0</v>
      </c>
      <c r="L49" s="6" t="s">
        <v>2556</v>
      </c>
      <c r="M49" s="6" t="s">
        <v>2557</v>
      </c>
      <c r="O49" s="6" t="s">
        <v>2557</v>
      </c>
    </row>
    <row r="50">
      <c r="A50" s="101"/>
      <c r="H50" s="101">
        <v>46150.0</v>
      </c>
      <c r="I50" s="6" t="s">
        <v>2566</v>
      </c>
      <c r="J50" s="6">
        <v>118150.0</v>
      </c>
      <c r="L50" s="6" t="s">
        <v>2556</v>
      </c>
      <c r="M50" s="6" t="s">
        <v>2557</v>
      </c>
      <c r="O50" s="6" t="s">
        <v>2557</v>
      </c>
    </row>
    <row r="51">
      <c r="A51" s="101"/>
      <c r="H51" s="101">
        <v>46150.0</v>
      </c>
      <c r="I51" s="6" t="s">
        <v>2567</v>
      </c>
      <c r="J51" s="6">
        <v>111.0</v>
      </c>
      <c r="K51" s="6" t="s">
        <v>2568</v>
      </c>
      <c r="L51" s="6" t="s">
        <v>2556</v>
      </c>
      <c r="M51" s="6" t="s">
        <v>2557</v>
      </c>
      <c r="O51" s="6" t="s">
        <v>2557</v>
      </c>
    </row>
    <row r="52">
      <c r="A52" s="101"/>
      <c r="H52" s="101">
        <v>46150.0</v>
      </c>
      <c r="I52" s="6" t="s">
        <v>2567</v>
      </c>
      <c r="J52" s="6">
        <v>111.0</v>
      </c>
      <c r="K52" s="6" t="s">
        <v>2569</v>
      </c>
      <c r="L52" s="6" t="s">
        <v>2556</v>
      </c>
      <c r="M52" s="6" t="s">
        <v>2557</v>
      </c>
      <c r="O52" s="6" t="s">
        <v>2557</v>
      </c>
    </row>
    <row r="53">
      <c r="A53" s="101"/>
      <c r="H53" s="101">
        <v>46150.0</v>
      </c>
      <c r="I53" s="6" t="s">
        <v>2567</v>
      </c>
      <c r="J53" s="6">
        <v>222.0</v>
      </c>
      <c r="K53" s="6" t="s">
        <v>2570</v>
      </c>
      <c r="L53" s="6" t="s">
        <v>2556</v>
      </c>
      <c r="M53" s="6" t="s">
        <v>2557</v>
      </c>
      <c r="O53" s="6" t="s">
        <v>2557</v>
      </c>
    </row>
    <row r="54">
      <c r="A54" s="101"/>
      <c r="H54" s="101">
        <v>46150.0</v>
      </c>
      <c r="I54" s="6" t="s">
        <v>2567</v>
      </c>
      <c r="J54" s="6">
        <v>222.0</v>
      </c>
      <c r="K54" s="6" t="s">
        <v>2571</v>
      </c>
      <c r="L54" s="6" t="s">
        <v>2556</v>
      </c>
      <c r="M54" s="6" t="s">
        <v>2557</v>
      </c>
      <c r="O54" s="6" t="s">
        <v>2557</v>
      </c>
    </row>
    <row r="55">
      <c r="A55" s="101"/>
      <c r="H55" s="101">
        <v>46150.0</v>
      </c>
      <c r="I55" s="6" t="s">
        <v>2567</v>
      </c>
      <c r="J55" s="6">
        <v>222.0</v>
      </c>
      <c r="K55" s="6" t="s">
        <v>2572</v>
      </c>
      <c r="L55" s="6" t="s">
        <v>2556</v>
      </c>
      <c r="M55" s="6" t="s">
        <v>2557</v>
      </c>
      <c r="O55" s="6" t="s">
        <v>2557</v>
      </c>
    </row>
    <row r="56">
      <c r="A56" s="101"/>
      <c r="H56" s="101">
        <v>46150.0</v>
      </c>
      <c r="I56" s="6" t="s">
        <v>2567</v>
      </c>
      <c r="J56" s="6">
        <v>333.0</v>
      </c>
      <c r="K56" s="6" t="s">
        <v>2573</v>
      </c>
      <c r="L56" s="6" t="s">
        <v>2556</v>
      </c>
      <c r="M56" s="6" t="s">
        <v>2557</v>
      </c>
      <c r="O56" s="6" t="s">
        <v>2557</v>
      </c>
    </row>
    <row r="57">
      <c r="A57" s="101"/>
      <c r="H57" s="101">
        <v>46150.0</v>
      </c>
      <c r="I57" s="6" t="s">
        <v>2567</v>
      </c>
      <c r="J57" s="6">
        <v>333.0</v>
      </c>
      <c r="K57" s="6" t="s">
        <v>2573</v>
      </c>
      <c r="L57" s="6" t="s">
        <v>2556</v>
      </c>
      <c r="M57" s="6" t="s">
        <v>2557</v>
      </c>
      <c r="O57" s="6" t="s">
        <v>2557</v>
      </c>
    </row>
    <row r="58">
      <c r="A58" s="101"/>
      <c r="H58" s="101">
        <v>46150.0</v>
      </c>
      <c r="I58" s="6" t="s">
        <v>2567</v>
      </c>
      <c r="J58" s="6">
        <v>333.0</v>
      </c>
      <c r="K58" s="6" t="s">
        <v>2574</v>
      </c>
      <c r="L58" s="6" t="s">
        <v>2556</v>
      </c>
      <c r="M58" s="6" t="s">
        <v>2557</v>
      </c>
      <c r="O58" s="6" t="s">
        <v>2557</v>
      </c>
    </row>
    <row r="59">
      <c r="A59" s="101"/>
      <c r="H59" s="101">
        <v>46150.0</v>
      </c>
      <c r="I59" s="6" t="s">
        <v>2567</v>
      </c>
      <c r="J59" s="6">
        <v>333.0</v>
      </c>
      <c r="K59" s="6" t="s">
        <v>2574</v>
      </c>
      <c r="L59" s="6" t="s">
        <v>2556</v>
      </c>
      <c r="M59" s="6" t="s">
        <v>2557</v>
      </c>
      <c r="O59" s="6" t="s">
        <v>2557</v>
      </c>
    </row>
    <row r="60">
      <c r="A60" s="101"/>
      <c r="H60" s="101">
        <v>46150.0</v>
      </c>
      <c r="I60" s="6" t="s">
        <v>2567</v>
      </c>
      <c r="J60" s="6">
        <v>333.0</v>
      </c>
      <c r="K60" s="6" t="s">
        <v>2575</v>
      </c>
      <c r="L60" s="6" t="s">
        <v>2556</v>
      </c>
      <c r="M60" s="6" t="s">
        <v>2557</v>
      </c>
      <c r="O60" s="6" t="s">
        <v>2557</v>
      </c>
    </row>
    <row r="61">
      <c r="A61" s="101"/>
      <c r="H61" s="101">
        <v>46150.0</v>
      </c>
      <c r="I61" s="6" t="s">
        <v>2567</v>
      </c>
      <c r="J61" s="6">
        <v>333.0</v>
      </c>
      <c r="K61" s="6" t="s">
        <v>2575</v>
      </c>
      <c r="L61" s="6" t="s">
        <v>2556</v>
      </c>
      <c r="M61" s="6" t="s">
        <v>2557</v>
      </c>
      <c r="O61" s="6" t="s">
        <v>2557</v>
      </c>
    </row>
    <row r="62">
      <c r="A62" s="101"/>
      <c r="H62" s="101">
        <v>46150.0</v>
      </c>
      <c r="I62" s="6" t="s">
        <v>2576</v>
      </c>
      <c r="J62" s="6">
        <v>777.0</v>
      </c>
      <c r="K62" s="6" t="s">
        <v>2577</v>
      </c>
      <c r="L62" s="6" t="s">
        <v>2556</v>
      </c>
      <c r="M62" s="6" t="s">
        <v>2557</v>
      </c>
      <c r="O62" s="6" t="s">
        <v>2557</v>
      </c>
    </row>
    <row r="63">
      <c r="A63" s="101"/>
      <c r="H63" s="101">
        <v>46150.0</v>
      </c>
      <c r="I63" s="6" t="s">
        <v>2576</v>
      </c>
      <c r="J63" s="6">
        <v>777.0</v>
      </c>
      <c r="K63" s="6" t="s">
        <v>2577</v>
      </c>
      <c r="L63" s="6" t="s">
        <v>2556</v>
      </c>
      <c r="M63" s="6" t="s">
        <v>2557</v>
      </c>
      <c r="O63" s="6" t="s">
        <v>2557</v>
      </c>
    </row>
    <row r="64">
      <c r="A64" s="101"/>
      <c r="H64" s="101">
        <v>46150.0</v>
      </c>
      <c r="I64" s="6" t="s">
        <v>2576</v>
      </c>
      <c r="J64" s="6">
        <v>777.0</v>
      </c>
      <c r="K64" s="6" t="s">
        <v>2578</v>
      </c>
      <c r="L64" s="6" t="s">
        <v>2556</v>
      </c>
      <c r="M64" s="6" t="s">
        <v>2557</v>
      </c>
      <c r="O64" s="6" t="s">
        <v>2557</v>
      </c>
    </row>
    <row r="65">
      <c r="A65" s="101"/>
      <c r="H65" s="101">
        <v>46150.0</v>
      </c>
      <c r="I65" s="6" t="s">
        <v>2576</v>
      </c>
      <c r="J65" s="6">
        <v>777.0</v>
      </c>
      <c r="K65" s="6" t="s">
        <v>2578</v>
      </c>
      <c r="L65" s="6" t="s">
        <v>2556</v>
      </c>
      <c r="M65" s="6" t="s">
        <v>2557</v>
      </c>
      <c r="O65" s="6" t="s">
        <v>2557</v>
      </c>
    </row>
    <row r="66">
      <c r="A66" s="101"/>
      <c r="H66" s="101">
        <v>46150.0</v>
      </c>
      <c r="I66" s="6" t="s">
        <v>2576</v>
      </c>
      <c r="J66" s="6">
        <v>777.0</v>
      </c>
      <c r="K66" s="6" t="s">
        <v>2579</v>
      </c>
      <c r="L66" s="6" t="s">
        <v>2556</v>
      </c>
      <c r="M66" s="6" t="s">
        <v>2557</v>
      </c>
      <c r="O66" s="6" t="s">
        <v>2557</v>
      </c>
    </row>
    <row r="67">
      <c r="A67" s="101"/>
      <c r="H67" s="101">
        <v>46150.0</v>
      </c>
      <c r="I67" s="6" t="s">
        <v>2576</v>
      </c>
      <c r="J67" s="6">
        <v>777.0</v>
      </c>
      <c r="K67" s="6" t="s">
        <v>2579</v>
      </c>
      <c r="L67" s="6" t="s">
        <v>2556</v>
      </c>
      <c r="M67" s="6" t="s">
        <v>2557</v>
      </c>
      <c r="O67" s="6" t="s">
        <v>2557</v>
      </c>
    </row>
    <row r="68">
      <c r="A68" s="101"/>
      <c r="H68" s="101">
        <v>46150.0</v>
      </c>
      <c r="I68" s="6" t="s">
        <v>2580</v>
      </c>
      <c r="J68" s="6">
        <v>888.0</v>
      </c>
      <c r="K68" s="6" t="s">
        <v>2581</v>
      </c>
      <c r="L68" s="6" t="s">
        <v>2556</v>
      </c>
      <c r="M68" s="6" t="s">
        <v>2557</v>
      </c>
      <c r="O68" s="6" t="s">
        <v>2557</v>
      </c>
    </row>
    <row r="69">
      <c r="A69" s="101"/>
      <c r="H69" s="101">
        <v>46150.0</v>
      </c>
      <c r="I69" s="6" t="s">
        <v>2580</v>
      </c>
      <c r="J69" s="6">
        <v>888.0</v>
      </c>
      <c r="K69" s="6" t="s">
        <v>2581</v>
      </c>
      <c r="L69" s="6" t="s">
        <v>2556</v>
      </c>
      <c r="M69" s="6" t="s">
        <v>2557</v>
      </c>
      <c r="O69" s="6" t="s">
        <v>2557</v>
      </c>
    </row>
    <row r="70">
      <c r="A70" s="101"/>
      <c r="H70" s="101">
        <v>46150.0</v>
      </c>
      <c r="I70" s="6" t="s">
        <v>2582</v>
      </c>
      <c r="J70" s="6">
        <v>999.0</v>
      </c>
      <c r="K70" s="6" t="s">
        <v>2583</v>
      </c>
      <c r="L70" s="6" t="s">
        <v>2556</v>
      </c>
      <c r="M70" s="6" t="s">
        <v>2557</v>
      </c>
      <c r="O70" s="6" t="s">
        <v>2557</v>
      </c>
    </row>
    <row r="71">
      <c r="A71" s="101"/>
      <c r="H71" s="101">
        <v>46150.0</v>
      </c>
      <c r="I71" s="6" t="s">
        <v>2582</v>
      </c>
      <c r="J71" s="6">
        <v>999.0</v>
      </c>
      <c r="K71" s="6" t="s">
        <v>2583</v>
      </c>
      <c r="L71" s="6" t="s">
        <v>2556</v>
      </c>
      <c r="M71" s="6" t="s">
        <v>2557</v>
      </c>
      <c r="O71" s="6" t="s">
        <v>2557</v>
      </c>
    </row>
    <row r="72">
      <c r="A72" s="101"/>
      <c r="H72" s="101">
        <v>46150.0</v>
      </c>
      <c r="I72" s="6" t="s">
        <v>2584</v>
      </c>
      <c r="J72" s="6">
        <v>444.0</v>
      </c>
      <c r="K72" s="6" t="s">
        <v>2585</v>
      </c>
      <c r="L72" s="6" t="s">
        <v>2556</v>
      </c>
      <c r="M72" s="6" t="s">
        <v>2557</v>
      </c>
      <c r="O72" s="6" t="s">
        <v>2557</v>
      </c>
    </row>
    <row r="73">
      <c r="A73" s="101"/>
      <c r="H73" s="101">
        <v>46150.0</v>
      </c>
      <c r="I73" s="6" t="s">
        <v>2584</v>
      </c>
      <c r="J73" s="6">
        <v>444.0</v>
      </c>
      <c r="K73" s="6" t="s">
        <v>2585</v>
      </c>
      <c r="L73" s="6" t="s">
        <v>2556</v>
      </c>
      <c r="M73" s="6" t="s">
        <v>2557</v>
      </c>
      <c r="O73" s="6" t="s">
        <v>2557</v>
      </c>
    </row>
    <row r="74">
      <c r="A74" s="101"/>
      <c r="H74" s="101">
        <v>46150.0</v>
      </c>
      <c r="I74" s="6" t="s">
        <v>2586</v>
      </c>
      <c r="J74" s="6">
        <v>12345.0</v>
      </c>
      <c r="K74" s="6" t="s">
        <v>2587</v>
      </c>
      <c r="L74" s="6" t="s">
        <v>2556</v>
      </c>
      <c r="M74" s="6" t="s">
        <v>2557</v>
      </c>
      <c r="O74" s="6" t="s">
        <v>2557</v>
      </c>
    </row>
    <row r="75">
      <c r="A75" s="101"/>
      <c r="H75" s="101">
        <v>46150.0</v>
      </c>
      <c r="I75" s="6" t="s">
        <v>2586</v>
      </c>
      <c r="J75" s="6">
        <v>12345.0</v>
      </c>
      <c r="K75" s="6" t="s">
        <v>2587</v>
      </c>
      <c r="L75" s="6" t="s">
        <v>2556</v>
      </c>
      <c r="M75" s="6" t="s">
        <v>2557</v>
      </c>
      <c r="O75" s="6" t="s">
        <v>2557</v>
      </c>
    </row>
    <row r="76">
      <c r="A76" s="101"/>
      <c r="H76" s="101">
        <v>46150.0</v>
      </c>
      <c r="I76" s="6" t="s">
        <v>2586</v>
      </c>
      <c r="J76" s="6">
        <v>12345.0</v>
      </c>
      <c r="K76" s="6" t="s">
        <v>2588</v>
      </c>
      <c r="L76" s="6" t="s">
        <v>2556</v>
      </c>
      <c r="M76" s="6" t="s">
        <v>2557</v>
      </c>
      <c r="O76" s="6" t="s">
        <v>2557</v>
      </c>
    </row>
    <row r="77">
      <c r="A77" s="101"/>
      <c r="H77" s="101">
        <v>46150.0</v>
      </c>
      <c r="I77" s="6" t="s">
        <v>2586</v>
      </c>
      <c r="J77" s="6">
        <v>12345.0</v>
      </c>
      <c r="K77" s="6" t="s">
        <v>2588</v>
      </c>
      <c r="L77" s="6" t="s">
        <v>2556</v>
      </c>
      <c r="M77" s="6" t="s">
        <v>2557</v>
      </c>
      <c r="O77" s="6" t="s">
        <v>2557</v>
      </c>
    </row>
    <row r="78">
      <c r="A78" s="101"/>
      <c r="H78" s="101">
        <v>46150.0</v>
      </c>
      <c r="I78" s="6" t="s">
        <v>2589</v>
      </c>
      <c r="J78" s="6">
        <v>555.0</v>
      </c>
      <c r="K78" s="6" t="s">
        <v>2590</v>
      </c>
      <c r="L78" s="6" t="s">
        <v>2556</v>
      </c>
      <c r="M78" s="6" t="s">
        <v>2557</v>
      </c>
      <c r="O78" s="6" t="s">
        <v>2557</v>
      </c>
    </row>
    <row r="79">
      <c r="A79" s="101"/>
      <c r="H79" s="101">
        <v>46150.0</v>
      </c>
      <c r="I79" s="6" t="s">
        <v>2589</v>
      </c>
      <c r="J79" s="6">
        <v>555.0</v>
      </c>
      <c r="K79" s="6" t="s">
        <v>2590</v>
      </c>
      <c r="L79" s="6" t="s">
        <v>2556</v>
      </c>
      <c r="M79" s="6" t="s">
        <v>2557</v>
      </c>
      <c r="O79" s="6" t="s">
        <v>2557</v>
      </c>
    </row>
    <row r="80">
      <c r="A80" s="101"/>
      <c r="H80" s="101">
        <v>46150.0</v>
      </c>
      <c r="I80" s="6" t="s">
        <v>2591</v>
      </c>
      <c r="J80" s="6">
        <v>321.0</v>
      </c>
      <c r="K80" s="6" t="s">
        <v>2592</v>
      </c>
      <c r="L80" s="6" t="s">
        <v>2556</v>
      </c>
      <c r="M80" s="6" t="s">
        <v>2557</v>
      </c>
      <c r="O80" s="6" t="s">
        <v>2557</v>
      </c>
    </row>
    <row r="81">
      <c r="A81" s="101"/>
      <c r="H81" s="101">
        <v>46150.0</v>
      </c>
      <c r="I81" s="6" t="s">
        <v>2591</v>
      </c>
      <c r="J81" s="6">
        <v>321.0</v>
      </c>
      <c r="K81" s="6" t="s">
        <v>2592</v>
      </c>
      <c r="L81" s="6" t="s">
        <v>2556</v>
      </c>
      <c r="M81" s="6" t="s">
        <v>2557</v>
      </c>
      <c r="O81" s="6" t="s">
        <v>2557</v>
      </c>
    </row>
    <row r="82">
      <c r="A82" s="101"/>
      <c r="H82" s="101">
        <v>46239.0</v>
      </c>
      <c r="I82" s="6" t="s">
        <v>2549</v>
      </c>
      <c r="J82" s="6">
        <v>40000.0</v>
      </c>
      <c r="K82" s="6" t="s">
        <v>2379</v>
      </c>
      <c r="L82" s="6" t="s">
        <v>2310</v>
      </c>
      <c r="M82" s="6" t="s">
        <v>2550</v>
      </c>
      <c r="N82" s="6" t="s">
        <v>26</v>
      </c>
      <c r="O82" s="6" t="s">
        <v>2551</v>
      </c>
      <c r="Q82" s="101">
        <v>46239.0</v>
      </c>
    </row>
    <row r="83">
      <c r="A83" s="101"/>
      <c r="H83" s="101">
        <v>46239.0</v>
      </c>
      <c r="I83" s="6" t="s">
        <v>2549</v>
      </c>
      <c r="J83" s="6">
        <v>40000.0</v>
      </c>
      <c r="K83" s="6" t="s">
        <v>2379</v>
      </c>
      <c r="L83" s="6" t="s">
        <v>2310</v>
      </c>
      <c r="M83" s="6" t="s">
        <v>2550</v>
      </c>
      <c r="N83" s="6" t="s">
        <v>26</v>
      </c>
      <c r="O83" s="6" t="s">
        <v>2551</v>
      </c>
      <c r="Q83" s="101">
        <v>46239.0</v>
      </c>
    </row>
    <row r="84">
      <c r="A84" s="101"/>
      <c r="H84" s="101">
        <v>46239.0</v>
      </c>
      <c r="I84" s="6" t="s">
        <v>2563</v>
      </c>
      <c r="J84" s="6">
        <v>308.0</v>
      </c>
      <c r="K84" s="6" t="s">
        <v>2379</v>
      </c>
      <c r="L84" s="6" t="s">
        <v>2310</v>
      </c>
      <c r="M84" s="6" t="s">
        <v>2557</v>
      </c>
      <c r="O84" s="6" t="s">
        <v>2557</v>
      </c>
    </row>
    <row r="85">
      <c r="A85" s="101"/>
      <c r="H85" s="101">
        <v>46239.0</v>
      </c>
      <c r="I85" s="6" t="s">
        <v>2563</v>
      </c>
      <c r="J85" s="6">
        <v>308.0</v>
      </c>
      <c r="K85" s="6" t="s">
        <v>2379</v>
      </c>
      <c r="L85" s="6" t="s">
        <v>2310</v>
      </c>
      <c r="M85" s="6" t="s">
        <v>2557</v>
      </c>
      <c r="O85" s="6" t="s">
        <v>2557</v>
      </c>
    </row>
    <row r="86">
      <c r="A86" s="101"/>
      <c r="H86" s="101">
        <v>46150.0</v>
      </c>
      <c r="I86" s="6" t="s">
        <v>2552</v>
      </c>
      <c r="J86" s="6">
        <v>40000.0</v>
      </c>
      <c r="K86" s="6" t="s">
        <v>2593</v>
      </c>
      <c r="L86" s="6" t="s">
        <v>2556</v>
      </c>
      <c r="M86" s="6" t="s">
        <v>2550</v>
      </c>
      <c r="N86" s="6" t="s">
        <v>26</v>
      </c>
      <c r="O86" s="6" t="s">
        <v>2553</v>
      </c>
      <c r="P86" s="6">
        <v>200000.0</v>
      </c>
      <c r="Q86" s="101">
        <v>46150.0</v>
      </c>
    </row>
    <row r="87">
      <c r="A87" s="101"/>
      <c r="H87" s="101">
        <v>46150.0</v>
      </c>
      <c r="I87" s="6" t="s">
        <v>2552</v>
      </c>
      <c r="J87" s="6">
        <v>40000.0</v>
      </c>
      <c r="K87" s="6" t="s">
        <v>2593</v>
      </c>
      <c r="L87" s="6" t="s">
        <v>2556</v>
      </c>
      <c r="M87" s="6" t="s">
        <v>2550</v>
      </c>
      <c r="N87" s="6" t="s">
        <v>26</v>
      </c>
      <c r="O87" s="6" t="s">
        <v>2553</v>
      </c>
      <c r="P87" s="6">
        <v>200000.0</v>
      </c>
      <c r="Q87" s="101">
        <v>46150.0</v>
      </c>
    </row>
    <row r="88">
      <c r="A88" s="101"/>
      <c r="H88" s="101">
        <v>46150.0</v>
      </c>
      <c r="I88" s="6" t="s">
        <v>2549</v>
      </c>
      <c r="J88" s="6">
        <v>5000.0</v>
      </c>
      <c r="K88" s="6" t="s">
        <v>2594</v>
      </c>
      <c r="L88" s="6" t="s">
        <v>2381</v>
      </c>
      <c r="M88" s="6" t="s">
        <v>2550</v>
      </c>
      <c r="N88" s="6" t="s">
        <v>26</v>
      </c>
      <c r="O88" s="6" t="s">
        <v>2551</v>
      </c>
      <c r="Q88" s="101">
        <v>46150.0</v>
      </c>
    </row>
    <row r="89">
      <c r="A89" s="101"/>
      <c r="H89" s="101">
        <v>46150.0</v>
      </c>
      <c r="I89" s="6" t="s">
        <v>2549</v>
      </c>
      <c r="J89" s="6">
        <v>5000.0</v>
      </c>
      <c r="K89" s="6" t="s">
        <v>2594</v>
      </c>
      <c r="L89" s="6" t="s">
        <v>2381</v>
      </c>
      <c r="M89" s="6" t="s">
        <v>2550</v>
      </c>
      <c r="N89" s="6" t="s">
        <v>26</v>
      </c>
      <c r="O89" s="6" t="s">
        <v>2551</v>
      </c>
      <c r="Q89" s="101">
        <v>46150.0</v>
      </c>
    </row>
    <row r="90">
      <c r="A90" s="101"/>
      <c r="H90" s="101">
        <v>46239.0</v>
      </c>
      <c r="I90" s="6" t="s">
        <v>2563</v>
      </c>
      <c r="J90" s="6">
        <v>500000.0</v>
      </c>
      <c r="K90" s="6" t="s">
        <v>2388</v>
      </c>
      <c r="L90" s="6" t="s">
        <v>108</v>
      </c>
      <c r="M90" s="6" t="s">
        <v>2557</v>
      </c>
      <c r="O90" s="6" t="s">
        <v>2557</v>
      </c>
    </row>
    <row r="91">
      <c r="A91" s="101"/>
      <c r="H91" s="101">
        <v>46239.0</v>
      </c>
      <c r="I91" s="6" t="s">
        <v>2563</v>
      </c>
      <c r="J91" s="6">
        <v>500000.0</v>
      </c>
      <c r="K91" s="6" t="s">
        <v>2388</v>
      </c>
      <c r="L91" s="6" t="s">
        <v>108</v>
      </c>
      <c r="M91" s="6" t="s">
        <v>2557</v>
      </c>
      <c r="O91" s="6" t="s">
        <v>2557</v>
      </c>
    </row>
    <row r="92">
      <c r="A92" s="101"/>
      <c r="H92" s="101">
        <v>46239.0</v>
      </c>
      <c r="I92" s="6" t="s">
        <v>2549</v>
      </c>
      <c r="J92" s="6">
        <v>5000.0</v>
      </c>
      <c r="K92" s="6" t="s">
        <v>1880</v>
      </c>
      <c r="L92" s="6" t="s">
        <v>2390</v>
      </c>
      <c r="M92" s="6" t="s">
        <v>2550</v>
      </c>
      <c r="N92" s="6" t="s">
        <v>26</v>
      </c>
      <c r="O92" s="6" t="s">
        <v>2551</v>
      </c>
      <c r="Q92" s="101">
        <v>46239.0</v>
      </c>
    </row>
    <row r="93">
      <c r="A93" s="101"/>
      <c r="H93" s="101">
        <v>46239.0</v>
      </c>
      <c r="I93" s="6" t="s">
        <v>2549</v>
      </c>
      <c r="J93" s="6">
        <v>5000.0</v>
      </c>
      <c r="K93" s="6" t="s">
        <v>1880</v>
      </c>
      <c r="L93" s="6" t="s">
        <v>2390</v>
      </c>
      <c r="M93" s="6" t="s">
        <v>2550</v>
      </c>
      <c r="N93" s="6" t="s">
        <v>26</v>
      </c>
      <c r="O93" s="6" t="s">
        <v>2551</v>
      </c>
      <c r="Q93" s="101">
        <v>46239.0</v>
      </c>
    </row>
    <row r="94">
      <c r="A94" s="101"/>
      <c r="H94" s="101">
        <v>46151.0</v>
      </c>
      <c r="I94" s="6" t="s">
        <v>2549</v>
      </c>
      <c r="J94" s="6">
        <v>2500.0</v>
      </c>
      <c r="K94" s="6" t="s">
        <v>2595</v>
      </c>
      <c r="L94" s="6" t="s">
        <v>1597</v>
      </c>
      <c r="M94" s="6" t="s">
        <v>2550</v>
      </c>
      <c r="N94" s="6" t="s">
        <v>26</v>
      </c>
      <c r="O94" s="6" t="s">
        <v>2551</v>
      </c>
      <c r="Q94" s="101">
        <v>46151.0</v>
      </c>
    </row>
    <row r="95">
      <c r="A95" s="101"/>
      <c r="H95" s="101">
        <v>46151.0</v>
      </c>
      <c r="I95" s="6" t="s">
        <v>2549</v>
      </c>
      <c r="J95" s="6">
        <v>2500.0</v>
      </c>
      <c r="K95" s="6" t="s">
        <v>2596</v>
      </c>
      <c r="L95" s="6" t="s">
        <v>1597</v>
      </c>
      <c r="M95" s="6" t="s">
        <v>2550</v>
      </c>
      <c r="N95" s="6" t="s">
        <v>26</v>
      </c>
      <c r="O95" s="6" t="s">
        <v>2551</v>
      </c>
      <c r="Q95" s="101">
        <v>46151.0</v>
      </c>
    </row>
    <row r="96">
      <c r="A96" s="101"/>
      <c r="H96" s="101">
        <v>46152.0</v>
      </c>
      <c r="I96" s="6" t="s">
        <v>2552</v>
      </c>
      <c r="J96" s="6">
        <v>820000.0</v>
      </c>
      <c r="K96" s="6" t="s">
        <v>2089</v>
      </c>
      <c r="L96" s="6" t="s">
        <v>408</v>
      </c>
      <c r="M96" s="6" t="s">
        <v>2550</v>
      </c>
      <c r="N96" s="6" t="s">
        <v>26</v>
      </c>
      <c r="O96" s="6" t="s">
        <v>2553</v>
      </c>
      <c r="Q96" s="101">
        <v>46152.0</v>
      </c>
    </row>
    <row r="97">
      <c r="A97" s="101"/>
      <c r="H97" s="101">
        <v>46331.0</v>
      </c>
      <c r="I97" s="6" t="s">
        <v>2563</v>
      </c>
      <c r="J97" s="6">
        <v>600000.0</v>
      </c>
      <c r="K97" s="6" t="s">
        <v>2421</v>
      </c>
      <c r="L97" s="6" t="s">
        <v>306</v>
      </c>
      <c r="M97" s="6" t="s">
        <v>2557</v>
      </c>
      <c r="O97" s="6" t="s">
        <v>2557</v>
      </c>
    </row>
    <row r="98">
      <c r="A98" s="101"/>
      <c r="H98" s="101">
        <v>46331.0</v>
      </c>
      <c r="I98" s="6" t="s">
        <v>2549</v>
      </c>
      <c r="J98" s="6">
        <v>5000.0</v>
      </c>
      <c r="K98" s="6" t="s">
        <v>2367</v>
      </c>
      <c r="L98" s="6" t="s">
        <v>2423</v>
      </c>
      <c r="M98" s="6" t="s">
        <v>2550</v>
      </c>
      <c r="N98" s="6" t="s">
        <v>26</v>
      </c>
      <c r="O98" s="6" t="s">
        <v>2551</v>
      </c>
      <c r="Q98" s="101">
        <v>46331.0</v>
      </c>
    </row>
    <row r="99">
      <c r="A99" s="101"/>
      <c r="H99" s="101">
        <v>46153.0</v>
      </c>
      <c r="I99" s="6" t="s">
        <v>2549</v>
      </c>
      <c r="J99" s="6">
        <v>5000.0</v>
      </c>
      <c r="K99" s="6" t="s">
        <v>2597</v>
      </c>
      <c r="L99" s="6" t="s">
        <v>212</v>
      </c>
      <c r="M99" s="6" t="s">
        <v>2550</v>
      </c>
      <c r="N99" s="6" t="s">
        <v>26</v>
      </c>
      <c r="O99" s="6" t="s">
        <v>2551</v>
      </c>
      <c r="Q99" s="101">
        <v>46153.0</v>
      </c>
    </row>
    <row r="100">
      <c r="A100" s="101"/>
      <c r="H100" s="101">
        <v>46153.0</v>
      </c>
      <c r="I100" s="6" t="s">
        <v>2549</v>
      </c>
      <c r="J100" s="6">
        <v>20000.0</v>
      </c>
      <c r="K100" s="6" t="s">
        <v>1783</v>
      </c>
      <c r="L100" s="6" t="s">
        <v>1782</v>
      </c>
      <c r="M100" s="6" t="s">
        <v>2550</v>
      </c>
      <c r="N100" s="6" t="s">
        <v>26</v>
      </c>
      <c r="O100" s="6" t="s">
        <v>2551</v>
      </c>
      <c r="Q100" s="101">
        <v>46153.0</v>
      </c>
    </row>
    <row r="101">
      <c r="A101" s="101"/>
      <c r="H101" s="101">
        <v>46153.0</v>
      </c>
      <c r="I101" s="6" t="s">
        <v>2549</v>
      </c>
      <c r="J101" s="6">
        <v>2500.0</v>
      </c>
      <c r="K101" s="6" t="s">
        <v>2598</v>
      </c>
      <c r="L101" s="6" t="s">
        <v>1782</v>
      </c>
      <c r="M101" s="6" t="s">
        <v>2550</v>
      </c>
      <c r="N101" s="6" t="s">
        <v>26</v>
      </c>
      <c r="O101" s="6" t="s">
        <v>2551</v>
      </c>
      <c r="Q101" s="101">
        <v>46153.0</v>
      </c>
    </row>
    <row r="102">
      <c r="A102" s="101"/>
      <c r="H102" s="101">
        <v>46153.0</v>
      </c>
      <c r="I102" s="6" t="s">
        <v>2549</v>
      </c>
      <c r="J102" s="6">
        <v>2500.0</v>
      </c>
      <c r="K102" s="6" t="s">
        <v>2599</v>
      </c>
      <c r="L102" s="6" t="s">
        <v>1782</v>
      </c>
      <c r="M102" s="6" t="s">
        <v>2550</v>
      </c>
      <c r="N102" s="6" t="s">
        <v>26</v>
      </c>
      <c r="O102" s="6" t="s">
        <v>2551</v>
      </c>
      <c r="Q102" s="101">
        <v>46153.0</v>
      </c>
    </row>
    <row r="103">
      <c r="A103" s="101"/>
      <c r="H103" s="101">
        <v>46153.0</v>
      </c>
      <c r="I103" s="6" t="s">
        <v>2549</v>
      </c>
      <c r="J103" s="6">
        <v>2500.0</v>
      </c>
      <c r="K103" s="6" t="s">
        <v>2600</v>
      </c>
      <c r="L103" s="6" t="s">
        <v>1782</v>
      </c>
      <c r="M103" s="6" t="s">
        <v>2550</v>
      </c>
      <c r="N103" s="6" t="s">
        <v>26</v>
      </c>
      <c r="O103" s="6" t="s">
        <v>2551</v>
      </c>
      <c r="Q103" s="101">
        <v>46153.0</v>
      </c>
    </row>
    <row r="104">
      <c r="A104" s="101"/>
      <c r="H104" s="101">
        <v>46153.0</v>
      </c>
      <c r="I104" s="6" t="s">
        <v>2549</v>
      </c>
      <c r="J104" s="6">
        <v>3000.0</v>
      </c>
      <c r="K104" s="6" t="s">
        <v>2367</v>
      </c>
      <c r="L104" s="6" t="s">
        <v>2428</v>
      </c>
      <c r="M104" s="6" t="s">
        <v>2550</v>
      </c>
      <c r="N104" s="6" t="s">
        <v>26</v>
      </c>
      <c r="O104" s="6" t="s">
        <v>2551</v>
      </c>
      <c r="Q104" s="101">
        <v>46153.0</v>
      </c>
    </row>
    <row r="105">
      <c r="A105" s="101"/>
      <c r="H105" s="101">
        <v>46153.0</v>
      </c>
      <c r="I105" s="6" t="s">
        <v>2549</v>
      </c>
      <c r="J105" s="6">
        <v>2500.0</v>
      </c>
      <c r="K105" s="6" t="s">
        <v>2601</v>
      </c>
      <c r="L105" s="6" t="s">
        <v>93</v>
      </c>
      <c r="M105" s="6" t="s">
        <v>2550</v>
      </c>
      <c r="N105" s="6" t="s">
        <v>26</v>
      </c>
      <c r="O105" s="6" t="s">
        <v>2551</v>
      </c>
      <c r="Q105" s="101">
        <v>46153.0</v>
      </c>
    </row>
    <row r="106">
      <c r="A106" s="101"/>
      <c r="H106" s="101">
        <v>46153.0</v>
      </c>
      <c r="I106" s="6" t="s">
        <v>2549</v>
      </c>
      <c r="J106" s="6">
        <v>2500.0</v>
      </c>
      <c r="K106" s="6" t="s">
        <v>2602</v>
      </c>
      <c r="L106" s="6" t="s">
        <v>93</v>
      </c>
      <c r="M106" s="6" t="s">
        <v>2550</v>
      </c>
      <c r="N106" s="6" t="s">
        <v>26</v>
      </c>
      <c r="O106" s="6" t="s">
        <v>2551</v>
      </c>
      <c r="Q106" s="101">
        <v>46153.0</v>
      </c>
    </row>
    <row r="107">
      <c r="A107" s="101"/>
      <c r="H107" s="101">
        <v>46153.0</v>
      </c>
      <c r="I107" s="6" t="s">
        <v>2549</v>
      </c>
      <c r="J107" s="6">
        <v>2500.0</v>
      </c>
      <c r="K107" s="6" t="s">
        <v>2603</v>
      </c>
      <c r="L107" s="6" t="s">
        <v>93</v>
      </c>
      <c r="M107" s="6" t="s">
        <v>2550</v>
      </c>
      <c r="N107" s="6" t="s">
        <v>26</v>
      </c>
      <c r="O107" s="6" t="s">
        <v>2551</v>
      </c>
      <c r="Q107" s="101">
        <v>46153.0</v>
      </c>
    </row>
    <row r="108">
      <c r="A108" s="101"/>
      <c r="H108" s="101">
        <v>46153.0</v>
      </c>
      <c r="I108" s="6" t="s">
        <v>2552</v>
      </c>
      <c r="J108" s="6">
        <v>1680000.0</v>
      </c>
      <c r="K108" s="6" t="s">
        <v>2343</v>
      </c>
      <c r="L108" s="6" t="s">
        <v>93</v>
      </c>
      <c r="M108" s="6" t="s">
        <v>2550</v>
      </c>
      <c r="N108" s="6" t="s">
        <v>26</v>
      </c>
      <c r="O108" s="6" t="s">
        <v>2553</v>
      </c>
      <c r="Q108" s="101">
        <v>46153.0</v>
      </c>
    </row>
    <row r="109">
      <c r="A109" s="101"/>
      <c r="H109" s="101">
        <v>46153.0</v>
      </c>
      <c r="I109" s="6" t="s">
        <v>2549</v>
      </c>
      <c r="J109" s="6">
        <v>3000.0</v>
      </c>
      <c r="K109" s="6" t="s">
        <v>2604</v>
      </c>
      <c r="L109" s="6" t="s">
        <v>93</v>
      </c>
      <c r="M109" s="6" t="s">
        <v>2550</v>
      </c>
      <c r="N109" s="6" t="s">
        <v>26</v>
      </c>
      <c r="O109" s="6" t="s">
        <v>2551</v>
      </c>
      <c r="Q109" s="101">
        <v>46153.0</v>
      </c>
    </row>
    <row r="110">
      <c r="A110" s="101"/>
      <c r="H110" s="101">
        <v>46153.0</v>
      </c>
      <c r="I110" s="6" t="s">
        <v>2549</v>
      </c>
      <c r="J110" s="6">
        <v>2500.0</v>
      </c>
      <c r="K110" s="6" t="s">
        <v>2357</v>
      </c>
      <c r="L110" s="6" t="s">
        <v>93</v>
      </c>
      <c r="M110" s="6" t="s">
        <v>2550</v>
      </c>
      <c r="N110" s="6" t="s">
        <v>26</v>
      </c>
      <c r="O110" s="6" t="s">
        <v>2551</v>
      </c>
      <c r="Q110" s="101">
        <v>46153.0</v>
      </c>
    </row>
    <row r="111">
      <c r="A111" s="101"/>
      <c r="H111" s="101">
        <v>46153.0</v>
      </c>
      <c r="I111" s="6" t="s">
        <v>2549</v>
      </c>
      <c r="J111" s="6">
        <v>6500.0</v>
      </c>
      <c r="K111" s="6" t="s">
        <v>1478</v>
      </c>
      <c r="L111" s="6" t="s">
        <v>108</v>
      </c>
      <c r="M111" s="6" t="s">
        <v>2550</v>
      </c>
      <c r="N111" s="6" t="s">
        <v>26</v>
      </c>
      <c r="O111" s="6" t="s">
        <v>2551</v>
      </c>
      <c r="Q111" s="101">
        <v>46153.0</v>
      </c>
    </row>
    <row r="112">
      <c r="A112" s="101"/>
      <c r="H112" s="101">
        <v>46153.0</v>
      </c>
      <c r="I112" s="6" t="s">
        <v>2552</v>
      </c>
      <c r="J112" s="6">
        <v>650000.0</v>
      </c>
      <c r="K112" s="6" t="s">
        <v>2049</v>
      </c>
      <c r="L112" s="6" t="s">
        <v>108</v>
      </c>
      <c r="M112" s="6" t="s">
        <v>2550</v>
      </c>
      <c r="N112" s="6" t="s">
        <v>26</v>
      </c>
      <c r="O112" s="6" t="s">
        <v>2553</v>
      </c>
      <c r="Q112" s="101">
        <v>46153.0</v>
      </c>
    </row>
    <row r="113">
      <c r="A113" s="101"/>
      <c r="H113" s="101">
        <v>46153.0</v>
      </c>
      <c r="I113" s="6" t="s">
        <v>2549</v>
      </c>
      <c r="J113" s="6">
        <v>5000.0</v>
      </c>
      <c r="K113" s="6" t="s">
        <v>2298</v>
      </c>
      <c r="L113" s="6" t="s">
        <v>108</v>
      </c>
      <c r="M113" s="6" t="s">
        <v>2550</v>
      </c>
      <c r="N113" s="6" t="s">
        <v>26</v>
      </c>
      <c r="O113" s="6" t="s">
        <v>2551</v>
      </c>
      <c r="Q113" s="101">
        <v>46153.0</v>
      </c>
    </row>
    <row r="114">
      <c r="A114" s="101"/>
      <c r="J114" s="101"/>
    </row>
    <row r="115">
      <c r="A115" s="101"/>
      <c r="J115" s="101"/>
    </row>
    <row r="116">
      <c r="A116" s="101"/>
      <c r="J116" s="101"/>
    </row>
    <row r="117">
      <c r="A117" s="101"/>
      <c r="J117" s="101"/>
    </row>
    <row r="118">
      <c r="A118" s="101"/>
      <c r="J118" s="101"/>
    </row>
    <row r="119">
      <c r="A119" s="101"/>
      <c r="J119" s="101"/>
    </row>
    <row r="120">
      <c r="A120" s="101"/>
      <c r="J120" s="101"/>
    </row>
    <row r="121">
      <c r="A121" s="101"/>
      <c r="J121" s="101"/>
    </row>
    <row r="122">
      <c r="A122" s="101"/>
      <c r="J122" s="101"/>
    </row>
    <row r="123">
      <c r="A123" s="101"/>
      <c r="J123" s="101"/>
    </row>
    <row r="124">
      <c r="A124" s="101"/>
      <c r="J124" s="101"/>
    </row>
    <row r="125">
      <c r="A125" s="101"/>
      <c r="J125" s="101"/>
    </row>
    <row r="126">
      <c r="A126" s="101"/>
      <c r="J126" s="101"/>
    </row>
    <row r="127">
      <c r="A127" s="101"/>
      <c r="J127" s="101"/>
    </row>
    <row r="128">
      <c r="A128" s="101"/>
      <c r="J128" s="101"/>
    </row>
    <row r="129">
      <c r="A129" s="101"/>
      <c r="J129" s="101"/>
    </row>
    <row r="130">
      <c r="A130" s="101"/>
      <c r="J130" s="101"/>
    </row>
    <row r="131">
      <c r="A131" s="101"/>
      <c r="J131" s="101"/>
    </row>
    <row r="132">
      <c r="A132" s="101"/>
      <c r="J132" s="101"/>
    </row>
    <row r="133">
      <c r="A133" s="101"/>
      <c r="J133" s="101"/>
    </row>
    <row r="134">
      <c r="A134" s="101"/>
      <c r="J134" s="101"/>
    </row>
    <row r="135">
      <c r="A135" s="101"/>
      <c r="J135" s="101"/>
    </row>
    <row r="136">
      <c r="A136" s="101"/>
      <c r="J136" s="101"/>
    </row>
    <row r="137">
      <c r="A137" s="101"/>
      <c r="J137" s="101"/>
    </row>
    <row r="138">
      <c r="A138" s="101"/>
      <c r="J138" s="101"/>
    </row>
    <row r="139">
      <c r="A139" s="101"/>
      <c r="J139" s="101"/>
    </row>
    <row r="140">
      <c r="A140" s="101"/>
      <c r="J140" s="101"/>
    </row>
    <row r="141">
      <c r="A141" s="101"/>
      <c r="J141" s="101"/>
    </row>
    <row r="142">
      <c r="A142" s="101"/>
      <c r="J142" s="101"/>
    </row>
    <row r="143">
      <c r="A143" s="101"/>
      <c r="J143" s="101"/>
    </row>
    <row r="144">
      <c r="A144" s="101"/>
      <c r="J144" s="101"/>
    </row>
    <row r="145">
      <c r="A145" s="101"/>
      <c r="J145" s="101"/>
    </row>
    <row r="146">
      <c r="A146" s="101"/>
      <c r="J146" s="101"/>
    </row>
    <row r="147">
      <c r="A147" s="101"/>
      <c r="J147" s="101"/>
    </row>
    <row r="148">
      <c r="A148" s="101"/>
      <c r="J148" s="101"/>
    </row>
    <row r="149">
      <c r="A149" s="101"/>
      <c r="J149" s="101"/>
    </row>
    <row r="150">
      <c r="A150" s="101"/>
      <c r="J150" s="101"/>
    </row>
    <row r="151">
      <c r="A151" s="101"/>
      <c r="J151" s="101"/>
    </row>
    <row r="152">
      <c r="A152" s="101"/>
      <c r="J152" s="101"/>
    </row>
    <row r="153">
      <c r="A153" s="101"/>
      <c r="J153" s="101"/>
    </row>
    <row r="154">
      <c r="A154" s="101"/>
      <c r="J154" s="101"/>
    </row>
    <row r="155">
      <c r="A155" s="101"/>
      <c r="J155" s="101"/>
    </row>
    <row r="156">
      <c r="A156" s="101"/>
      <c r="J156" s="101"/>
    </row>
    <row r="157">
      <c r="A157" s="101"/>
      <c r="J157" s="101"/>
    </row>
    <row r="158">
      <c r="A158" s="101"/>
      <c r="J158" s="101"/>
    </row>
    <row r="159">
      <c r="A159" s="101"/>
      <c r="J159" s="101"/>
    </row>
    <row r="160">
      <c r="A160" s="101"/>
      <c r="J160" s="101"/>
    </row>
    <row r="161">
      <c r="A161" s="101"/>
      <c r="J161" s="101"/>
    </row>
    <row r="162">
      <c r="A162" s="101"/>
      <c r="J162" s="101"/>
    </row>
    <row r="163">
      <c r="A163" s="101"/>
      <c r="J163" s="101"/>
    </row>
    <row r="164">
      <c r="A164" s="101"/>
      <c r="J164" s="101"/>
    </row>
    <row r="165">
      <c r="A165" s="101"/>
      <c r="J165" s="101"/>
    </row>
    <row r="166">
      <c r="A166" s="101"/>
      <c r="J166" s="101"/>
    </row>
    <row r="167">
      <c r="A167" s="101"/>
      <c r="J167" s="101"/>
    </row>
    <row r="168">
      <c r="A168" s="101"/>
      <c r="J168" s="101"/>
    </row>
    <row r="169">
      <c r="A169" s="101"/>
      <c r="J169" s="101"/>
    </row>
    <row r="170">
      <c r="A170" s="101"/>
      <c r="J170" s="101"/>
    </row>
    <row r="171">
      <c r="A171" s="101"/>
      <c r="J171" s="101"/>
    </row>
    <row r="172">
      <c r="A172" s="101"/>
      <c r="J172" s="101"/>
    </row>
    <row r="173">
      <c r="A173" s="101"/>
      <c r="J173" s="101"/>
    </row>
    <row r="174">
      <c r="A174" s="101"/>
      <c r="J174" s="101"/>
    </row>
    <row r="175">
      <c r="A175" s="101"/>
      <c r="J175" s="101"/>
    </row>
    <row r="176">
      <c r="A176" s="101"/>
      <c r="J176" s="101"/>
    </row>
    <row r="177">
      <c r="A177" s="101"/>
      <c r="J177" s="101"/>
    </row>
    <row r="178">
      <c r="A178" s="101"/>
      <c r="J178" s="101"/>
    </row>
    <row r="179">
      <c r="A179" s="101"/>
      <c r="J179" s="101"/>
    </row>
    <row r="180">
      <c r="A180" s="101"/>
      <c r="J180" s="101"/>
    </row>
    <row r="181">
      <c r="A181" s="101"/>
      <c r="J181" s="101"/>
    </row>
    <row r="182">
      <c r="A182" s="101"/>
      <c r="J182" s="101"/>
    </row>
    <row r="183">
      <c r="A183" s="101"/>
      <c r="J183" s="101"/>
    </row>
    <row r="184">
      <c r="A184" s="101"/>
      <c r="J184" s="101"/>
    </row>
    <row r="185">
      <c r="A185" s="101"/>
      <c r="J185" s="101"/>
    </row>
    <row r="186">
      <c r="A186" s="101"/>
      <c r="J186" s="101"/>
    </row>
    <row r="187">
      <c r="A187" s="101"/>
      <c r="J187" s="101"/>
    </row>
    <row r="188">
      <c r="A188" s="101"/>
      <c r="J188" s="101"/>
    </row>
    <row r="189">
      <c r="A189" s="101"/>
      <c r="J189" s="101"/>
    </row>
    <row r="190">
      <c r="A190" s="101"/>
      <c r="J190" s="101"/>
    </row>
    <row r="191">
      <c r="A191" s="101"/>
      <c r="J191" s="101"/>
    </row>
    <row r="192">
      <c r="A192" s="101"/>
      <c r="J192" s="101"/>
    </row>
    <row r="193">
      <c r="A193" s="101"/>
      <c r="J193" s="101"/>
    </row>
    <row r="194">
      <c r="A194" s="101"/>
      <c r="J194" s="101"/>
    </row>
    <row r="195">
      <c r="A195" s="101"/>
      <c r="J195" s="101"/>
    </row>
    <row r="196">
      <c r="A196" s="101"/>
      <c r="J196" s="101"/>
    </row>
    <row r="197">
      <c r="A197" s="101"/>
      <c r="J197" s="101"/>
    </row>
    <row r="198">
      <c r="A198" s="101"/>
      <c r="J198" s="101"/>
    </row>
    <row r="199">
      <c r="A199" s="101"/>
      <c r="J199" s="101"/>
    </row>
    <row r="200">
      <c r="A200" s="101"/>
      <c r="J200" s="101"/>
    </row>
    <row r="201">
      <c r="A201" s="101"/>
      <c r="J201" s="101"/>
    </row>
    <row r="202">
      <c r="A202" s="101"/>
      <c r="J202" s="101"/>
    </row>
    <row r="203">
      <c r="A203" s="101"/>
      <c r="J203" s="101"/>
    </row>
    <row r="204">
      <c r="A204" s="101"/>
      <c r="J204" s="101"/>
    </row>
    <row r="205">
      <c r="A205" s="101"/>
      <c r="J205" s="101"/>
    </row>
    <row r="206">
      <c r="A206" s="101"/>
      <c r="J206" s="101"/>
    </row>
    <row r="207">
      <c r="A207" s="101"/>
      <c r="J207" s="101"/>
    </row>
    <row r="208">
      <c r="A208" s="101"/>
      <c r="J208" s="101"/>
    </row>
    <row r="209">
      <c r="A209" s="101"/>
      <c r="J209" s="101"/>
    </row>
    <row r="210">
      <c r="A210" s="101"/>
      <c r="J210" s="101"/>
    </row>
    <row r="211">
      <c r="A211" s="101"/>
      <c r="J211" s="101"/>
    </row>
    <row r="212">
      <c r="A212" s="101"/>
      <c r="J212" s="101"/>
    </row>
    <row r="213">
      <c r="A213" s="101"/>
      <c r="J213" s="101"/>
    </row>
    <row r="214">
      <c r="A214" s="101"/>
      <c r="J214" s="101"/>
    </row>
    <row r="215">
      <c r="A215" s="101"/>
      <c r="J215" s="101"/>
    </row>
    <row r="216">
      <c r="A216" s="101"/>
      <c r="J216" s="101"/>
    </row>
    <row r="217">
      <c r="A217" s="101"/>
      <c r="J217" s="101"/>
    </row>
    <row r="218">
      <c r="A218" s="101"/>
      <c r="J218" s="101"/>
    </row>
    <row r="219">
      <c r="A219" s="101"/>
      <c r="J219" s="101"/>
    </row>
    <row r="220">
      <c r="A220" s="101"/>
      <c r="J220" s="101"/>
    </row>
    <row r="221">
      <c r="A221" s="101"/>
      <c r="J221" s="101"/>
    </row>
    <row r="222">
      <c r="A222" s="101"/>
      <c r="J222" s="101"/>
    </row>
    <row r="223">
      <c r="A223" s="101"/>
      <c r="J223" s="101"/>
    </row>
    <row r="224">
      <c r="A224" s="101"/>
      <c r="J224" s="101"/>
    </row>
    <row r="225">
      <c r="A225" s="101"/>
      <c r="J225" s="101"/>
    </row>
    <row r="226">
      <c r="A226" s="101"/>
      <c r="J226" s="101"/>
    </row>
    <row r="227">
      <c r="A227" s="101"/>
      <c r="J227" s="101"/>
    </row>
    <row r="228">
      <c r="A228" s="101"/>
      <c r="J228" s="101"/>
    </row>
    <row r="229">
      <c r="A229" s="101"/>
      <c r="J229" s="101"/>
    </row>
    <row r="230">
      <c r="A230" s="101"/>
      <c r="J230" s="101"/>
    </row>
    <row r="231">
      <c r="A231" s="101"/>
      <c r="J231" s="101"/>
    </row>
    <row r="232">
      <c r="A232" s="101"/>
      <c r="J232" s="101"/>
    </row>
    <row r="233">
      <c r="A233" s="101"/>
      <c r="J233" s="101"/>
    </row>
    <row r="234">
      <c r="A234" s="101"/>
      <c r="J234" s="101"/>
    </row>
    <row r="235">
      <c r="A235" s="101"/>
      <c r="J235" s="101"/>
    </row>
    <row r="236">
      <c r="A236" s="101"/>
      <c r="J236" s="101"/>
    </row>
    <row r="237">
      <c r="A237" s="101"/>
      <c r="J237" s="101"/>
    </row>
    <row r="238">
      <c r="A238" s="101"/>
      <c r="J238" s="101"/>
    </row>
    <row r="239">
      <c r="A239" s="101"/>
      <c r="J239" s="101"/>
    </row>
    <row r="240">
      <c r="A240" s="101"/>
      <c r="J240" s="101"/>
    </row>
    <row r="241">
      <c r="A241" s="101"/>
      <c r="J241" s="101"/>
    </row>
    <row r="242">
      <c r="A242" s="101"/>
      <c r="J242" s="101"/>
    </row>
    <row r="243">
      <c r="A243" s="101"/>
      <c r="J243" s="101"/>
    </row>
    <row r="244">
      <c r="A244" s="101"/>
      <c r="J244" s="101"/>
    </row>
    <row r="245">
      <c r="A245" s="101"/>
      <c r="J245" s="101"/>
    </row>
    <row r="246">
      <c r="A246" s="101"/>
      <c r="J246" s="101"/>
    </row>
    <row r="247">
      <c r="A247" s="101"/>
      <c r="J247" s="101"/>
    </row>
    <row r="248">
      <c r="A248" s="101"/>
      <c r="J248" s="101"/>
    </row>
    <row r="249">
      <c r="A249" s="101"/>
      <c r="J249" s="101"/>
    </row>
    <row r="250">
      <c r="A250" s="101"/>
      <c r="J250" s="101"/>
    </row>
    <row r="251">
      <c r="A251" s="101"/>
      <c r="J251" s="101"/>
    </row>
    <row r="252">
      <c r="A252" s="101"/>
      <c r="J252" s="101"/>
    </row>
    <row r="253">
      <c r="A253" s="101"/>
      <c r="J253" s="101"/>
    </row>
    <row r="254">
      <c r="A254" s="101"/>
      <c r="J254" s="101"/>
    </row>
    <row r="255">
      <c r="A255" s="101"/>
      <c r="J255" s="101"/>
    </row>
    <row r="256">
      <c r="A256" s="101"/>
      <c r="J256" s="101"/>
    </row>
    <row r="257">
      <c r="A257" s="101"/>
      <c r="J257" s="101"/>
    </row>
    <row r="258">
      <c r="A258" s="101"/>
      <c r="J258" s="101"/>
    </row>
    <row r="259">
      <c r="A259" s="101"/>
      <c r="J259" s="101"/>
    </row>
    <row r="260">
      <c r="A260" s="101"/>
      <c r="J260" s="101"/>
    </row>
    <row r="261">
      <c r="A261" s="101"/>
      <c r="J261" s="101"/>
    </row>
    <row r="262">
      <c r="A262" s="101"/>
      <c r="J262" s="101"/>
    </row>
    <row r="263">
      <c r="A263" s="101"/>
      <c r="J263" s="101"/>
    </row>
    <row r="264">
      <c r="A264" s="101"/>
      <c r="J264" s="101"/>
    </row>
    <row r="265">
      <c r="A265" s="101"/>
      <c r="J265" s="101"/>
    </row>
    <row r="266">
      <c r="A266" s="101"/>
      <c r="J266" s="101"/>
    </row>
    <row r="267">
      <c r="A267" s="101"/>
      <c r="J267" s="101"/>
    </row>
    <row r="268">
      <c r="A268" s="101"/>
      <c r="J268" s="101"/>
    </row>
    <row r="269">
      <c r="A269" s="101"/>
      <c r="J269" s="101"/>
    </row>
    <row r="270">
      <c r="A270" s="101"/>
      <c r="J270" s="101"/>
    </row>
    <row r="271">
      <c r="A271" s="101"/>
      <c r="J271" s="101"/>
    </row>
    <row r="272">
      <c r="A272" s="101"/>
      <c r="J272" s="101"/>
    </row>
    <row r="273">
      <c r="A273" s="101"/>
      <c r="J273" s="101"/>
    </row>
    <row r="274">
      <c r="A274" s="101"/>
      <c r="J274" s="101"/>
    </row>
    <row r="275">
      <c r="A275" s="101"/>
      <c r="J275" s="101"/>
    </row>
    <row r="276">
      <c r="A276" s="101"/>
      <c r="J276" s="101"/>
    </row>
    <row r="277">
      <c r="A277" s="101"/>
      <c r="J277" s="101"/>
    </row>
    <row r="278">
      <c r="A278" s="101"/>
      <c r="J278" s="101"/>
    </row>
    <row r="279">
      <c r="A279" s="101"/>
      <c r="J279" s="101"/>
    </row>
    <row r="280">
      <c r="A280" s="101"/>
      <c r="J280" s="101"/>
    </row>
    <row r="281">
      <c r="A281" s="101"/>
      <c r="J281" s="101"/>
    </row>
    <row r="282">
      <c r="A282" s="101"/>
      <c r="J282" s="101"/>
    </row>
    <row r="283">
      <c r="A283" s="101"/>
      <c r="J283" s="101"/>
    </row>
    <row r="284">
      <c r="A284" s="101"/>
      <c r="J284" s="101"/>
    </row>
    <row r="285">
      <c r="A285" s="101"/>
      <c r="J285" s="101"/>
    </row>
    <row r="286">
      <c r="A286" s="101"/>
      <c r="J286" s="101"/>
    </row>
    <row r="287">
      <c r="A287" s="101"/>
      <c r="J287" s="101"/>
    </row>
    <row r="288">
      <c r="A288" s="101"/>
      <c r="J288" s="101"/>
    </row>
    <row r="289">
      <c r="A289" s="101"/>
      <c r="J289" s="101"/>
    </row>
    <row r="290">
      <c r="A290" s="101"/>
      <c r="J290" s="101"/>
    </row>
    <row r="291">
      <c r="A291" s="101"/>
      <c r="J291" s="101"/>
    </row>
    <row r="292">
      <c r="A292" s="101"/>
      <c r="J292" s="101"/>
    </row>
    <row r="293">
      <c r="A293" s="101"/>
      <c r="J293" s="101"/>
    </row>
    <row r="294">
      <c r="A294" s="101"/>
      <c r="J294" s="101"/>
    </row>
    <row r="295">
      <c r="A295" s="101"/>
      <c r="J295" s="101"/>
    </row>
    <row r="296">
      <c r="A296" s="101"/>
      <c r="J296" s="101"/>
    </row>
    <row r="297">
      <c r="A297" s="101"/>
      <c r="J297" s="101"/>
    </row>
    <row r="298">
      <c r="A298" s="101"/>
      <c r="J298" s="101"/>
    </row>
    <row r="299">
      <c r="A299" s="101"/>
      <c r="J299" s="101"/>
    </row>
    <row r="300">
      <c r="A300" s="101"/>
      <c r="J300" s="101"/>
    </row>
    <row r="301">
      <c r="A301" s="101"/>
      <c r="J301" s="101"/>
    </row>
    <row r="302">
      <c r="A302" s="101"/>
      <c r="J302" s="101"/>
    </row>
    <row r="303">
      <c r="A303" s="101"/>
      <c r="J303" s="101"/>
    </row>
    <row r="304">
      <c r="A304" s="101"/>
      <c r="J304" s="101"/>
    </row>
    <row r="305">
      <c r="A305" s="101"/>
      <c r="J305" s="101"/>
    </row>
    <row r="306">
      <c r="A306" s="101"/>
      <c r="J306" s="101"/>
    </row>
    <row r="307">
      <c r="A307" s="101"/>
      <c r="J307" s="101"/>
    </row>
    <row r="308">
      <c r="A308" s="101"/>
      <c r="J308" s="101"/>
    </row>
    <row r="309">
      <c r="A309" s="101"/>
      <c r="J309" s="101"/>
    </row>
    <row r="310">
      <c r="A310" s="101"/>
      <c r="J310" s="101"/>
    </row>
    <row r="311">
      <c r="A311" s="101"/>
      <c r="J311" s="101"/>
    </row>
    <row r="312">
      <c r="A312" s="101"/>
      <c r="J312" s="101"/>
    </row>
    <row r="313">
      <c r="A313" s="101"/>
      <c r="J313" s="101"/>
    </row>
    <row r="314">
      <c r="A314" s="101"/>
      <c r="J314" s="101"/>
    </row>
    <row r="315">
      <c r="A315" s="101"/>
      <c r="J315" s="101"/>
    </row>
    <row r="316">
      <c r="A316" s="101"/>
      <c r="J316" s="101"/>
    </row>
    <row r="317">
      <c r="A317" s="101"/>
      <c r="J317" s="101"/>
    </row>
    <row r="318">
      <c r="A318" s="101"/>
      <c r="J318" s="101"/>
    </row>
    <row r="319">
      <c r="A319" s="101"/>
      <c r="J319" s="101"/>
    </row>
    <row r="320">
      <c r="A320" s="101"/>
      <c r="J320" s="101"/>
    </row>
    <row r="321">
      <c r="A321" s="101"/>
      <c r="J321" s="101"/>
    </row>
    <row r="322">
      <c r="A322" s="101"/>
      <c r="J322" s="101"/>
    </row>
    <row r="323">
      <c r="A323" s="101"/>
      <c r="J323" s="101"/>
    </row>
    <row r="324">
      <c r="A324" s="101"/>
      <c r="J324" s="101"/>
    </row>
    <row r="325">
      <c r="A325" s="101"/>
      <c r="J325" s="101"/>
    </row>
    <row r="326">
      <c r="A326" s="101"/>
      <c r="J326" s="101"/>
    </row>
    <row r="327">
      <c r="A327" s="101"/>
      <c r="J327" s="101"/>
    </row>
    <row r="328">
      <c r="A328" s="101"/>
      <c r="J328" s="101"/>
    </row>
    <row r="329">
      <c r="A329" s="101"/>
      <c r="J329" s="101"/>
    </row>
    <row r="330">
      <c r="A330" s="101"/>
      <c r="J330" s="101"/>
    </row>
    <row r="331">
      <c r="A331" s="101"/>
      <c r="J331" s="101"/>
    </row>
    <row r="332">
      <c r="A332" s="101"/>
      <c r="J332" s="101"/>
    </row>
    <row r="333">
      <c r="A333" s="101"/>
      <c r="J333" s="101"/>
    </row>
    <row r="334">
      <c r="A334" s="101"/>
      <c r="J334" s="101"/>
    </row>
    <row r="335">
      <c r="A335" s="101"/>
      <c r="J335" s="101"/>
    </row>
    <row r="336">
      <c r="A336" s="101"/>
      <c r="J336" s="101"/>
    </row>
    <row r="337">
      <c r="A337" s="101"/>
      <c r="J337" s="101"/>
    </row>
    <row r="338">
      <c r="A338" s="101"/>
      <c r="J338" s="101"/>
    </row>
    <row r="339">
      <c r="A339" s="101"/>
      <c r="J339" s="101"/>
    </row>
    <row r="340">
      <c r="A340" s="101"/>
      <c r="J340" s="101"/>
    </row>
    <row r="341">
      <c r="A341" s="101"/>
      <c r="J341" s="101"/>
    </row>
    <row r="342">
      <c r="A342" s="101"/>
      <c r="J342" s="101"/>
    </row>
    <row r="343">
      <c r="A343" s="101"/>
      <c r="J343" s="101"/>
    </row>
    <row r="344">
      <c r="A344" s="101"/>
      <c r="J344" s="101"/>
    </row>
    <row r="345">
      <c r="A345" s="101"/>
      <c r="J345" s="101"/>
    </row>
    <row r="346">
      <c r="A346" s="101"/>
      <c r="J346" s="101"/>
    </row>
    <row r="347">
      <c r="A347" s="101"/>
      <c r="J347" s="101"/>
    </row>
    <row r="348">
      <c r="A348" s="101"/>
      <c r="J348" s="101"/>
    </row>
    <row r="349">
      <c r="A349" s="101"/>
      <c r="J349" s="101"/>
    </row>
    <row r="350">
      <c r="A350" s="101"/>
      <c r="J350" s="101"/>
    </row>
    <row r="351">
      <c r="A351" s="101"/>
      <c r="J351" s="101"/>
    </row>
    <row r="352">
      <c r="A352" s="101"/>
      <c r="J352" s="101"/>
    </row>
    <row r="353">
      <c r="A353" s="101"/>
      <c r="J353" s="101"/>
    </row>
    <row r="354">
      <c r="A354" s="101"/>
      <c r="J354" s="101"/>
    </row>
    <row r="355">
      <c r="A355" s="101"/>
      <c r="J355" s="101"/>
    </row>
    <row r="356">
      <c r="A356" s="101"/>
      <c r="J356" s="101"/>
    </row>
    <row r="357">
      <c r="A357" s="101"/>
      <c r="J357" s="101"/>
    </row>
    <row r="358">
      <c r="A358" s="101"/>
      <c r="J358" s="101"/>
    </row>
    <row r="359">
      <c r="A359" s="101"/>
      <c r="J359" s="101"/>
    </row>
    <row r="360">
      <c r="A360" s="101"/>
      <c r="J360" s="101"/>
    </row>
    <row r="361">
      <c r="A361" s="101"/>
      <c r="J361" s="101"/>
    </row>
    <row r="362">
      <c r="A362" s="101"/>
      <c r="J362" s="101"/>
    </row>
    <row r="363">
      <c r="A363" s="101"/>
      <c r="J363" s="101"/>
    </row>
    <row r="364">
      <c r="A364" s="101"/>
      <c r="J364" s="101"/>
    </row>
    <row r="365">
      <c r="A365" s="101"/>
      <c r="J365" s="101"/>
    </row>
    <row r="366">
      <c r="A366" s="101"/>
      <c r="J366" s="101"/>
    </row>
    <row r="367">
      <c r="A367" s="101"/>
      <c r="J367" s="101"/>
    </row>
    <row r="368">
      <c r="A368" s="101"/>
      <c r="J368" s="101"/>
    </row>
    <row r="369">
      <c r="A369" s="101"/>
      <c r="J369" s="101"/>
    </row>
    <row r="370">
      <c r="A370" s="101"/>
      <c r="J370" s="101"/>
    </row>
    <row r="371">
      <c r="A371" s="101"/>
      <c r="J371" s="101"/>
    </row>
    <row r="372">
      <c r="A372" s="101"/>
      <c r="J372" s="101"/>
    </row>
    <row r="373">
      <c r="A373" s="101"/>
      <c r="J373" s="101"/>
    </row>
    <row r="374">
      <c r="A374" s="101"/>
      <c r="J374" s="101"/>
    </row>
    <row r="375">
      <c r="A375" s="101"/>
      <c r="J375" s="101"/>
    </row>
    <row r="376">
      <c r="A376" s="101"/>
      <c r="J376" s="101"/>
    </row>
    <row r="377">
      <c r="A377" s="101"/>
      <c r="J377" s="101"/>
    </row>
    <row r="378">
      <c r="A378" s="101"/>
      <c r="J378" s="101"/>
    </row>
    <row r="379">
      <c r="A379" s="101"/>
      <c r="J379" s="101"/>
    </row>
    <row r="380">
      <c r="A380" s="101"/>
      <c r="J380" s="101"/>
    </row>
    <row r="381">
      <c r="A381" s="101"/>
      <c r="J381" s="101"/>
    </row>
    <row r="382">
      <c r="A382" s="101"/>
      <c r="J382" s="101"/>
    </row>
    <row r="383">
      <c r="A383" s="101"/>
      <c r="J383" s="101"/>
    </row>
    <row r="384">
      <c r="A384" s="101"/>
      <c r="J384" s="101"/>
    </row>
    <row r="385">
      <c r="A385" s="101"/>
      <c r="J385" s="101"/>
    </row>
    <row r="386">
      <c r="A386" s="101"/>
      <c r="J386" s="101"/>
    </row>
    <row r="387">
      <c r="A387" s="101"/>
      <c r="J387" s="101"/>
    </row>
    <row r="388">
      <c r="A388" s="101"/>
      <c r="J388" s="101"/>
    </row>
    <row r="389">
      <c r="A389" s="101"/>
      <c r="J389" s="101"/>
    </row>
    <row r="390">
      <c r="A390" s="101"/>
      <c r="J390" s="101"/>
    </row>
    <row r="391">
      <c r="A391" s="101"/>
      <c r="J391" s="101"/>
    </row>
    <row r="392">
      <c r="A392" s="101"/>
      <c r="J392" s="101"/>
    </row>
    <row r="393">
      <c r="A393" s="101"/>
      <c r="J393" s="101"/>
    </row>
    <row r="394">
      <c r="A394" s="101"/>
      <c r="J394" s="101"/>
    </row>
    <row r="395">
      <c r="A395" s="101"/>
      <c r="J395" s="101"/>
    </row>
    <row r="396">
      <c r="A396" s="101"/>
      <c r="J396" s="101"/>
    </row>
    <row r="397">
      <c r="A397" s="101"/>
      <c r="J397" s="101"/>
    </row>
    <row r="398">
      <c r="A398" s="101"/>
      <c r="J398" s="101"/>
    </row>
    <row r="399">
      <c r="A399" s="101"/>
      <c r="J399" s="101"/>
    </row>
    <row r="400">
      <c r="A400" s="101"/>
      <c r="J400" s="101"/>
    </row>
    <row r="401">
      <c r="A401" s="101"/>
      <c r="J401" s="101"/>
    </row>
    <row r="402">
      <c r="A402" s="101"/>
      <c r="J402" s="101"/>
    </row>
    <row r="403">
      <c r="A403" s="101"/>
      <c r="J403" s="101"/>
    </row>
    <row r="404">
      <c r="A404" s="101"/>
      <c r="J404" s="101"/>
    </row>
    <row r="405">
      <c r="A405" s="101"/>
      <c r="J405" s="101"/>
    </row>
    <row r="406">
      <c r="A406" s="101"/>
      <c r="J406" s="101"/>
    </row>
    <row r="407">
      <c r="A407" s="101"/>
      <c r="J407" s="101"/>
    </row>
    <row r="408">
      <c r="A408" s="101"/>
      <c r="J408" s="101"/>
    </row>
    <row r="409">
      <c r="A409" s="101"/>
      <c r="J409" s="101"/>
    </row>
    <row r="410">
      <c r="A410" s="101"/>
      <c r="J410" s="101"/>
    </row>
    <row r="411">
      <c r="A411" s="101"/>
      <c r="J411" s="101"/>
    </row>
    <row r="412">
      <c r="A412" s="101"/>
      <c r="J412" s="101"/>
    </row>
    <row r="413">
      <c r="A413" s="101"/>
      <c r="J413" s="101"/>
    </row>
    <row r="414">
      <c r="A414" s="101"/>
      <c r="J414" s="101"/>
    </row>
    <row r="415">
      <c r="A415" s="101"/>
      <c r="J415" s="101"/>
    </row>
    <row r="416">
      <c r="A416" s="101"/>
      <c r="J416" s="101"/>
    </row>
    <row r="417">
      <c r="A417" s="101"/>
      <c r="J417" s="101"/>
    </row>
    <row r="418">
      <c r="A418" s="101"/>
      <c r="J418" s="101"/>
    </row>
    <row r="419">
      <c r="A419" s="101"/>
      <c r="J419" s="101"/>
    </row>
    <row r="420">
      <c r="A420" s="101"/>
      <c r="J420" s="101"/>
    </row>
    <row r="421">
      <c r="A421" s="101"/>
      <c r="J421" s="101"/>
    </row>
    <row r="422">
      <c r="A422" s="101"/>
      <c r="J422" s="101"/>
    </row>
    <row r="423">
      <c r="A423" s="101"/>
      <c r="J423" s="101"/>
    </row>
    <row r="424">
      <c r="A424" s="101"/>
      <c r="J424" s="101"/>
    </row>
    <row r="425">
      <c r="A425" s="101"/>
      <c r="J425" s="101"/>
    </row>
    <row r="426">
      <c r="A426" s="101"/>
      <c r="J426" s="101"/>
    </row>
    <row r="427">
      <c r="A427" s="101"/>
      <c r="J427" s="101"/>
    </row>
    <row r="428">
      <c r="A428" s="101"/>
      <c r="J428" s="101"/>
    </row>
    <row r="429">
      <c r="A429" s="101"/>
      <c r="J429" s="101"/>
    </row>
    <row r="430">
      <c r="A430" s="101"/>
      <c r="J430" s="101"/>
    </row>
    <row r="431">
      <c r="A431" s="101"/>
      <c r="J431" s="101"/>
    </row>
    <row r="432">
      <c r="A432" s="101"/>
      <c r="J432" s="101"/>
    </row>
    <row r="433">
      <c r="A433" s="101"/>
      <c r="J433" s="101"/>
    </row>
    <row r="434">
      <c r="A434" s="101"/>
      <c r="J434" s="101"/>
    </row>
    <row r="435">
      <c r="A435" s="101"/>
      <c r="J435" s="101"/>
    </row>
    <row r="436">
      <c r="A436" s="101"/>
      <c r="J436" s="101"/>
    </row>
    <row r="437">
      <c r="A437" s="101"/>
      <c r="J437" s="101"/>
    </row>
    <row r="438">
      <c r="A438" s="101"/>
      <c r="J438" s="101"/>
    </row>
    <row r="439">
      <c r="A439" s="101"/>
      <c r="J439" s="101"/>
    </row>
    <row r="440">
      <c r="A440" s="101"/>
      <c r="J440" s="101"/>
    </row>
    <row r="441">
      <c r="A441" s="101"/>
      <c r="J441" s="101"/>
    </row>
    <row r="442">
      <c r="A442" s="101"/>
      <c r="J442" s="101"/>
    </row>
    <row r="443">
      <c r="A443" s="101"/>
      <c r="J443" s="101"/>
    </row>
    <row r="444">
      <c r="A444" s="101"/>
      <c r="J444" s="101"/>
    </row>
    <row r="445">
      <c r="A445" s="101"/>
      <c r="J445" s="101"/>
    </row>
    <row r="446">
      <c r="A446" s="101"/>
      <c r="J446" s="101"/>
    </row>
    <row r="447">
      <c r="A447" s="101"/>
      <c r="J447" s="101"/>
    </row>
    <row r="448">
      <c r="A448" s="101"/>
      <c r="J448" s="101"/>
    </row>
    <row r="449">
      <c r="A449" s="101"/>
      <c r="J449" s="101"/>
    </row>
    <row r="450">
      <c r="A450" s="101"/>
      <c r="J450" s="101"/>
    </row>
    <row r="451">
      <c r="A451" s="101"/>
      <c r="J451" s="101"/>
    </row>
    <row r="452">
      <c r="A452" s="101"/>
      <c r="J452" s="101"/>
    </row>
    <row r="453">
      <c r="A453" s="101"/>
      <c r="J453" s="101"/>
    </row>
    <row r="454">
      <c r="A454" s="101"/>
      <c r="J454" s="101"/>
    </row>
    <row r="455">
      <c r="A455" s="101"/>
      <c r="J455" s="101"/>
    </row>
    <row r="456">
      <c r="A456" s="101"/>
      <c r="J456" s="101"/>
    </row>
    <row r="457">
      <c r="A457" s="101"/>
      <c r="J457" s="101"/>
    </row>
    <row r="458">
      <c r="A458" s="101"/>
      <c r="J458" s="101"/>
    </row>
    <row r="459">
      <c r="A459" s="101"/>
      <c r="J459" s="101"/>
    </row>
    <row r="460">
      <c r="A460" s="101"/>
      <c r="J460" s="101"/>
    </row>
    <row r="461">
      <c r="A461" s="101"/>
      <c r="J461" s="101"/>
    </row>
    <row r="462">
      <c r="A462" s="101"/>
      <c r="J462" s="101"/>
    </row>
    <row r="463">
      <c r="A463" s="101"/>
      <c r="J463" s="101"/>
    </row>
    <row r="464">
      <c r="A464" s="101"/>
      <c r="J464" s="101"/>
    </row>
    <row r="465">
      <c r="A465" s="101"/>
      <c r="J465" s="101"/>
    </row>
    <row r="466">
      <c r="A466" s="101"/>
      <c r="J466" s="101"/>
    </row>
    <row r="467">
      <c r="A467" s="101"/>
      <c r="J467" s="101"/>
    </row>
    <row r="468">
      <c r="A468" s="101"/>
      <c r="J468" s="101"/>
    </row>
    <row r="469">
      <c r="A469" s="101"/>
      <c r="J469" s="101"/>
    </row>
    <row r="470">
      <c r="A470" s="101"/>
      <c r="J470" s="101"/>
    </row>
    <row r="471">
      <c r="A471" s="101"/>
      <c r="J471" s="101"/>
    </row>
    <row r="472">
      <c r="A472" s="101"/>
      <c r="J472" s="101"/>
    </row>
    <row r="473">
      <c r="A473" s="101"/>
      <c r="J473" s="101"/>
    </row>
    <row r="474">
      <c r="A474" s="101"/>
      <c r="J474" s="101"/>
    </row>
    <row r="475">
      <c r="A475" s="101"/>
      <c r="J475" s="101"/>
    </row>
    <row r="476">
      <c r="A476" s="101"/>
      <c r="J476" s="101"/>
    </row>
    <row r="477">
      <c r="A477" s="101"/>
      <c r="J477" s="101"/>
    </row>
    <row r="478">
      <c r="A478" s="101"/>
      <c r="J478" s="101"/>
    </row>
    <row r="479">
      <c r="A479" s="101"/>
      <c r="J479" s="101"/>
    </row>
    <row r="480">
      <c r="A480" s="101"/>
      <c r="J480" s="101"/>
    </row>
    <row r="481">
      <c r="A481" s="101"/>
      <c r="J481" s="101"/>
    </row>
    <row r="482">
      <c r="A482" s="101"/>
      <c r="J482" s="101"/>
    </row>
    <row r="483">
      <c r="A483" s="101"/>
      <c r="J483" s="101"/>
    </row>
    <row r="484">
      <c r="A484" s="101"/>
      <c r="J484" s="101"/>
    </row>
    <row r="485">
      <c r="A485" s="101"/>
      <c r="J485" s="101"/>
    </row>
    <row r="486">
      <c r="A486" s="101"/>
      <c r="J486" s="101"/>
    </row>
    <row r="487">
      <c r="A487" s="101"/>
      <c r="J487" s="101"/>
    </row>
    <row r="488">
      <c r="A488" s="101"/>
      <c r="J488" s="101"/>
    </row>
    <row r="489">
      <c r="A489" s="101"/>
      <c r="J489" s="101"/>
    </row>
    <row r="490">
      <c r="A490" s="101"/>
      <c r="J490" s="101"/>
    </row>
    <row r="491">
      <c r="A491" s="101"/>
      <c r="J491" s="101"/>
    </row>
    <row r="492">
      <c r="A492" s="101"/>
      <c r="J492" s="101"/>
    </row>
    <row r="493">
      <c r="A493" s="101"/>
      <c r="J493" s="101"/>
    </row>
    <row r="494">
      <c r="A494" s="101"/>
      <c r="J494" s="101"/>
    </row>
    <row r="495">
      <c r="A495" s="101"/>
      <c r="J495" s="101"/>
    </row>
    <row r="496">
      <c r="A496" s="101"/>
      <c r="J496" s="101"/>
    </row>
    <row r="497">
      <c r="A497" s="101"/>
      <c r="J497" s="101"/>
    </row>
    <row r="498">
      <c r="A498" s="101"/>
      <c r="J498" s="101"/>
    </row>
    <row r="499">
      <c r="A499" s="101"/>
      <c r="J499" s="101"/>
    </row>
    <row r="500">
      <c r="A500" s="101"/>
      <c r="J500" s="101"/>
    </row>
    <row r="501">
      <c r="A501" s="101"/>
      <c r="J501" s="101"/>
    </row>
    <row r="502">
      <c r="A502" s="101"/>
      <c r="J502" s="101"/>
    </row>
    <row r="503">
      <c r="A503" s="101"/>
      <c r="J503" s="101"/>
    </row>
    <row r="504">
      <c r="A504" s="101"/>
      <c r="J504" s="101"/>
    </row>
    <row r="505">
      <c r="A505" s="101"/>
      <c r="J505" s="101"/>
    </row>
    <row r="506">
      <c r="A506" s="101"/>
      <c r="J506" s="101"/>
    </row>
    <row r="507">
      <c r="A507" s="101"/>
      <c r="J507" s="101"/>
    </row>
    <row r="508">
      <c r="A508" s="101"/>
      <c r="J508" s="101"/>
    </row>
    <row r="509">
      <c r="A509" s="101"/>
      <c r="J509" s="101"/>
    </row>
    <row r="510">
      <c r="A510" s="101"/>
      <c r="J510" s="101"/>
    </row>
    <row r="511">
      <c r="A511" s="101"/>
      <c r="J511" s="101"/>
    </row>
    <row r="512">
      <c r="A512" s="101"/>
      <c r="J512" s="101"/>
    </row>
    <row r="513">
      <c r="A513" s="101"/>
      <c r="J513" s="101"/>
    </row>
    <row r="514">
      <c r="A514" s="101"/>
      <c r="J514" s="101"/>
    </row>
    <row r="515">
      <c r="A515" s="101"/>
      <c r="J515" s="101"/>
    </row>
    <row r="516">
      <c r="A516" s="101"/>
      <c r="J516" s="101"/>
    </row>
    <row r="517">
      <c r="A517" s="101"/>
      <c r="J517" s="101"/>
    </row>
    <row r="518">
      <c r="A518" s="101"/>
      <c r="J518" s="101"/>
    </row>
    <row r="519">
      <c r="A519" s="101"/>
      <c r="J519" s="101"/>
    </row>
    <row r="520">
      <c r="A520" s="101"/>
      <c r="J520" s="101"/>
    </row>
    <row r="521">
      <c r="A521" s="101"/>
      <c r="J521" s="101"/>
    </row>
    <row r="522">
      <c r="A522" s="101"/>
      <c r="J522" s="101"/>
    </row>
    <row r="523">
      <c r="A523" s="101"/>
    </row>
    <row r="524">
      <c r="A524" s="101"/>
      <c r="J524" s="101"/>
    </row>
    <row r="525">
      <c r="A525" s="101"/>
      <c r="J525" s="101"/>
    </row>
    <row r="526">
      <c r="A526" s="101"/>
      <c r="J526" s="101"/>
    </row>
    <row r="527">
      <c r="A527" s="101"/>
    </row>
  </sheetData>
  <dataValidations>
    <dataValidation type="list" allowBlank="1" showDropDown="1" showErrorMessage="1" sqref="F2:F27">
      <formula1>"income,expense"</formula1>
    </dataValidation>
    <dataValidation type="custom" allowBlank="1" showDropDown="1" sqref="A2:A27">
      <formula1>OR(NOT(ISERROR(DATEVALUE(A2))), AND(ISNUMBER(A2), LEFT(CELL("format", A2))="D"))</formula1>
    </dataValidation>
    <dataValidation type="list" allowBlank="1" showDropDown="1" showErrorMessage="1" sqref="B2:B27">
      <formula1>"PHONE PROFIT,SERVICE PROFIT,payroll,Godwin"</formula1>
    </dataValidation>
    <dataValidation type="custom" allowBlank="1" showDropDown="1" sqref="C2:C27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2605</v>
      </c>
      <c r="B1" s="6" t="s">
        <v>2606</v>
      </c>
      <c r="C1" s="6" t="s">
        <v>2607</v>
      </c>
      <c r="D1" s="6" t="s">
        <v>2608</v>
      </c>
      <c r="E1" s="6" t="s">
        <v>2609</v>
      </c>
      <c r="F1" s="6" t="s">
        <v>2610</v>
      </c>
      <c r="G1" s="6" t="s">
        <v>2611</v>
      </c>
      <c r="H1" s="6" t="s">
        <v>2612</v>
      </c>
      <c r="I1" s="6" t="s">
        <v>2613</v>
      </c>
      <c r="J1" s="6" t="s">
        <v>2614</v>
      </c>
      <c r="K1" s="6" t="s">
        <v>2615</v>
      </c>
      <c r="L1" s="6" t="s">
        <v>2616</v>
      </c>
      <c r="M1" s="6" t="s">
        <v>2617</v>
      </c>
      <c r="N1" s="6" t="s">
        <v>2618</v>
      </c>
      <c r="O1" s="6" t="s">
        <v>2619</v>
      </c>
    </row>
    <row r="2">
      <c r="A2" s="6" t="s">
        <v>22</v>
      </c>
      <c r="B2" s="6" t="s">
        <v>22</v>
      </c>
      <c r="C2" s="6" t="s">
        <v>2620</v>
      </c>
      <c r="D2" s="6">
        <v>2.0</v>
      </c>
      <c r="F2" s="6" t="s">
        <v>18</v>
      </c>
      <c r="G2" s="6" t="s">
        <v>26</v>
      </c>
      <c r="I2" s="6" t="s">
        <v>2621</v>
      </c>
      <c r="J2" s="6">
        <v>0.0</v>
      </c>
      <c r="L2" s="6">
        <v>2500.0</v>
      </c>
      <c r="M2" s="6" t="s">
        <v>2622</v>
      </c>
      <c r="N2" s="6" t="s">
        <v>2623</v>
      </c>
      <c r="O2" s="6" t="s">
        <v>2623</v>
      </c>
    </row>
    <row r="3">
      <c r="A3" s="6" t="s">
        <v>27</v>
      </c>
      <c r="B3" s="6" t="s">
        <v>27</v>
      </c>
      <c r="C3" s="6" t="s">
        <v>2624</v>
      </c>
      <c r="D3" s="6">
        <v>3.0</v>
      </c>
      <c r="F3" s="6" t="s">
        <v>23</v>
      </c>
      <c r="G3" s="6" t="s">
        <v>26</v>
      </c>
      <c r="I3" s="6" t="s">
        <v>2621</v>
      </c>
      <c r="J3" s="6">
        <v>0.0</v>
      </c>
      <c r="L3" s="6">
        <v>2500.0</v>
      </c>
      <c r="M3" s="6" t="s">
        <v>2625</v>
      </c>
      <c r="N3" s="6" t="s">
        <v>2626</v>
      </c>
      <c r="O3" s="6" t="s">
        <v>2626</v>
      </c>
    </row>
    <row r="4">
      <c r="A4" s="6" t="s">
        <v>30</v>
      </c>
      <c r="B4" s="6" t="s">
        <v>30</v>
      </c>
      <c r="C4" s="6" t="s">
        <v>2627</v>
      </c>
      <c r="D4" s="6">
        <v>4.0</v>
      </c>
      <c r="F4" s="6" t="s">
        <v>28</v>
      </c>
      <c r="G4" s="6" t="s">
        <v>26</v>
      </c>
      <c r="I4" s="6" t="s">
        <v>2621</v>
      </c>
      <c r="J4" s="6">
        <v>0.0</v>
      </c>
      <c r="L4" s="6">
        <v>185000.0</v>
      </c>
      <c r="M4" s="6" t="s">
        <v>2628</v>
      </c>
      <c r="N4" s="6" t="s">
        <v>2626</v>
      </c>
      <c r="O4" s="6" t="s">
        <v>2626</v>
      </c>
    </row>
    <row r="5">
      <c r="A5" s="6" t="s">
        <v>33</v>
      </c>
      <c r="B5" s="6" t="s">
        <v>33</v>
      </c>
      <c r="C5" s="6" t="s">
        <v>2629</v>
      </c>
      <c r="D5" s="6">
        <v>5.0</v>
      </c>
      <c r="F5" s="6" t="s">
        <v>31</v>
      </c>
      <c r="G5" s="6" t="s">
        <v>26</v>
      </c>
      <c r="I5" s="6" t="s">
        <v>2621</v>
      </c>
      <c r="J5" s="6">
        <v>0.0</v>
      </c>
      <c r="L5" s="6">
        <v>280000.0</v>
      </c>
      <c r="M5" s="6" t="s">
        <v>2630</v>
      </c>
      <c r="N5" s="6" t="s">
        <v>2626</v>
      </c>
      <c r="O5" s="6" t="s">
        <v>2626</v>
      </c>
    </row>
    <row r="6">
      <c r="A6" s="6" t="s">
        <v>36</v>
      </c>
      <c r="B6" s="6" t="s">
        <v>36</v>
      </c>
      <c r="C6" s="6" t="s">
        <v>2631</v>
      </c>
      <c r="D6" s="6">
        <v>6.0</v>
      </c>
      <c r="F6" s="6" t="s">
        <v>34</v>
      </c>
      <c r="G6" s="6" t="s">
        <v>26</v>
      </c>
      <c r="I6" s="6" t="s">
        <v>2621</v>
      </c>
      <c r="J6" s="6">
        <v>0.0</v>
      </c>
      <c r="L6" s="6">
        <v>2500.0</v>
      </c>
      <c r="M6" s="6" t="s">
        <v>2632</v>
      </c>
      <c r="N6" s="6" t="s">
        <v>2626</v>
      </c>
      <c r="O6" s="6" t="s">
        <v>2626</v>
      </c>
    </row>
    <row r="7">
      <c r="A7" s="6" t="s">
        <v>39</v>
      </c>
      <c r="B7" s="6" t="s">
        <v>39</v>
      </c>
      <c r="C7" s="6" t="s">
        <v>2633</v>
      </c>
      <c r="D7" s="6">
        <v>7.0</v>
      </c>
      <c r="F7" s="6" t="s">
        <v>37</v>
      </c>
      <c r="G7" s="6" t="s">
        <v>26</v>
      </c>
      <c r="I7" s="6" t="s">
        <v>2621</v>
      </c>
      <c r="J7" s="6">
        <v>0.0</v>
      </c>
      <c r="L7" s="6">
        <v>1500000.0</v>
      </c>
      <c r="M7" s="6" t="s">
        <v>2634</v>
      </c>
      <c r="N7" s="6" t="s">
        <v>2626</v>
      </c>
      <c r="O7" s="6" t="s">
        <v>2626</v>
      </c>
    </row>
    <row r="8">
      <c r="A8" s="6" t="s">
        <v>42</v>
      </c>
      <c r="B8" s="6" t="s">
        <v>42</v>
      </c>
      <c r="C8" s="6" t="s">
        <v>2635</v>
      </c>
      <c r="D8" s="6">
        <v>8.0</v>
      </c>
      <c r="F8" s="6" t="s">
        <v>40</v>
      </c>
      <c r="G8" s="6" t="s">
        <v>26</v>
      </c>
      <c r="I8" s="6" t="s">
        <v>2621</v>
      </c>
      <c r="J8" s="6">
        <v>0.0</v>
      </c>
      <c r="L8" s="6">
        <v>10000.0</v>
      </c>
      <c r="M8" s="6" t="s">
        <v>2636</v>
      </c>
      <c r="N8" s="6" t="s">
        <v>2626</v>
      </c>
      <c r="O8" s="6" t="s">
        <v>2626</v>
      </c>
    </row>
    <row r="9">
      <c r="A9" s="6" t="s">
        <v>45</v>
      </c>
      <c r="B9" s="6" t="s">
        <v>45</v>
      </c>
      <c r="C9" s="6" t="s">
        <v>2637</v>
      </c>
      <c r="D9" s="6">
        <v>9.0</v>
      </c>
      <c r="F9" s="6" t="s">
        <v>43</v>
      </c>
      <c r="G9" s="6" t="s">
        <v>26</v>
      </c>
      <c r="I9" s="6" t="s">
        <v>2621</v>
      </c>
      <c r="J9" s="6">
        <v>0.0</v>
      </c>
      <c r="L9" s="6">
        <v>800000.0</v>
      </c>
      <c r="M9" s="6" t="s">
        <v>2638</v>
      </c>
      <c r="N9" s="6" t="s">
        <v>2626</v>
      </c>
      <c r="O9" s="6" t="s">
        <v>2626</v>
      </c>
    </row>
    <row r="10">
      <c r="A10" s="6" t="s">
        <v>49</v>
      </c>
      <c r="B10" s="6" t="s">
        <v>49</v>
      </c>
      <c r="C10" s="6" t="s">
        <v>2639</v>
      </c>
      <c r="D10" s="6">
        <v>10.0</v>
      </c>
      <c r="F10" s="6" t="s">
        <v>46</v>
      </c>
      <c r="G10" s="6" t="s">
        <v>26</v>
      </c>
      <c r="I10" s="6" t="s">
        <v>2621</v>
      </c>
      <c r="J10" s="6">
        <v>0.0</v>
      </c>
      <c r="L10" s="6">
        <v>25000.0</v>
      </c>
      <c r="M10" s="6" t="s">
        <v>2640</v>
      </c>
      <c r="N10" s="6" t="s">
        <v>2626</v>
      </c>
      <c r="O10" s="6" t="s">
        <v>2626</v>
      </c>
    </row>
    <row r="11">
      <c r="A11" s="6" t="s">
        <v>53</v>
      </c>
      <c r="B11" s="6" t="s">
        <v>53</v>
      </c>
      <c r="C11" s="6" t="s">
        <v>2641</v>
      </c>
      <c r="D11" s="6">
        <v>11.0</v>
      </c>
      <c r="F11" s="6" t="s">
        <v>50</v>
      </c>
      <c r="G11" s="6" t="s">
        <v>26</v>
      </c>
      <c r="I11" s="6" t="s">
        <v>2621</v>
      </c>
      <c r="J11" s="6">
        <v>0.0</v>
      </c>
      <c r="L11" s="6">
        <v>2500.0</v>
      </c>
      <c r="M11" s="6" t="s">
        <v>2642</v>
      </c>
      <c r="N11" s="6" t="s">
        <v>2626</v>
      </c>
      <c r="O11" s="6" t="s">
        <v>2626</v>
      </c>
    </row>
    <row r="12">
      <c r="A12" s="6" t="s">
        <v>57</v>
      </c>
      <c r="B12" s="6" t="s">
        <v>57</v>
      </c>
      <c r="C12" s="6" t="s">
        <v>2643</v>
      </c>
      <c r="D12" s="6">
        <v>12.0</v>
      </c>
      <c r="F12" s="6" t="s">
        <v>54</v>
      </c>
      <c r="G12" s="6" t="s">
        <v>26</v>
      </c>
      <c r="I12" s="6" t="s">
        <v>2644</v>
      </c>
      <c r="J12" s="6">
        <v>0.0</v>
      </c>
      <c r="L12" s="6">
        <v>2500.0</v>
      </c>
      <c r="M12" s="6" t="s">
        <v>2645</v>
      </c>
      <c r="N12" s="6" t="s">
        <v>2626</v>
      </c>
      <c r="O12" s="6" t="s">
        <v>2626</v>
      </c>
    </row>
    <row r="13">
      <c r="A13" s="6" t="s">
        <v>59</v>
      </c>
      <c r="B13" s="6" t="s">
        <v>59</v>
      </c>
      <c r="C13" s="6" t="s">
        <v>2646</v>
      </c>
      <c r="D13" s="6">
        <v>13.0</v>
      </c>
      <c r="F13" s="6" t="s">
        <v>54</v>
      </c>
      <c r="G13" s="6" t="s">
        <v>26</v>
      </c>
      <c r="I13" s="6" t="s">
        <v>2647</v>
      </c>
      <c r="J13" s="6">
        <v>0.0</v>
      </c>
      <c r="L13" s="6">
        <v>2500.0</v>
      </c>
      <c r="M13" s="6" t="s">
        <v>2648</v>
      </c>
      <c r="N13" s="6" t="s">
        <v>2626</v>
      </c>
      <c r="O13" s="6" t="s">
        <v>2626</v>
      </c>
    </row>
    <row r="14">
      <c r="A14" s="6" t="s">
        <v>63</v>
      </c>
      <c r="B14" s="6" t="s">
        <v>63</v>
      </c>
      <c r="C14" s="6" t="s">
        <v>2649</v>
      </c>
      <c r="D14" s="6">
        <v>14.0</v>
      </c>
      <c r="F14" s="6" t="s">
        <v>60</v>
      </c>
      <c r="G14" s="6" t="s">
        <v>26</v>
      </c>
      <c r="I14" s="6" t="s">
        <v>2621</v>
      </c>
      <c r="J14" s="6">
        <v>0.0</v>
      </c>
      <c r="L14" s="6">
        <v>10000.0</v>
      </c>
      <c r="M14" s="6" t="s">
        <v>2650</v>
      </c>
      <c r="N14" s="6" t="s">
        <v>2626</v>
      </c>
      <c r="O14" s="6" t="s">
        <v>2626</v>
      </c>
    </row>
    <row r="15">
      <c r="A15" s="6" t="s">
        <v>67</v>
      </c>
      <c r="B15" s="6" t="s">
        <v>67</v>
      </c>
      <c r="C15" s="6" t="s">
        <v>2651</v>
      </c>
      <c r="D15" s="6">
        <v>15.0</v>
      </c>
      <c r="F15" s="6" t="s">
        <v>64</v>
      </c>
      <c r="G15" s="6" t="s">
        <v>26</v>
      </c>
      <c r="I15" s="6" t="s">
        <v>2621</v>
      </c>
      <c r="J15" s="6">
        <v>0.0</v>
      </c>
      <c r="L15" s="6">
        <v>1000000.0</v>
      </c>
      <c r="M15" s="6" t="s">
        <v>2652</v>
      </c>
      <c r="N15" s="6" t="s">
        <v>2626</v>
      </c>
      <c r="O15" s="6" t="s">
        <v>2626</v>
      </c>
    </row>
    <row r="16">
      <c r="A16" s="6" t="s">
        <v>69</v>
      </c>
      <c r="B16" s="6" t="s">
        <v>69</v>
      </c>
      <c r="C16" s="6" t="s">
        <v>2653</v>
      </c>
      <c r="D16" s="6">
        <v>16.0</v>
      </c>
      <c r="F16" s="6" t="s">
        <v>68</v>
      </c>
      <c r="G16" s="6" t="s">
        <v>26</v>
      </c>
      <c r="I16" s="6" t="s">
        <v>2621</v>
      </c>
      <c r="J16" s="6">
        <v>0.0</v>
      </c>
      <c r="L16" s="6">
        <v>10000.0</v>
      </c>
      <c r="M16" s="6" t="s">
        <v>2654</v>
      </c>
      <c r="N16" s="6" t="s">
        <v>2626</v>
      </c>
      <c r="O16" s="6" t="s">
        <v>2626</v>
      </c>
    </row>
    <row r="17">
      <c r="A17" s="6" t="s">
        <v>73</v>
      </c>
      <c r="B17" s="6" t="s">
        <v>73</v>
      </c>
      <c r="C17" s="6" t="s">
        <v>2655</v>
      </c>
      <c r="D17" s="6">
        <v>17.0</v>
      </c>
      <c r="F17" s="6" t="s">
        <v>70</v>
      </c>
      <c r="G17" s="6" t="s">
        <v>26</v>
      </c>
      <c r="I17" s="6" t="s">
        <v>2621</v>
      </c>
      <c r="J17" s="6">
        <v>0.0</v>
      </c>
      <c r="L17" s="6">
        <v>5000.0</v>
      </c>
      <c r="M17" s="6" t="s">
        <v>2656</v>
      </c>
      <c r="N17" s="6" t="s">
        <v>2626</v>
      </c>
      <c r="O17" s="6" t="s">
        <v>2626</v>
      </c>
    </row>
    <row r="18">
      <c r="A18" s="6" t="s">
        <v>77</v>
      </c>
      <c r="B18" s="6" t="s">
        <v>77</v>
      </c>
      <c r="C18" s="6" t="s">
        <v>2657</v>
      </c>
      <c r="D18" s="6">
        <v>18.0</v>
      </c>
      <c r="F18" s="6" t="s">
        <v>74</v>
      </c>
      <c r="G18" s="6" t="s">
        <v>26</v>
      </c>
      <c r="I18" s="6" t="s">
        <v>2658</v>
      </c>
      <c r="J18" s="6">
        <v>0.0</v>
      </c>
      <c r="L18" s="6">
        <v>3000.0</v>
      </c>
      <c r="M18" s="6" t="s">
        <v>2659</v>
      </c>
      <c r="N18" s="6" t="s">
        <v>2626</v>
      </c>
      <c r="O18" s="6" t="s">
        <v>2626</v>
      </c>
    </row>
    <row r="19">
      <c r="A19" s="6" t="s">
        <v>81</v>
      </c>
      <c r="B19" s="6" t="s">
        <v>81</v>
      </c>
      <c r="C19" s="6" t="s">
        <v>2660</v>
      </c>
      <c r="D19" s="6">
        <v>19.0</v>
      </c>
      <c r="F19" s="6" t="s">
        <v>78</v>
      </c>
      <c r="G19" s="6" t="s">
        <v>26</v>
      </c>
      <c r="I19" s="6" t="s">
        <v>2661</v>
      </c>
      <c r="J19" s="6">
        <v>0.0</v>
      </c>
      <c r="L19" s="6">
        <v>3000.0</v>
      </c>
      <c r="M19" s="6" t="s">
        <v>2662</v>
      </c>
      <c r="N19" s="6" t="s">
        <v>2626</v>
      </c>
      <c r="O19" s="6" t="s">
        <v>2626</v>
      </c>
    </row>
    <row r="20">
      <c r="A20" s="6" t="s">
        <v>83</v>
      </c>
      <c r="B20" s="6" t="s">
        <v>83</v>
      </c>
      <c r="C20" s="6" t="s">
        <v>2663</v>
      </c>
      <c r="D20" s="6">
        <v>20.0</v>
      </c>
      <c r="F20" s="6" t="s">
        <v>18</v>
      </c>
      <c r="G20" s="6" t="s">
        <v>26</v>
      </c>
      <c r="I20" s="6" t="s">
        <v>2664</v>
      </c>
      <c r="J20" s="6">
        <v>0.0</v>
      </c>
      <c r="L20" s="6">
        <v>2000.0</v>
      </c>
      <c r="M20" s="6" t="s">
        <v>2665</v>
      </c>
      <c r="N20" s="6" t="s">
        <v>2626</v>
      </c>
      <c r="O20" s="6" t="s">
        <v>2626</v>
      </c>
    </row>
    <row r="21">
      <c r="A21" s="6" t="s">
        <v>88</v>
      </c>
      <c r="B21" s="6" t="s">
        <v>88</v>
      </c>
      <c r="C21" s="6" t="s">
        <v>2666</v>
      </c>
      <c r="D21" s="6">
        <v>21.0</v>
      </c>
      <c r="F21" s="6" t="s">
        <v>84</v>
      </c>
      <c r="G21" s="6" t="s">
        <v>26</v>
      </c>
      <c r="I21" s="6" t="s">
        <v>2667</v>
      </c>
      <c r="J21" s="6">
        <v>0.0</v>
      </c>
      <c r="L21" s="6">
        <v>90000.0</v>
      </c>
      <c r="M21" s="6" t="s">
        <v>2668</v>
      </c>
      <c r="N21" s="6" t="s">
        <v>2626</v>
      </c>
      <c r="O21" s="6" t="s">
        <v>2626</v>
      </c>
    </row>
    <row r="22">
      <c r="A22" s="6" t="s">
        <v>92</v>
      </c>
      <c r="B22" s="6" t="s">
        <v>92</v>
      </c>
      <c r="C22" s="6" t="s">
        <v>2669</v>
      </c>
      <c r="D22" s="6">
        <v>22.0</v>
      </c>
      <c r="F22" s="6" t="s">
        <v>89</v>
      </c>
      <c r="G22" s="6" t="s">
        <v>26</v>
      </c>
      <c r="I22" s="6" t="s">
        <v>2667</v>
      </c>
      <c r="J22" s="6">
        <v>0.0</v>
      </c>
      <c r="L22" s="6">
        <v>2500.0</v>
      </c>
      <c r="M22" s="6" t="s">
        <v>2670</v>
      </c>
      <c r="N22" s="6" t="s">
        <v>2626</v>
      </c>
      <c r="O22" s="6" t="s">
        <v>2626</v>
      </c>
    </row>
    <row r="23">
      <c r="A23" s="6" t="s">
        <v>96</v>
      </c>
      <c r="B23" s="6" t="s">
        <v>96</v>
      </c>
      <c r="C23" s="6" t="s">
        <v>2671</v>
      </c>
      <c r="D23" s="6">
        <v>23.0</v>
      </c>
      <c r="F23" s="6" t="s">
        <v>93</v>
      </c>
      <c r="G23" s="6" t="s">
        <v>26</v>
      </c>
      <c r="I23" s="6" t="s">
        <v>2672</v>
      </c>
      <c r="J23" s="6">
        <v>0.0</v>
      </c>
      <c r="L23" s="6">
        <v>12500.0</v>
      </c>
      <c r="M23" s="6" t="s">
        <v>2673</v>
      </c>
      <c r="N23" s="6" t="s">
        <v>2626</v>
      </c>
      <c r="O23" s="6" t="s">
        <v>2626</v>
      </c>
    </row>
    <row r="24">
      <c r="A24" s="6" t="s">
        <v>100</v>
      </c>
      <c r="B24" s="6" t="s">
        <v>100</v>
      </c>
      <c r="C24" s="6" t="s">
        <v>2674</v>
      </c>
      <c r="D24" s="6">
        <v>24.0</v>
      </c>
      <c r="F24" s="6" t="s">
        <v>97</v>
      </c>
      <c r="G24" s="6" t="s">
        <v>26</v>
      </c>
      <c r="I24" s="6" t="s">
        <v>2675</v>
      </c>
      <c r="J24" s="6">
        <v>0.0</v>
      </c>
      <c r="L24" s="6">
        <v>2500.0</v>
      </c>
      <c r="M24" s="6" t="s">
        <v>2676</v>
      </c>
      <c r="N24" s="6" t="s">
        <v>2626</v>
      </c>
      <c r="O24" s="6" t="s">
        <v>2626</v>
      </c>
    </row>
    <row r="25">
      <c r="A25" s="6" t="s">
        <v>104</v>
      </c>
      <c r="B25" s="6" t="s">
        <v>104</v>
      </c>
      <c r="C25" s="6" t="s">
        <v>2677</v>
      </c>
      <c r="D25" s="6">
        <v>25.0</v>
      </c>
      <c r="F25" s="6" t="s">
        <v>101</v>
      </c>
      <c r="G25" s="6" t="s">
        <v>103</v>
      </c>
      <c r="J25" s="6">
        <v>0.0</v>
      </c>
      <c r="L25" s="6">
        <v>0.0</v>
      </c>
      <c r="M25" s="6" t="s">
        <v>2678</v>
      </c>
      <c r="N25" s="6" t="s">
        <v>2626</v>
      </c>
      <c r="O25" s="6" t="s">
        <v>2626</v>
      </c>
    </row>
    <row r="26">
      <c r="A26" s="6" t="s">
        <v>107</v>
      </c>
      <c r="B26" s="6" t="s">
        <v>107</v>
      </c>
      <c r="C26" s="6" t="s">
        <v>2679</v>
      </c>
      <c r="D26" s="6">
        <v>26.0</v>
      </c>
      <c r="F26" s="6" t="s">
        <v>105</v>
      </c>
      <c r="G26" s="6" t="s">
        <v>26</v>
      </c>
      <c r="I26" s="6" t="s">
        <v>2675</v>
      </c>
      <c r="J26" s="6">
        <v>0.0</v>
      </c>
      <c r="L26" s="6">
        <v>2500.0</v>
      </c>
      <c r="M26" s="6" t="s">
        <v>2680</v>
      </c>
      <c r="N26" s="6" t="s">
        <v>2626</v>
      </c>
      <c r="O26" s="6" t="s">
        <v>2626</v>
      </c>
    </row>
    <row r="27">
      <c r="A27" s="6" t="s">
        <v>111</v>
      </c>
      <c r="B27" s="6" t="s">
        <v>111</v>
      </c>
      <c r="C27" s="6" t="s">
        <v>2681</v>
      </c>
      <c r="D27" s="6">
        <v>27.0</v>
      </c>
      <c r="F27" s="6" t="s">
        <v>108</v>
      </c>
      <c r="G27" s="6" t="s">
        <v>26</v>
      </c>
      <c r="I27" s="6" t="s">
        <v>2682</v>
      </c>
      <c r="J27" s="6">
        <v>0.0</v>
      </c>
      <c r="L27" s="6">
        <v>225000.0</v>
      </c>
      <c r="M27" s="6" t="s">
        <v>2683</v>
      </c>
      <c r="N27" s="6" t="s">
        <v>2626</v>
      </c>
      <c r="O27" s="6" t="s">
        <v>2626</v>
      </c>
    </row>
    <row r="28">
      <c r="A28" s="6" t="s">
        <v>114</v>
      </c>
      <c r="B28" s="6" t="s">
        <v>114</v>
      </c>
      <c r="C28" s="6" t="s">
        <v>2684</v>
      </c>
      <c r="D28" s="6">
        <v>28.0</v>
      </c>
      <c r="F28" s="6" t="s">
        <v>112</v>
      </c>
      <c r="G28" s="6" t="s">
        <v>26</v>
      </c>
      <c r="I28" s="6" t="s">
        <v>2685</v>
      </c>
      <c r="J28" s="6">
        <v>0.0</v>
      </c>
      <c r="L28" s="6">
        <v>2500.0</v>
      </c>
      <c r="M28" s="6" t="s">
        <v>2686</v>
      </c>
      <c r="N28" s="6" t="s">
        <v>2626</v>
      </c>
      <c r="O28" s="6" t="s">
        <v>2626</v>
      </c>
    </row>
    <row r="29">
      <c r="A29" s="6" t="s">
        <v>119</v>
      </c>
      <c r="B29" s="6" t="s">
        <v>119</v>
      </c>
      <c r="C29" s="6" t="s">
        <v>2687</v>
      </c>
      <c r="D29" s="6">
        <v>29.0</v>
      </c>
      <c r="F29" s="6" t="s">
        <v>115</v>
      </c>
      <c r="G29" s="6" t="s">
        <v>118</v>
      </c>
      <c r="J29" s="6">
        <v>0.0</v>
      </c>
      <c r="L29" s="6">
        <v>0.0</v>
      </c>
      <c r="M29" s="6" t="s">
        <v>2688</v>
      </c>
      <c r="N29" s="6" t="s">
        <v>2626</v>
      </c>
      <c r="O29" s="6" t="s">
        <v>2626</v>
      </c>
    </row>
    <row r="30">
      <c r="A30" s="6" t="s">
        <v>122</v>
      </c>
      <c r="B30" s="6" t="s">
        <v>122</v>
      </c>
      <c r="C30" s="6" t="s">
        <v>2689</v>
      </c>
      <c r="D30" s="6">
        <v>30.0</v>
      </c>
      <c r="F30" s="6" t="s">
        <v>115</v>
      </c>
      <c r="G30" s="6" t="s">
        <v>121</v>
      </c>
      <c r="J30" s="6">
        <v>0.0</v>
      </c>
      <c r="L30" s="6">
        <v>0.0</v>
      </c>
      <c r="M30" s="6" t="s">
        <v>2690</v>
      </c>
      <c r="N30" s="6" t="s">
        <v>2626</v>
      </c>
      <c r="O30" s="6" t="s">
        <v>2626</v>
      </c>
    </row>
    <row r="31">
      <c r="A31" s="6" t="s">
        <v>126</v>
      </c>
      <c r="B31" s="6" t="s">
        <v>126</v>
      </c>
      <c r="C31" s="6" t="s">
        <v>2691</v>
      </c>
      <c r="D31" s="6">
        <v>31.0</v>
      </c>
      <c r="F31" s="6" t="s">
        <v>123</v>
      </c>
      <c r="G31" s="6" t="s">
        <v>118</v>
      </c>
      <c r="J31" s="6">
        <v>0.0</v>
      </c>
      <c r="L31" s="6">
        <v>0.0</v>
      </c>
      <c r="M31" s="6" t="s">
        <v>2692</v>
      </c>
      <c r="N31" s="6" t="s">
        <v>2626</v>
      </c>
      <c r="O31" s="6" t="s">
        <v>2626</v>
      </c>
    </row>
    <row r="32">
      <c r="A32" s="6" t="s">
        <v>130</v>
      </c>
      <c r="B32" s="6" t="s">
        <v>130</v>
      </c>
      <c r="C32" s="6" t="s">
        <v>2693</v>
      </c>
      <c r="D32" s="6">
        <v>32.0</v>
      </c>
      <c r="F32" s="6" t="s">
        <v>127</v>
      </c>
      <c r="G32" s="6" t="s">
        <v>26</v>
      </c>
      <c r="I32" s="6" t="s">
        <v>2694</v>
      </c>
      <c r="J32" s="6">
        <v>0.0</v>
      </c>
      <c r="L32" s="6">
        <v>10000.0</v>
      </c>
      <c r="M32" s="6" t="s">
        <v>2695</v>
      </c>
      <c r="N32" s="6" t="s">
        <v>2626</v>
      </c>
      <c r="O32" s="6" t="s">
        <v>2626</v>
      </c>
    </row>
    <row r="33">
      <c r="A33" s="6" t="s">
        <v>132</v>
      </c>
      <c r="B33" s="6" t="s">
        <v>132</v>
      </c>
      <c r="C33" s="6" t="s">
        <v>2696</v>
      </c>
      <c r="D33" s="6">
        <v>33.0</v>
      </c>
      <c r="F33" s="6" t="s">
        <v>108</v>
      </c>
      <c r="G33" s="6" t="s">
        <v>26</v>
      </c>
      <c r="I33" s="6" t="s">
        <v>2697</v>
      </c>
      <c r="J33" s="6">
        <v>0.0</v>
      </c>
      <c r="L33" s="6">
        <v>5000.0</v>
      </c>
      <c r="M33" s="6" t="s">
        <v>2698</v>
      </c>
      <c r="N33" s="6" t="s">
        <v>2626</v>
      </c>
      <c r="O33" s="6" t="s">
        <v>2626</v>
      </c>
    </row>
    <row r="34">
      <c r="A34" s="6" t="s">
        <v>137</v>
      </c>
      <c r="B34" s="6" t="s">
        <v>137</v>
      </c>
      <c r="C34" s="6" t="s">
        <v>2699</v>
      </c>
      <c r="D34" s="6">
        <v>34.0</v>
      </c>
      <c r="E34" s="6">
        <v>3.56295374969208E14</v>
      </c>
      <c r="F34" s="6" t="s">
        <v>133</v>
      </c>
      <c r="G34" s="6" t="s">
        <v>26</v>
      </c>
      <c r="I34" s="6" t="s">
        <v>2697</v>
      </c>
      <c r="J34" s="6">
        <v>0.0</v>
      </c>
      <c r="L34" s="6">
        <v>280000.0</v>
      </c>
      <c r="M34" s="6" t="s">
        <v>2700</v>
      </c>
      <c r="N34" s="6" t="s">
        <v>2626</v>
      </c>
      <c r="O34" s="6" t="s">
        <v>2626</v>
      </c>
    </row>
    <row r="35">
      <c r="A35" s="6" t="s">
        <v>139</v>
      </c>
      <c r="B35" s="6" t="s">
        <v>139</v>
      </c>
      <c r="C35" s="6" t="s">
        <v>2701</v>
      </c>
      <c r="D35" s="6">
        <v>35.0</v>
      </c>
      <c r="F35" s="6" t="s">
        <v>108</v>
      </c>
      <c r="G35" s="6" t="s">
        <v>26</v>
      </c>
      <c r="I35" s="6" t="s">
        <v>2697</v>
      </c>
      <c r="J35" s="6">
        <v>0.0</v>
      </c>
      <c r="L35" s="6">
        <v>16250.0</v>
      </c>
      <c r="M35" s="6" t="s">
        <v>2702</v>
      </c>
      <c r="N35" s="6" t="s">
        <v>2626</v>
      </c>
      <c r="O35" s="6" t="s">
        <v>2626</v>
      </c>
    </row>
    <row r="36">
      <c r="A36" s="6" t="s">
        <v>141</v>
      </c>
      <c r="B36" s="6" t="s">
        <v>141</v>
      </c>
      <c r="C36" s="6" t="s">
        <v>2703</v>
      </c>
      <c r="D36" s="6">
        <v>36.0</v>
      </c>
      <c r="E36" s="6" t="s">
        <v>140</v>
      </c>
      <c r="F36" s="6" t="s">
        <v>140</v>
      </c>
      <c r="J36" s="6">
        <v>0.0</v>
      </c>
      <c r="L36" s="6">
        <v>0.0</v>
      </c>
      <c r="M36" s="6" t="s">
        <v>2704</v>
      </c>
      <c r="N36" s="6" t="s">
        <v>2626</v>
      </c>
      <c r="O36" s="6" t="s">
        <v>2626</v>
      </c>
    </row>
    <row r="37">
      <c r="A37" s="6" t="s">
        <v>143</v>
      </c>
      <c r="B37" s="6" t="s">
        <v>143</v>
      </c>
      <c r="C37" s="6" t="s">
        <v>2705</v>
      </c>
      <c r="D37" s="6">
        <v>37.0</v>
      </c>
      <c r="F37" s="6" t="s">
        <v>46</v>
      </c>
      <c r="G37" s="6" t="s">
        <v>26</v>
      </c>
      <c r="I37" s="6" t="s">
        <v>2672</v>
      </c>
      <c r="J37" s="6">
        <v>0.0</v>
      </c>
      <c r="L37" s="6">
        <v>2500.0</v>
      </c>
      <c r="M37" s="6" t="s">
        <v>2706</v>
      </c>
      <c r="N37" s="6" t="s">
        <v>2626</v>
      </c>
      <c r="O37" s="6" t="s">
        <v>2626</v>
      </c>
    </row>
    <row r="38">
      <c r="A38" s="6" t="s">
        <v>145</v>
      </c>
      <c r="B38" s="6" t="s">
        <v>145</v>
      </c>
      <c r="C38" s="6" t="s">
        <v>2707</v>
      </c>
      <c r="D38" s="6">
        <v>38.0</v>
      </c>
      <c r="F38" s="6" t="s">
        <v>89</v>
      </c>
      <c r="G38" s="6" t="s">
        <v>26</v>
      </c>
      <c r="I38" s="6" t="s">
        <v>2672</v>
      </c>
      <c r="J38" s="6">
        <v>0.0</v>
      </c>
      <c r="L38" s="6">
        <v>2500.0</v>
      </c>
      <c r="M38" s="6" t="s">
        <v>2708</v>
      </c>
      <c r="N38" s="6" t="s">
        <v>2626</v>
      </c>
      <c r="O38" s="6" t="s">
        <v>2626</v>
      </c>
    </row>
    <row r="39">
      <c r="A39" s="6" t="s">
        <v>147</v>
      </c>
      <c r="B39" s="6" t="s">
        <v>147</v>
      </c>
      <c r="C39" s="6" t="s">
        <v>2709</v>
      </c>
      <c r="D39" s="6">
        <v>39.0</v>
      </c>
      <c r="F39" s="6" t="s">
        <v>64</v>
      </c>
      <c r="G39" s="6" t="s">
        <v>26</v>
      </c>
      <c r="I39" s="6" t="s">
        <v>2672</v>
      </c>
      <c r="J39" s="6">
        <v>0.0</v>
      </c>
      <c r="L39" s="6">
        <v>2000.0</v>
      </c>
      <c r="M39" s="6" t="s">
        <v>2710</v>
      </c>
      <c r="N39" s="6" t="s">
        <v>2626</v>
      </c>
      <c r="O39" s="6" t="s">
        <v>2626</v>
      </c>
    </row>
    <row r="40">
      <c r="A40" s="6" t="s">
        <v>150</v>
      </c>
      <c r="B40" s="6" t="s">
        <v>150</v>
      </c>
      <c r="C40" s="6" t="s">
        <v>2711</v>
      </c>
      <c r="D40" s="6">
        <v>40.0</v>
      </c>
      <c r="F40" s="6" t="s">
        <v>148</v>
      </c>
      <c r="G40" s="6" t="s">
        <v>26</v>
      </c>
      <c r="I40" s="6" t="s">
        <v>2672</v>
      </c>
      <c r="J40" s="6">
        <v>0.0</v>
      </c>
      <c r="L40" s="6">
        <v>2500.0</v>
      </c>
      <c r="M40" s="6" t="s">
        <v>2712</v>
      </c>
      <c r="N40" s="6" t="s">
        <v>2626</v>
      </c>
      <c r="O40" s="6" t="s">
        <v>2626</v>
      </c>
    </row>
    <row r="41">
      <c r="A41" s="6" t="s">
        <v>153</v>
      </c>
      <c r="B41" s="6" t="s">
        <v>153</v>
      </c>
      <c r="C41" s="6" t="s">
        <v>2713</v>
      </c>
      <c r="D41" s="6">
        <v>41.0</v>
      </c>
      <c r="F41" s="6" t="s">
        <v>151</v>
      </c>
      <c r="G41" s="6" t="s">
        <v>26</v>
      </c>
      <c r="I41" s="6" t="s">
        <v>2672</v>
      </c>
      <c r="J41" s="6">
        <v>0.0</v>
      </c>
      <c r="L41" s="6">
        <v>380000.0</v>
      </c>
      <c r="M41" s="6" t="s">
        <v>2714</v>
      </c>
      <c r="N41" s="6" t="s">
        <v>2626</v>
      </c>
      <c r="O41" s="6" t="s">
        <v>2626</v>
      </c>
    </row>
    <row r="42">
      <c r="A42" s="6" t="s">
        <v>156</v>
      </c>
      <c r="B42" s="6" t="s">
        <v>156</v>
      </c>
      <c r="C42" s="6" t="s">
        <v>2715</v>
      </c>
      <c r="D42" s="6">
        <v>42.0</v>
      </c>
      <c r="F42" s="6" t="s">
        <v>154</v>
      </c>
      <c r="G42" s="6" t="s">
        <v>26</v>
      </c>
      <c r="I42" s="6" t="s">
        <v>2672</v>
      </c>
      <c r="J42" s="6">
        <v>0.0</v>
      </c>
      <c r="L42" s="6">
        <v>10000.0</v>
      </c>
      <c r="M42" s="6" t="s">
        <v>2716</v>
      </c>
      <c r="N42" s="6" t="s">
        <v>2626</v>
      </c>
      <c r="O42" s="6" t="s">
        <v>2626</v>
      </c>
    </row>
    <row r="43">
      <c r="A43" s="6" t="s">
        <v>159</v>
      </c>
      <c r="B43" s="6" t="s">
        <v>159</v>
      </c>
      <c r="C43" s="6" t="s">
        <v>2717</v>
      </c>
      <c r="D43" s="6">
        <v>43.0</v>
      </c>
      <c r="F43" s="6" t="s">
        <v>157</v>
      </c>
      <c r="G43" s="6" t="s">
        <v>26</v>
      </c>
      <c r="I43" s="6" t="s">
        <v>2672</v>
      </c>
      <c r="J43" s="6">
        <v>0.0</v>
      </c>
      <c r="L43" s="6">
        <v>290000.0</v>
      </c>
      <c r="M43" s="6" t="s">
        <v>2718</v>
      </c>
      <c r="N43" s="6" t="s">
        <v>2626</v>
      </c>
      <c r="O43" s="6" t="s">
        <v>2626</v>
      </c>
    </row>
    <row r="44">
      <c r="A44" s="6" t="s">
        <v>162</v>
      </c>
      <c r="B44" s="6" t="s">
        <v>162</v>
      </c>
      <c r="C44" s="6" t="s">
        <v>2719</v>
      </c>
      <c r="D44" s="6">
        <v>44.0</v>
      </c>
      <c r="F44" s="6" t="s">
        <v>160</v>
      </c>
      <c r="G44" s="6" t="s">
        <v>26</v>
      </c>
      <c r="I44" s="6" t="s">
        <v>2672</v>
      </c>
      <c r="J44" s="6">
        <v>0.0</v>
      </c>
      <c r="L44" s="6">
        <v>3000.0</v>
      </c>
      <c r="M44" s="6" t="s">
        <v>2720</v>
      </c>
      <c r="N44" s="6" t="s">
        <v>2626</v>
      </c>
      <c r="O44" s="6" t="s">
        <v>2626</v>
      </c>
    </row>
    <row r="45">
      <c r="A45" s="6" t="s">
        <v>165</v>
      </c>
      <c r="B45" s="6" t="s">
        <v>165</v>
      </c>
      <c r="C45" s="6" t="s">
        <v>2721</v>
      </c>
      <c r="D45" s="6">
        <v>45.0</v>
      </c>
      <c r="F45" s="6" t="s">
        <v>163</v>
      </c>
      <c r="G45" s="6" t="s">
        <v>26</v>
      </c>
      <c r="I45" s="6" t="s">
        <v>2672</v>
      </c>
      <c r="J45" s="6">
        <v>0.0</v>
      </c>
      <c r="L45" s="6">
        <v>35000.0</v>
      </c>
      <c r="M45" s="6" t="s">
        <v>2722</v>
      </c>
      <c r="N45" s="6" t="s">
        <v>2626</v>
      </c>
      <c r="O45" s="6" t="s">
        <v>2626</v>
      </c>
    </row>
    <row r="46">
      <c r="A46" s="6" t="s">
        <v>167</v>
      </c>
      <c r="B46" s="6" t="s">
        <v>167</v>
      </c>
      <c r="C46" s="6" t="s">
        <v>2723</v>
      </c>
      <c r="D46" s="6">
        <v>46.0</v>
      </c>
      <c r="F46" s="6" t="s">
        <v>108</v>
      </c>
      <c r="G46" s="6" t="s">
        <v>26</v>
      </c>
      <c r="I46" s="6" t="s">
        <v>2724</v>
      </c>
      <c r="J46" s="6">
        <v>0.0</v>
      </c>
      <c r="L46" s="6">
        <v>40000.0</v>
      </c>
      <c r="M46" s="6" t="s">
        <v>2725</v>
      </c>
      <c r="N46" s="6" t="s">
        <v>2626</v>
      </c>
      <c r="O46" s="6" t="s">
        <v>2626</v>
      </c>
    </row>
    <row r="47">
      <c r="A47" s="6" t="s">
        <v>168</v>
      </c>
      <c r="B47" s="6" t="s">
        <v>168</v>
      </c>
      <c r="C47" s="6" t="s">
        <v>2726</v>
      </c>
      <c r="D47" s="6">
        <v>47.0</v>
      </c>
      <c r="F47" s="6" t="s">
        <v>108</v>
      </c>
      <c r="G47" s="6" t="s">
        <v>26</v>
      </c>
      <c r="I47" s="6" t="s">
        <v>2727</v>
      </c>
      <c r="J47" s="6">
        <v>0.0</v>
      </c>
      <c r="L47" s="6">
        <v>16250.0</v>
      </c>
      <c r="M47" s="6" t="s">
        <v>2728</v>
      </c>
      <c r="N47" s="6" t="s">
        <v>2626</v>
      </c>
      <c r="O47" s="6" t="s">
        <v>2626</v>
      </c>
    </row>
    <row r="48">
      <c r="A48" s="6" t="s">
        <v>169</v>
      </c>
      <c r="B48" s="6" t="s">
        <v>169</v>
      </c>
      <c r="C48" s="6" t="s">
        <v>2729</v>
      </c>
      <c r="D48" s="6">
        <v>48.0</v>
      </c>
      <c r="E48" s="6" t="s">
        <v>140</v>
      </c>
      <c r="F48" s="6" t="s">
        <v>140</v>
      </c>
      <c r="G48" s="6" t="s">
        <v>140</v>
      </c>
      <c r="J48" s="6">
        <v>0.0</v>
      </c>
      <c r="L48" s="6">
        <v>0.0</v>
      </c>
      <c r="M48" s="6" t="s">
        <v>2730</v>
      </c>
      <c r="N48" s="6" t="s">
        <v>2626</v>
      </c>
      <c r="O48" s="6" t="s">
        <v>2626</v>
      </c>
    </row>
    <row r="49">
      <c r="A49" s="6" t="s">
        <v>172</v>
      </c>
      <c r="B49" s="6" t="s">
        <v>172</v>
      </c>
      <c r="C49" s="6" t="s">
        <v>2731</v>
      </c>
      <c r="D49" s="6">
        <v>49.0</v>
      </c>
      <c r="F49" s="6" t="s">
        <v>170</v>
      </c>
      <c r="G49" s="6" t="s">
        <v>103</v>
      </c>
      <c r="J49" s="6">
        <v>0.0</v>
      </c>
      <c r="L49" s="6">
        <v>0.0</v>
      </c>
      <c r="M49" s="6" t="s">
        <v>2732</v>
      </c>
      <c r="N49" s="6" t="s">
        <v>2626</v>
      </c>
      <c r="O49" s="6" t="s">
        <v>2626</v>
      </c>
    </row>
    <row r="50">
      <c r="A50" s="6" t="s">
        <v>176</v>
      </c>
      <c r="B50" s="6" t="s">
        <v>176</v>
      </c>
      <c r="C50" s="6" t="s">
        <v>2733</v>
      </c>
      <c r="D50" s="6">
        <v>50.0</v>
      </c>
      <c r="F50" s="6" t="s">
        <v>173</v>
      </c>
      <c r="G50" s="6" t="s">
        <v>121</v>
      </c>
      <c r="J50" s="6">
        <v>0.0</v>
      </c>
      <c r="L50" s="6">
        <v>0.0</v>
      </c>
      <c r="M50" s="6" t="s">
        <v>2734</v>
      </c>
      <c r="N50" s="6" t="s">
        <v>2626</v>
      </c>
      <c r="O50" s="6" t="s">
        <v>2626</v>
      </c>
    </row>
    <row r="51">
      <c r="A51" s="6" t="s">
        <v>178</v>
      </c>
      <c r="B51" s="6" t="s">
        <v>178</v>
      </c>
      <c r="C51" s="6" t="s">
        <v>2735</v>
      </c>
      <c r="D51" s="6">
        <v>51.0</v>
      </c>
      <c r="F51" s="6" t="s">
        <v>18</v>
      </c>
      <c r="G51" s="6" t="s">
        <v>26</v>
      </c>
      <c r="I51" s="6" t="s">
        <v>2736</v>
      </c>
      <c r="J51" s="6">
        <v>0.0</v>
      </c>
      <c r="L51" s="6">
        <v>2500.0</v>
      </c>
      <c r="M51" s="6" t="s">
        <v>2737</v>
      </c>
      <c r="N51" s="6" t="s">
        <v>2626</v>
      </c>
      <c r="O51" s="6" t="s">
        <v>2626</v>
      </c>
    </row>
    <row r="52">
      <c r="A52" s="6" t="s">
        <v>180</v>
      </c>
      <c r="B52" s="6" t="s">
        <v>180</v>
      </c>
      <c r="C52" s="6" t="s">
        <v>2738</v>
      </c>
      <c r="D52" s="6">
        <v>52.0</v>
      </c>
      <c r="F52" s="6" t="s">
        <v>89</v>
      </c>
      <c r="G52" s="6" t="s">
        <v>26</v>
      </c>
      <c r="I52" s="6" t="s">
        <v>2736</v>
      </c>
      <c r="J52" s="6">
        <v>0.0</v>
      </c>
      <c r="L52" s="6">
        <v>2500.0</v>
      </c>
      <c r="M52" s="6" t="s">
        <v>2739</v>
      </c>
      <c r="N52" s="6" t="s">
        <v>2626</v>
      </c>
      <c r="O52" s="6" t="s">
        <v>2626</v>
      </c>
    </row>
    <row r="53">
      <c r="A53" s="6" t="s">
        <v>182</v>
      </c>
      <c r="B53" s="6" t="s">
        <v>182</v>
      </c>
      <c r="C53" s="6" t="s">
        <v>2740</v>
      </c>
      <c r="D53" s="6">
        <v>53.0</v>
      </c>
      <c r="F53" s="6" t="s">
        <v>60</v>
      </c>
      <c r="G53" s="6" t="s">
        <v>26</v>
      </c>
      <c r="I53" s="6" t="s">
        <v>2736</v>
      </c>
      <c r="J53" s="6">
        <v>0.0</v>
      </c>
      <c r="L53" s="6">
        <v>5000.0</v>
      </c>
      <c r="M53" s="6" t="s">
        <v>2741</v>
      </c>
      <c r="N53" s="6" t="s">
        <v>2626</v>
      </c>
      <c r="O53" s="6" t="s">
        <v>2626</v>
      </c>
    </row>
    <row r="54">
      <c r="A54" s="6" t="s">
        <v>185</v>
      </c>
      <c r="B54" s="6" t="s">
        <v>185</v>
      </c>
      <c r="C54" s="6" t="s">
        <v>2742</v>
      </c>
      <c r="D54" s="6">
        <v>54.0</v>
      </c>
      <c r="F54" s="6" t="s">
        <v>183</v>
      </c>
      <c r="G54" s="6" t="s">
        <v>26</v>
      </c>
      <c r="I54" s="6" t="s">
        <v>2736</v>
      </c>
      <c r="J54" s="6">
        <v>0.0</v>
      </c>
      <c r="L54" s="6">
        <v>360000.0</v>
      </c>
      <c r="M54" s="6" t="s">
        <v>2743</v>
      </c>
      <c r="N54" s="6" t="s">
        <v>2626</v>
      </c>
      <c r="O54" s="6" t="s">
        <v>2626</v>
      </c>
    </row>
    <row r="55">
      <c r="A55" s="6" t="s">
        <v>188</v>
      </c>
      <c r="B55" s="6" t="s">
        <v>188</v>
      </c>
      <c r="C55" s="6" t="s">
        <v>2744</v>
      </c>
      <c r="D55" s="6">
        <v>55.0</v>
      </c>
      <c r="F55" s="6" t="s">
        <v>186</v>
      </c>
      <c r="G55" s="6" t="s">
        <v>26</v>
      </c>
      <c r="I55" s="6" t="s">
        <v>2736</v>
      </c>
      <c r="J55" s="6">
        <v>0.0</v>
      </c>
      <c r="L55" s="6">
        <v>5000.0</v>
      </c>
      <c r="M55" s="6" t="s">
        <v>2745</v>
      </c>
      <c r="N55" s="6" t="s">
        <v>2626</v>
      </c>
      <c r="O55" s="6" t="s">
        <v>2626</v>
      </c>
    </row>
    <row r="56">
      <c r="A56" s="6" t="s">
        <v>191</v>
      </c>
      <c r="B56" s="6" t="s">
        <v>191</v>
      </c>
      <c r="C56" s="6" t="s">
        <v>2746</v>
      </c>
      <c r="D56" s="6">
        <v>56.0</v>
      </c>
      <c r="F56" s="6" t="s">
        <v>189</v>
      </c>
      <c r="G56" s="6" t="s">
        <v>26</v>
      </c>
      <c r="I56" s="6" t="s">
        <v>2736</v>
      </c>
      <c r="J56" s="6">
        <v>0.0</v>
      </c>
      <c r="L56" s="6">
        <v>830000.0</v>
      </c>
      <c r="M56" s="6" t="s">
        <v>2747</v>
      </c>
      <c r="N56" s="6" t="s">
        <v>2626</v>
      </c>
      <c r="O56" s="6" t="s">
        <v>2626</v>
      </c>
    </row>
    <row r="57">
      <c r="A57" s="6" t="s">
        <v>194</v>
      </c>
      <c r="B57" s="6" t="s">
        <v>194</v>
      </c>
      <c r="C57" s="6" t="s">
        <v>2748</v>
      </c>
      <c r="D57" s="6">
        <v>57.0</v>
      </c>
      <c r="F57" s="6" t="s">
        <v>192</v>
      </c>
      <c r="G57" s="6" t="s">
        <v>26</v>
      </c>
      <c r="I57" s="6" t="s">
        <v>2736</v>
      </c>
      <c r="J57" s="6">
        <v>0.0</v>
      </c>
      <c r="L57" s="6">
        <v>400000.0</v>
      </c>
      <c r="M57" s="6" t="s">
        <v>2749</v>
      </c>
      <c r="N57" s="6" t="s">
        <v>2626</v>
      </c>
      <c r="O57" s="6" t="s">
        <v>2626</v>
      </c>
    </row>
    <row r="58">
      <c r="A58" s="6" t="s">
        <v>196</v>
      </c>
      <c r="B58" s="6" t="s">
        <v>196</v>
      </c>
      <c r="C58" s="6" t="s">
        <v>2750</v>
      </c>
      <c r="D58" s="6">
        <v>58.0</v>
      </c>
      <c r="E58" s="6" t="s">
        <v>195</v>
      </c>
      <c r="F58" s="6" t="s">
        <v>140</v>
      </c>
      <c r="G58" s="6" t="s">
        <v>140</v>
      </c>
      <c r="J58" s="6">
        <v>0.0</v>
      </c>
      <c r="L58" s="6">
        <v>0.0</v>
      </c>
      <c r="M58" s="6" t="s">
        <v>2751</v>
      </c>
      <c r="N58" s="6" t="s">
        <v>2626</v>
      </c>
      <c r="O58" s="6" t="s">
        <v>2626</v>
      </c>
    </row>
    <row r="59">
      <c r="A59" s="6" t="s">
        <v>197</v>
      </c>
      <c r="B59" s="6" t="s">
        <v>197</v>
      </c>
      <c r="C59" s="6" t="s">
        <v>2752</v>
      </c>
      <c r="D59" s="6">
        <v>59.0</v>
      </c>
      <c r="E59" s="6" t="s">
        <v>195</v>
      </c>
      <c r="F59" s="6" t="s">
        <v>140</v>
      </c>
      <c r="G59" s="6" t="s">
        <v>140</v>
      </c>
      <c r="J59" s="6">
        <v>0.0</v>
      </c>
      <c r="L59" s="6">
        <v>0.0</v>
      </c>
      <c r="M59" s="6" t="s">
        <v>2753</v>
      </c>
      <c r="N59" s="6" t="s">
        <v>2626</v>
      </c>
      <c r="O59" s="6" t="s">
        <v>2626</v>
      </c>
    </row>
    <row r="60">
      <c r="A60" s="6" t="s">
        <v>201</v>
      </c>
      <c r="B60" s="6" t="s">
        <v>201</v>
      </c>
      <c r="C60" s="6" t="s">
        <v>2754</v>
      </c>
      <c r="D60" s="6">
        <v>60.0</v>
      </c>
      <c r="F60" s="6" t="s">
        <v>198</v>
      </c>
      <c r="G60" s="6" t="s">
        <v>26</v>
      </c>
      <c r="I60" s="6" t="s">
        <v>2755</v>
      </c>
      <c r="J60" s="6">
        <v>0.0</v>
      </c>
      <c r="L60" s="6">
        <v>2500.0</v>
      </c>
      <c r="M60" s="6" t="s">
        <v>2756</v>
      </c>
      <c r="N60" s="6" t="s">
        <v>2626</v>
      </c>
      <c r="O60" s="6" t="s">
        <v>2626</v>
      </c>
    </row>
    <row r="61">
      <c r="A61" s="6" t="s">
        <v>204</v>
      </c>
      <c r="B61" s="6" t="s">
        <v>204</v>
      </c>
      <c r="C61" s="6" t="s">
        <v>2757</v>
      </c>
      <c r="D61" s="6">
        <v>61.0</v>
      </c>
      <c r="F61" s="6" t="s">
        <v>202</v>
      </c>
      <c r="G61" s="6" t="s">
        <v>26</v>
      </c>
      <c r="I61" s="6" t="s">
        <v>2755</v>
      </c>
      <c r="J61" s="6">
        <v>0.0</v>
      </c>
      <c r="L61" s="6">
        <v>265000.0</v>
      </c>
      <c r="M61" s="6" t="s">
        <v>2758</v>
      </c>
      <c r="N61" s="6" t="s">
        <v>2626</v>
      </c>
      <c r="O61" s="6" t="s">
        <v>2626</v>
      </c>
    </row>
    <row r="62">
      <c r="A62" s="6" t="s">
        <v>207</v>
      </c>
      <c r="B62" s="6" t="s">
        <v>207</v>
      </c>
      <c r="C62" s="6" t="s">
        <v>2759</v>
      </c>
      <c r="D62" s="6">
        <v>62.0</v>
      </c>
      <c r="F62" s="6" t="s">
        <v>205</v>
      </c>
      <c r="G62" s="6" t="s">
        <v>26</v>
      </c>
      <c r="I62" s="6" t="s">
        <v>2755</v>
      </c>
      <c r="J62" s="6">
        <v>0.0</v>
      </c>
      <c r="L62" s="6">
        <v>5000.0</v>
      </c>
      <c r="M62" s="6" t="s">
        <v>2760</v>
      </c>
      <c r="N62" s="6" t="s">
        <v>2626</v>
      </c>
      <c r="O62" s="6" t="s">
        <v>2626</v>
      </c>
    </row>
    <row r="63">
      <c r="A63" s="6" t="s">
        <v>211</v>
      </c>
      <c r="B63" s="6" t="s">
        <v>211</v>
      </c>
      <c r="C63" s="6" t="s">
        <v>2761</v>
      </c>
      <c r="D63" s="6">
        <v>63.0</v>
      </c>
      <c r="F63" s="6" t="s">
        <v>442</v>
      </c>
      <c r="G63" s="6" t="s">
        <v>26</v>
      </c>
      <c r="I63" s="6" t="s">
        <v>2755</v>
      </c>
      <c r="J63" s="6">
        <v>0.0</v>
      </c>
      <c r="L63" s="6">
        <v>2500.0</v>
      </c>
      <c r="M63" s="6" t="s">
        <v>2762</v>
      </c>
      <c r="N63" s="6" t="s">
        <v>2626</v>
      </c>
      <c r="O63" s="6" t="s">
        <v>2626</v>
      </c>
    </row>
    <row r="64">
      <c r="A64" s="6" t="s">
        <v>215</v>
      </c>
      <c r="B64" s="6" t="s">
        <v>215</v>
      </c>
      <c r="C64" s="6" t="s">
        <v>2763</v>
      </c>
      <c r="D64" s="6">
        <v>64.0</v>
      </c>
      <c r="F64" s="6" t="s">
        <v>212</v>
      </c>
      <c r="G64" s="6" t="s">
        <v>26</v>
      </c>
      <c r="I64" s="6" t="s">
        <v>2755</v>
      </c>
      <c r="J64" s="6">
        <v>0.0</v>
      </c>
      <c r="L64" s="6">
        <v>2500.0</v>
      </c>
      <c r="M64" s="6" t="s">
        <v>2764</v>
      </c>
      <c r="N64" s="6" t="s">
        <v>2626</v>
      </c>
      <c r="O64" s="6" t="s">
        <v>2626</v>
      </c>
    </row>
    <row r="65">
      <c r="A65" s="6" t="s">
        <v>218</v>
      </c>
      <c r="B65" s="6" t="s">
        <v>218</v>
      </c>
      <c r="C65" s="6" t="s">
        <v>2765</v>
      </c>
      <c r="D65" s="6">
        <v>65.0</v>
      </c>
      <c r="F65" s="6" t="s">
        <v>216</v>
      </c>
      <c r="G65" s="6" t="s">
        <v>26</v>
      </c>
      <c r="I65" s="6" t="s">
        <v>2755</v>
      </c>
      <c r="J65" s="6">
        <v>0.0</v>
      </c>
      <c r="L65" s="6">
        <v>368000.0</v>
      </c>
      <c r="M65" s="6" t="s">
        <v>2766</v>
      </c>
      <c r="N65" s="6" t="s">
        <v>2626</v>
      </c>
      <c r="O65" s="6" t="s">
        <v>2626</v>
      </c>
    </row>
    <row r="66">
      <c r="A66" s="6" t="s">
        <v>220</v>
      </c>
      <c r="B66" s="6" t="s">
        <v>220</v>
      </c>
      <c r="C66" s="6" t="s">
        <v>2767</v>
      </c>
      <c r="D66" s="6">
        <v>66.0</v>
      </c>
      <c r="F66" s="6" t="s">
        <v>442</v>
      </c>
      <c r="G66" s="6" t="s">
        <v>26</v>
      </c>
      <c r="I66" s="6" t="s">
        <v>2755</v>
      </c>
      <c r="J66" s="6">
        <v>0.0</v>
      </c>
      <c r="L66" s="6">
        <v>2500.0</v>
      </c>
      <c r="M66" s="6" t="s">
        <v>2768</v>
      </c>
      <c r="N66" s="6" t="s">
        <v>2626</v>
      </c>
      <c r="O66" s="6" t="s">
        <v>2626</v>
      </c>
    </row>
    <row r="67">
      <c r="A67" s="6" t="s">
        <v>224</v>
      </c>
      <c r="B67" s="6" t="s">
        <v>224</v>
      </c>
      <c r="C67" s="6" t="s">
        <v>2769</v>
      </c>
      <c r="D67" s="6">
        <v>67.0</v>
      </c>
      <c r="F67" s="6" t="s">
        <v>221</v>
      </c>
      <c r="G67" s="6" t="s">
        <v>26</v>
      </c>
      <c r="I67" s="6" t="s">
        <v>2755</v>
      </c>
      <c r="J67" s="6">
        <v>0.0</v>
      </c>
      <c r="L67" s="6">
        <v>2500.0</v>
      </c>
      <c r="M67" s="6" t="s">
        <v>2770</v>
      </c>
      <c r="N67" s="6" t="s">
        <v>2626</v>
      </c>
      <c r="O67" s="6" t="s">
        <v>2626</v>
      </c>
    </row>
    <row r="68">
      <c r="A68" s="6" t="s">
        <v>226</v>
      </c>
      <c r="B68" s="6" t="s">
        <v>226</v>
      </c>
      <c r="C68" s="6" t="s">
        <v>2771</v>
      </c>
      <c r="D68" s="6">
        <v>68.0</v>
      </c>
      <c r="F68" s="6" t="s">
        <v>221</v>
      </c>
      <c r="G68" s="6" t="s">
        <v>26</v>
      </c>
      <c r="I68" s="6" t="s">
        <v>2682</v>
      </c>
      <c r="J68" s="6">
        <v>0.0</v>
      </c>
      <c r="L68" s="6">
        <v>2500.0</v>
      </c>
      <c r="M68" s="6" t="s">
        <v>2772</v>
      </c>
      <c r="N68" s="6" t="s">
        <v>2626</v>
      </c>
      <c r="O68" s="6" t="s">
        <v>2626</v>
      </c>
    </row>
    <row r="69">
      <c r="A69" s="6" t="s">
        <v>229</v>
      </c>
      <c r="B69" s="6" t="s">
        <v>229</v>
      </c>
      <c r="C69" s="6" t="s">
        <v>2773</v>
      </c>
      <c r="D69" s="6">
        <v>69.0</v>
      </c>
      <c r="F69" s="6" t="s">
        <v>227</v>
      </c>
      <c r="G69" s="6" t="s">
        <v>26</v>
      </c>
      <c r="I69" s="6" t="s">
        <v>2755</v>
      </c>
      <c r="J69" s="6">
        <v>0.0</v>
      </c>
      <c r="L69" s="6">
        <v>10000.0</v>
      </c>
      <c r="M69" s="6" t="s">
        <v>2774</v>
      </c>
      <c r="N69" s="6" t="s">
        <v>2626</v>
      </c>
      <c r="O69" s="6" t="s">
        <v>2626</v>
      </c>
    </row>
    <row r="70">
      <c r="A70" s="6" t="s">
        <v>232</v>
      </c>
      <c r="B70" s="6" t="s">
        <v>232</v>
      </c>
      <c r="C70" s="6" t="s">
        <v>2775</v>
      </c>
      <c r="D70" s="6">
        <v>70.0</v>
      </c>
      <c r="F70" s="6" t="s">
        <v>230</v>
      </c>
      <c r="G70" s="6" t="s">
        <v>26</v>
      </c>
      <c r="I70" s="6" t="s">
        <v>2755</v>
      </c>
      <c r="J70" s="6">
        <v>0.0</v>
      </c>
      <c r="L70" s="6">
        <v>5000.0</v>
      </c>
      <c r="M70" s="6" t="s">
        <v>2776</v>
      </c>
      <c r="N70" s="6" t="s">
        <v>2626</v>
      </c>
      <c r="O70" s="6" t="s">
        <v>2626</v>
      </c>
    </row>
    <row r="71">
      <c r="A71" s="6" t="s">
        <v>235</v>
      </c>
      <c r="B71" s="6" t="s">
        <v>235</v>
      </c>
      <c r="C71" s="6" t="s">
        <v>2777</v>
      </c>
      <c r="D71" s="6">
        <v>71.0</v>
      </c>
      <c r="F71" s="6" t="s">
        <v>233</v>
      </c>
      <c r="G71" s="6" t="s">
        <v>26</v>
      </c>
      <c r="I71" s="6" t="s">
        <v>2755</v>
      </c>
      <c r="J71" s="6">
        <v>0.0</v>
      </c>
      <c r="L71" s="6">
        <v>15000.0</v>
      </c>
      <c r="M71" s="6" t="s">
        <v>2778</v>
      </c>
      <c r="N71" s="6" t="s">
        <v>2626</v>
      </c>
      <c r="O71" s="6" t="s">
        <v>2626</v>
      </c>
    </row>
    <row r="72">
      <c r="A72" s="6" t="s">
        <v>238</v>
      </c>
      <c r="B72" s="6" t="s">
        <v>238</v>
      </c>
      <c r="C72" s="6" t="s">
        <v>2779</v>
      </c>
      <c r="D72" s="6">
        <v>72.0</v>
      </c>
      <c r="F72" s="6" t="s">
        <v>236</v>
      </c>
      <c r="G72" s="6" t="s">
        <v>26</v>
      </c>
      <c r="I72" s="6" t="s">
        <v>2755</v>
      </c>
      <c r="J72" s="6">
        <v>0.0</v>
      </c>
      <c r="L72" s="6">
        <v>2500.0</v>
      </c>
      <c r="M72" s="6" t="s">
        <v>2780</v>
      </c>
      <c r="N72" s="6" t="s">
        <v>2626</v>
      </c>
      <c r="O72" s="6" t="s">
        <v>2626</v>
      </c>
    </row>
    <row r="73">
      <c r="A73" s="6" t="s">
        <v>241</v>
      </c>
      <c r="B73" s="6" t="s">
        <v>241</v>
      </c>
      <c r="C73" s="6" t="s">
        <v>2781</v>
      </c>
      <c r="D73" s="6">
        <v>73.0</v>
      </c>
      <c r="F73" s="6" t="s">
        <v>239</v>
      </c>
      <c r="G73" s="6" t="s">
        <v>26</v>
      </c>
      <c r="I73" s="6" t="s">
        <v>2755</v>
      </c>
      <c r="J73" s="6">
        <v>0.0</v>
      </c>
      <c r="L73" s="6">
        <v>25000.0</v>
      </c>
      <c r="M73" s="6" t="s">
        <v>2782</v>
      </c>
      <c r="N73" s="6" t="s">
        <v>2626</v>
      </c>
      <c r="O73" s="6" t="s">
        <v>2626</v>
      </c>
    </row>
    <row r="74">
      <c r="A74" s="6" t="s">
        <v>244</v>
      </c>
      <c r="B74" s="6" t="s">
        <v>244</v>
      </c>
      <c r="C74" s="6" t="s">
        <v>2783</v>
      </c>
      <c r="D74" s="6">
        <v>74.0</v>
      </c>
      <c r="F74" s="6" t="s">
        <v>242</v>
      </c>
      <c r="G74" s="6" t="s">
        <v>26</v>
      </c>
      <c r="I74" s="6" t="s">
        <v>2755</v>
      </c>
      <c r="J74" s="6">
        <v>0.0</v>
      </c>
      <c r="L74" s="6">
        <v>2500.0</v>
      </c>
      <c r="M74" s="6" t="s">
        <v>2784</v>
      </c>
      <c r="N74" s="6" t="s">
        <v>2626</v>
      </c>
      <c r="O74" s="6" t="s">
        <v>2626</v>
      </c>
    </row>
    <row r="75">
      <c r="A75" s="6" t="s">
        <v>247</v>
      </c>
      <c r="B75" s="6" t="s">
        <v>247</v>
      </c>
      <c r="C75" s="6" t="s">
        <v>2785</v>
      </c>
      <c r="D75" s="6">
        <v>75.0</v>
      </c>
      <c r="F75" s="6" t="s">
        <v>245</v>
      </c>
      <c r="G75" s="6" t="s">
        <v>26</v>
      </c>
      <c r="I75" s="6" t="s">
        <v>2755</v>
      </c>
      <c r="J75" s="6">
        <v>0.0</v>
      </c>
      <c r="L75" s="6">
        <v>5000.0</v>
      </c>
      <c r="M75" s="6" t="s">
        <v>2786</v>
      </c>
      <c r="N75" s="6" t="s">
        <v>2626</v>
      </c>
      <c r="O75" s="6" t="s">
        <v>2626</v>
      </c>
    </row>
    <row r="76">
      <c r="A76" s="6" t="s">
        <v>251</v>
      </c>
      <c r="B76" s="6" t="s">
        <v>251</v>
      </c>
      <c r="C76" s="6" t="s">
        <v>2787</v>
      </c>
      <c r="D76" s="6">
        <v>76.0</v>
      </c>
      <c r="F76" s="6" t="s">
        <v>248</v>
      </c>
      <c r="G76" s="6" t="s">
        <v>26</v>
      </c>
      <c r="I76" s="6" t="s">
        <v>2755</v>
      </c>
      <c r="J76" s="6">
        <v>0.0</v>
      </c>
      <c r="L76" s="6">
        <v>25000.0</v>
      </c>
      <c r="M76" s="6" t="s">
        <v>2788</v>
      </c>
      <c r="N76" s="6" t="s">
        <v>2626</v>
      </c>
      <c r="O76" s="6" t="s">
        <v>2626</v>
      </c>
    </row>
    <row r="77">
      <c r="A77" s="6" t="s">
        <v>253</v>
      </c>
      <c r="B77" s="6" t="s">
        <v>253</v>
      </c>
      <c r="C77" s="6" t="s">
        <v>2789</v>
      </c>
      <c r="D77" s="6">
        <v>77.0</v>
      </c>
      <c r="F77" s="6" t="s">
        <v>18</v>
      </c>
      <c r="G77" s="6" t="s">
        <v>26</v>
      </c>
      <c r="I77" s="6" t="s">
        <v>2755</v>
      </c>
      <c r="J77" s="6">
        <v>0.0</v>
      </c>
      <c r="L77" s="6">
        <v>2500.0</v>
      </c>
      <c r="M77" s="6" t="s">
        <v>2790</v>
      </c>
      <c r="N77" s="6" t="s">
        <v>2626</v>
      </c>
      <c r="O77" s="6" t="s">
        <v>2626</v>
      </c>
    </row>
    <row r="78">
      <c r="A78" s="6" t="s">
        <v>257</v>
      </c>
      <c r="B78" s="6" t="s">
        <v>257</v>
      </c>
      <c r="C78" s="6" t="s">
        <v>2791</v>
      </c>
      <c r="D78" s="6">
        <v>78.0</v>
      </c>
      <c r="F78" s="6" t="s">
        <v>254</v>
      </c>
      <c r="G78" s="6" t="s">
        <v>26</v>
      </c>
      <c r="I78" s="6" t="s">
        <v>2755</v>
      </c>
      <c r="J78" s="6">
        <v>0.0</v>
      </c>
      <c r="L78" s="6">
        <v>5000.0</v>
      </c>
      <c r="M78" s="6" t="s">
        <v>2792</v>
      </c>
      <c r="N78" s="6" t="s">
        <v>2626</v>
      </c>
      <c r="O78" s="6" t="s">
        <v>2626</v>
      </c>
    </row>
    <row r="79">
      <c r="A79" s="6" t="s">
        <v>260</v>
      </c>
      <c r="B79" s="6" t="s">
        <v>260</v>
      </c>
      <c r="C79" s="6" t="s">
        <v>2793</v>
      </c>
      <c r="D79" s="6">
        <v>79.0</v>
      </c>
      <c r="F79" s="6" t="s">
        <v>258</v>
      </c>
      <c r="G79" s="6" t="s">
        <v>26</v>
      </c>
      <c r="I79" s="6" t="s">
        <v>2755</v>
      </c>
      <c r="J79" s="6">
        <v>0.0</v>
      </c>
      <c r="L79" s="6">
        <v>15000.0</v>
      </c>
      <c r="M79" s="6" t="s">
        <v>2794</v>
      </c>
      <c r="N79" s="6" t="s">
        <v>2626</v>
      </c>
      <c r="O79" s="6" t="s">
        <v>2626</v>
      </c>
    </row>
    <row r="80">
      <c r="A80" s="6" t="s">
        <v>261</v>
      </c>
      <c r="B80" s="6" t="s">
        <v>261</v>
      </c>
      <c r="C80" s="6" t="s">
        <v>2795</v>
      </c>
      <c r="D80" s="6">
        <v>80.0</v>
      </c>
      <c r="E80" s="6" t="s">
        <v>140</v>
      </c>
      <c r="F80" s="6" t="s">
        <v>140</v>
      </c>
      <c r="G80" s="6" t="s">
        <v>140</v>
      </c>
      <c r="J80" s="6">
        <v>0.0</v>
      </c>
      <c r="L80" s="6">
        <v>0.0</v>
      </c>
      <c r="M80" s="6" t="s">
        <v>2796</v>
      </c>
      <c r="N80" s="6" t="s">
        <v>2626</v>
      </c>
      <c r="O80" s="6" t="s">
        <v>2626</v>
      </c>
    </row>
    <row r="81">
      <c r="A81" s="6" t="s">
        <v>262</v>
      </c>
      <c r="B81" s="6" t="s">
        <v>262</v>
      </c>
      <c r="C81" s="6" t="s">
        <v>2797</v>
      </c>
      <c r="D81" s="6">
        <v>81.0</v>
      </c>
      <c r="E81" s="6" t="s">
        <v>140</v>
      </c>
      <c r="F81" s="6" t="s">
        <v>140</v>
      </c>
      <c r="G81" s="6" t="s">
        <v>140</v>
      </c>
      <c r="J81" s="6">
        <v>0.0</v>
      </c>
      <c r="L81" s="6">
        <v>0.0</v>
      </c>
      <c r="M81" s="6" t="s">
        <v>2798</v>
      </c>
      <c r="N81" s="6" t="s">
        <v>2626</v>
      </c>
      <c r="O81" s="6" t="s">
        <v>2626</v>
      </c>
    </row>
    <row r="82">
      <c r="A82" s="6" t="s">
        <v>264</v>
      </c>
      <c r="B82" s="6" t="s">
        <v>264</v>
      </c>
      <c r="C82" s="6" t="s">
        <v>2799</v>
      </c>
      <c r="D82" s="6">
        <v>82.0</v>
      </c>
      <c r="F82" s="6" t="s">
        <v>89</v>
      </c>
      <c r="G82" s="6" t="s">
        <v>26</v>
      </c>
      <c r="I82" s="6" t="s">
        <v>2800</v>
      </c>
      <c r="J82" s="6">
        <v>0.0</v>
      </c>
      <c r="L82" s="6">
        <v>2500.0</v>
      </c>
      <c r="M82" s="6" t="s">
        <v>2801</v>
      </c>
      <c r="N82" s="6" t="s">
        <v>2626</v>
      </c>
      <c r="O82" s="6" t="s">
        <v>2626</v>
      </c>
    </row>
    <row r="83">
      <c r="A83" s="6" t="s">
        <v>266</v>
      </c>
      <c r="B83" s="6" t="s">
        <v>266</v>
      </c>
      <c r="C83" s="6" t="s">
        <v>2802</v>
      </c>
      <c r="D83" s="6">
        <v>83.0</v>
      </c>
      <c r="F83" s="6" t="s">
        <v>23</v>
      </c>
      <c r="G83" s="6" t="s">
        <v>26</v>
      </c>
      <c r="I83" s="6" t="s">
        <v>2800</v>
      </c>
      <c r="J83" s="6">
        <v>0.0</v>
      </c>
      <c r="L83" s="6">
        <v>2500.0</v>
      </c>
      <c r="M83" s="6" t="s">
        <v>2803</v>
      </c>
      <c r="N83" s="6" t="s">
        <v>2626</v>
      </c>
      <c r="O83" s="6" t="s">
        <v>2626</v>
      </c>
    </row>
    <row r="84">
      <c r="A84" s="6" t="s">
        <v>269</v>
      </c>
      <c r="B84" s="6" t="s">
        <v>269</v>
      </c>
      <c r="C84" s="6" t="s">
        <v>2804</v>
      </c>
      <c r="D84" s="6">
        <v>84.0</v>
      </c>
      <c r="F84" s="6" t="s">
        <v>267</v>
      </c>
      <c r="G84" s="6" t="s">
        <v>26</v>
      </c>
      <c r="I84" s="6" t="s">
        <v>2800</v>
      </c>
      <c r="J84" s="6">
        <v>0.0</v>
      </c>
      <c r="L84" s="6">
        <v>15000.0</v>
      </c>
      <c r="M84" s="6" t="s">
        <v>2805</v>
      </c>
      <c r="N84" s="6" t="s">
        <v>2626</v>
      </c>
      <c r="O84" s="6" t="s">
        <v>2626</v>
      </c>
    </row>
    <row r="85">
      <c r="A85" s="6" t="s">
        <v>271</v>
      </c>
      <c r="B85" s="6" t="s">
        <v>271</v>
      </c>
      <c r="C85" s="6" t="s">
        <v>2806</v>
      </c>
      <c r="D85" s="6">
        <v>85.0</v>
      </c>
      <c r="F85" s="6" t="s">
        <v>189</v>
      </c>
      <c r="G85" s="6" t="s">
        <v>26</v>
      </c>
      <c r="I85" s="6" t="s">
        <v>2800</v>
      </c>
      <c r="J85" s="6">
        <v>0.0</v>
      </c>
      <c r="L85" s="6">
        <v>9300000.0</v>
      </c>
      <c r="M85" s="6" t="s">
        <v>2807</v>
      </c>
      <c r="N85" s="6" t="s">
        <v>2626</v>
      </c>
      <c r="O85" s="6" t="s">
        <v>2626</v>
      </c>
    </row>
    <row r="86">
      <c r="A86" s="6" t="s">
        <v>274</v>
      </c>
      <c r="B86" s="6" t="s">
        <v>274</v>
      </c>
      <c r="C86" s="6" t="s">
        <v>2808</v>
      </c>
      <c r="D86" s="6">
        <v>86.0</v>
      </c>
      <c r="F86" s="6" t="s">
        <v>272</v>
      </c>
      <c r="G86" s="6" t="s">
        <v>26</v>
      </c>
      <c r="I86" s="6" t="s">
        <v>2800</v>
      </c>
      <c r="J86" s="6">
        <v>0.0</v>
      </c>
      <c r="L86" s="6">
        <v>2500.0</v>
      </c>
      <c r="M86" s="6" t="s">
        <v>2809</v>
      </c>
      <c r="N86" s="6" t="s">
        <v>2626</v>
      </c>
      <c r="O86" s="6" t="s">
        <v>2626</v>
      </c>
    </row>
    <row r="87">
      <c r="A87" s="6" t="s">
        <v>276</v>
      </c>
      <c r="B87" s="6" t="s">
        <v>276</v>
      </c>
      <c r="C87" s="6" t="s">
        <v>2810</v>
      </c>
      <c r="D87" s="6">
        <v>87.0</v>
      </c>
      <c r="F87" s="6" t="s">
        <v>272</v>
      </c>
      <c r="G87" s="6" t="s">
        <v>26</v>
      </c>
      <c r="I87" s="6" t="s">
        <v>2811</v>
      </c>
      <c r="J87" s="6">
        <v>0.0</v>
      </c>
      <c r="L87" s="6">
        <v>15000.0</v>
      </c>
      <c r="M87" s="6" t="s">
        <v>2812</v>
      </c>
      <c r="N87" s="6" t="s">
        <v>2626</v>
      </c>
      <c r="O87" s="6" t="s">
        <v>2626</v>
      </c>
    </row>
    <row r="88">
      <c r="A88" s="6" t="s">
        <v>278</v>
      </c>
      <c r="B88" s="6" t="s">
        <v>278</v>
      </c>
      <c r="C88" s="6" t="s">
        <v>2813</v>
      </c>
      <c r="D88" s="6">
        <v>88.0</v>
      </c>
      <c r="F88" s="6" t="s">
        <v>148</v>
      </c>
      <c r="G88" s="6" t="s">
        <v>26</v>
      </c>
      <c r="I88" s="6" t="s">
        <v>2800</v>
      </c>
      <c r="J88" s="6">
        <v>0.0</v>
      </c>
      <c r="L88" s="6">
        <v>2500.0</v>
      </c>
      <c r="M88" s="6" t="s">
        <v>2814</v>
      </c>
      <c r="N88" s="6" t="s">
        <v>2626</v>
      </c>
      <c r="O88" s="6" t="s">
        <v>2626</v>
      </c>
    </row>
    <row r="89">
      <c r="A89" s="6" t="s">
        <v>281</v>
      </c>
      <c r="B89" s="6" t="s">
        <v>281</v>
      </c>
      <c r="C89" s="6" t="s">
        <v>2815</v>
      </c>
      <c r="D89" s="6">
        <v>89.0</v>
      </c>
      <c r="F89" s="6" t="s">
        <v>279</v>
      </c>
      <c r="G89" s="6" t="s">
        <v>26</v>
      </c>
      <c r="I89" s="6" t="s">
        <v>2800</v>
      </c>
      <c r="J89" s="6">
        <v>0.0</v>
      </c>
      <c r="L89" s="6">
        <v>15000.0</v>
      </c>
      <c r="M89" s="6" t="s">
        <v>2816</v>
      </c>
      <c r="N89" s="6" t="s">
        <v>2626</v>
      </c>
      <c r="O89" s="6" t="s">
        <v>2626</v>
      </c>
    </row>
    <row r="90">
      <c r="A90" s="6" t="s">
        <v>284</v>
      </c>
      <c r="B90" s="6" t="s">
        <v>284</v>
      </c>
      <c r="C90" s="6" t="s">
        <v>2817</v>
      </c>
      <c r="D90" s="6">
        <v>90.0</v>
      </c>
      <c r="F90" s="6" t="s">
        <v>282</v>
      </c>
      <c r="G90" s="6" t="s">
        <v>26</v>
      </c>
      <c r="I90" s="6" t="s">
        <v>2800</v>
      </c>
      <c r="J90" s="6">
        <v>0.0</v>
      </c>
      <c r="L90" s="6">
        <v>2500.0</v>
      </c>
      <c r="M90" s="6" t="s">
        <v>2818</v>
      </c>
      <c r="N90" s="6" t="s">
        <v>2626</v>
      </c>
      <c r="O90" s="6" t="s">
        <v>2626</v>
      </c>
    </row>
    <row r="91">
      <c r="A91" s="6" t="s">
        <v>286</v>
      </c>
      <c r="B91" s="6" t="s">
        <v>286</v>
      </c>
      <c r="C91" s="6" t="s">
        <v>2819</v>
      </c>
      <c r="D91" s="6">
        <v>91.0</v>
      </c>
      <c r="E91" s="6" t="s">
        <v>195</v>
      </c>
      <c r="F91" s="6" t="s">
        <v>140</v>
      </c>
      <c r="G91" s="6" t="s">
        <v>140</v>
      </c>
      <c r="J91" s="6">
        <v>0.0</v>
      </c>
      <c r="L91" s="6">
        <v>0.0</v>
      </c>
      <c r="M91" s="6" t="s">
        <v>2820</v>
      </c>
      <c r="N91" s="6" t="s">
        <v>2626</v>
      </c>
      <c r="O91" s="6" t="s">
        <v>2626</v>
      </c>
    </row>
    <row r="92">
      <c r="A92" s="6" t="s">
        <v>287</v>
      </c>
      <c r="B92" s="6" t="s">
        <v>287</v>
      </c>
      <c r="C92" s="6" t="s">
        <v>2821</v>
      </c>
      <c r="D92" s="6">
        <v>92.0</v>
      </c>
      <c r="E92" s="6" t="s">
        <v>140</v>
      </c>
      <c r="F92" s="6" t="s">
        <v>140</v>
      </c>
      <c r="G92" s="6" t="s">
        <v>140</v>
      </c>
      <c r="J92" s="6">
        <v>0.0</v>
      </c>
      <c r="L92" s="6">
        <v>0.0</v>
      </c>
      <c r="M92" s="6" t="s">
        <v>2822</v>
      </c>
      <c r="N92" s="6" t="s">
        <v>2626</v>
      </c>
      <c r="O92" s="6" t="s">
        <v>2626</v>
      </c>
    </row>
    <row r="93">
      <c r="A93" s="6" t="s">
        <v>289</v>
      </c>
      <c r="B93" s="6" t="s">
        <v>289</v>
      </c>
      <c r="C93" s="6" t="s">
        <v>2823</v>
      </c>
      <c r="D93" s="6">
        <v>93.0</v>
      </c>
      <c r="F93" s="6" t="s">
        <v>288</v>
      </c>
      <c r="G93" s="6" t="s">
        <v>26</v>
      </c>
      <c r="I93" s="6" t="s">
        <v>2824</v>
      </c>
      <c r="J93" s="6">
        <v>0.0</v>
      </c>
      <c r="L93" s="6">
        <v>4000.0</v>
      </c>
      <c r="M93" s="6" t="s">
        <v>2825</v>
      </c>
      <c r="N93" s="6" t="s">
        <v>2626</v>
      </c>
      <c r="O93" s="6" t="s">
        <v>2626</v>
      </c>
    </row>
    <row r="94">
      <c r="A94" s="6" t="s">
        <v>292</v>
      </c>
      <c r="B94" s="6" t="s">
        <v>292</v>
      </c>
      <c r="C94" s="6" t="s">
        <v>2826</v>
      </c>
      <c r="D94" s="6">
        <v>94.0</v>
      </c>
      <c r="F94" s="6" t="s">
        <v>290</v>
      </c>
      <c r="G94" s="6" t="s">
        <v>26</v>
      </c>
      <c r="I94" s="6" t="s">
        <v>2824</v>
      </c>
      <c r="J94" s="6">
        <v>0.0</v>
      </c>
      <c r="L94" s="6">
        <v>250000.0</v>
      </c>
      <c r="M94" s="6" t="s">
        <v>2827</v>
      </c>
      <c r="N94" s="6" t="s">
        <v>2626</v>
      </c>
      <c r="O94" s="6" t="s">
        <v>2626</v>
      </c>
    </row>
    <row r="95">
      <c r="A95" s="6" t="s">
        <v>294</v>
      </c>
      <c r="B95" s="6" t="s">
        <v>294</v>
      </c>
      <c r="C95" s="6" t="s">
        <v>2828</v>
      </c>
      <c r="D95" s="6">
        <v>95.0</v>
      </c>
      <c r="F95" s="6" t="s">
        <v>89</v>
      </c>
      <c r="G95" s="6" t="s">
        <v>26</v>
      </c>
      <c r="I95" s="6" t="s">
        <v>2824</v>
      </c>
      <c r="J95" s="6">
        <v>0.0</v>
      </c>
      <c r="L95" s="6">
        <v>2500.0</v>
      </c>
      <c r="M95" s="6" t="s">
        <v>2829</v>
      </c>
      <c r="N95" s="6" t="s">
        <v>2626</v>
      </c>
      <c r="O95" s="6" t="s">
        <v>2626</v>
      </c>
    </row>
    <row r="96">
      <c r="A96" s="6" t="s">
        <v>296</v>
      </c>
      <c r="B96" s="6" t="s">
        <v>296</v>
      </c>
      <c r="C96" s="6" t="s">
        <v>2830</v>
      </c>
      <c r="D96" s="6">
        <v>96.0</v>
      </c>
      <c r="F96" s="6" t="s">
        <v>54</v>
      </c>
      <c r="G96" s="6" t="s">
        <v>26</v>
      </c>
      <c r="I96" s="6" t="s">
        <v>2824</v>
      </c>
      <c r="J96" s="6">
        <v>0.0</v>
      </c>
      <c r="L96" s="6">
        <v>2500.0</v>
      </c>
      <c r="M96" s="6" t="s">
        <v>2831</v>
      </c>
      <c r="N96" s="6" t="s">
        <v>2626</v>
      </c>
      <c r="O96" s="6" t="s">
        <v>2626</v>
      </c>
    </row>
    <row r="97">
      <c r="A97" s="6" t="s">
        <v>299</v>
      </c>
      <c r="B97" s="6" t="s">
        <v>299</v>
      </c>
      <c r="C97" s="6" t="s">
        <v>2832</v>
      </c>
      <c r="D97" s="6">
        <v>97.0</v>
      </c>
      <c r="F97" s="6" t="s">
        <v>297</v>
      </c>
      <c r="G97" s="6" t="s">
        <v>26</v>
      </c>
      <c r="I97" s="6" t="s">
        <v>2824</v>
      </c>
      <c r="J97" s="6">
        <v>0.0</v>
      </c>
      <c r="L97" s="6">
        <v>5000.0</v>
      </c>
      <c r="M97" s="6" t="s">
        <v>2833</v>
      </c>
      <c r="N97" s="6" t="s">
        <v>2626</v>
      </c>
      <c r="O97" s="6" t="s">
        <v>2626</v>
      </c>
    </row>
    <row r="98">
      <c r="A98" s="6" t="s">
        <v>303</v>
      </c>
      <c r="B98" s="6" t="s">
        <v>303</v>
      </c>
      <c r="C98" s="6" t="s">
        <v>2834</v>
      </c>
      <c r="D98" s="6">
        <v>98.0</v>
      </c>
      <c r="F98" s="6" t="s">
        <v>300</v>
      </c>
      <c r="G98" s="6" t="s">
        <v>26</v>
      </c>
      <c r="I98" s="6" t="s">
        <v>2824</v>
      </c>
      <c r="J98" s="6">
        <v>0.0</v>
      </c>
      <c r="L98" s="6">
        <v>3000.0</v>
      </c>
      <c r="M98" s="6" t="s">
        <v>2835</v>
      </c>
      <c r="N98" s="6" t="s">
        <v>2626</v>
      </c>
      <c r="O98" s="6" t="s">
        <v>2626</v>
      </c>
    </row>
    <row r="99">
      <c r="A99" s="6" t="s">
        <v>305</v>
      </c>
      <c r="B99" s="6" t="s">
        <v>305</v>
      </c>
      <c r="C99" s="6" t="s">
        <v>2836</v>
      </c>
      <c r="D99" s="6">
        <v>99.0</v>
      </c>
      <c r="F99" s="6" t="s">
        <v>108</v>
      </c>
      <c r="G99" s="6" t="s">
        <v>26</v>
      </c>
      <c r="I99" s="6" t="s">
        <v>2824</v>
      </c>
      <c r="J99" s="6">
        <v>0.0</v>
      </c>
      <c r="L99" s="6">
        <v>3000.0</v>
      </c>
      <c r="M99" s="6" t="s">
        <v>2837</v>
      </c>
      <c r="N99" s="6" t="s">
        <v>2626</v>
      </c>
      <c r="O99" s="6" t="s">
        <v>2626</v>
      </c>
    </row>
    <row r="100">
      <c r="A100" s="6" t="s">
        <v>308</v>
      </c>
      <c r="B100" s="6" t="s">
        <v>308</v>
      </c>
      <c r="C100" s="6" t="s">
        <v>2838</v>
      </c>
      <c r="D100" s="6">
        <v>100.0</v>
      </c>
      <c r="F100" s="6" t="s">
        <v>306</v>
      </c>
      <c r="G100" s="6" t="s">
        <v>26</v>
      </c>
      <c r="I100" s="6" t="s">
        <v>2824</v>
      </c>
      <c r="J100" s="6">
        <v>0.0</v>
      </c>
      <c r="L100" s="6">
        <v>2500.0</v>
      </c>
      <c r="M100" s="6" t="s">
        <v>2839</v>
      </c>
      <c r="N100" s="6" t="s">
        <v>2626</v>
      </c>
      <c r="O100" s="6" t="s">
        <v>2626</v>
      </c>
    </row>
    <row r="101">
      <c r="A101" s="6" t="s">
        <v>312</v>
      </c>
      <c r="B101" s="6" t="s">
        <v>312</v>
      </c>
      <c r="C101" s="6" t="s">
        <v>2840</v>
      </c>
      <c r="D101" s="6">
        <v>101.0</v>
      </c>
      <c r="F101" s="6" t="s">
        <v>309</v>
      </c>
      <c r="G101" s="6" t="s">
        <v>26</v>
      </c>
      <c r="I101" s="6" t="s">
        <v>2824</v>
      </c>
      <c r="J101" s="6">
        <v>0.0</v>
      </c>
      <c r="L101" s="6">
        <v>2500.0</v>
      </c>
      <c r="M101" s="6" t="s">
        <v>2841</v>
      </c>
      <c r="N101" s="6" t="s">
        <v>2626</v>
      </c>
      <c r="O101" s="6" t="s">
        <v>2626</v>
      </c>
    </row>
    <row r="102">
      <c r="A102" s="6" t="s">
        <v>314</v>
      </c>
      <c r="B102" s="6" t="s">
        <v>314</v>
      </c>
      <c r="C102" s="6" t="s">
        <v>2842</v>
      </c>
      <c r="D102" s="6">
        <v>102.0</v>
      </c>
      <c r="F102" s="6" t="s">
        <v>54</v>
      </c>
      <c r="G102" s="6" t="s">
        <v>26</v>
      </c>
      <c r="I102" s="6" t="s">
        <v>2824</v>
      </c>
      <c r="J102" s="6">
        <v>0.0</v>
      </c>
      <c r="L102" s="6">
        <v>2500.0</v>
      </c>
      <c r="M102" s="6" t="s">
        <v>2843</v>
      </c>
      <c r="N102" s="6" t="s">
        <v>2626</v>
      </c>
      <c r="O102" s="6" t="s">
        <v>2626</v>
      </c>
    </row>
    <row r="103">
      <c r="A103" s="6" t="s">
        <v>317</v>
      </c>
      <c r="B103" s="6" t="s">
        <v>317</v>
      </c>
      <c r="C103" s="6" t="s">
        <v>2844</v>
      </c>
      <c r="D103" s="6">
        <v>103.0</v>
      </c>
      <c r="F103" s="6" t="s">
        <v>315</v>
      </c>
      <c r="G103" s="6" t="s">
        <v>26</v>
      </c>
      <c r="I103" s="6" t="s">
        <v>2824</v>
      </c>
      <c r="J103" s="6">
        <v>0.0</v>
      </c>
      <c r="L103" s="6">
        <v>2500.0</v>
      </c>
      <c r="M103" s="6" t="s">
        <v>2845</v>
      </c>
      <c r="N103" s="6" t="s">
        <v>2626</v>
      </c>
      <c r="O103" s="6" t="s">
        <v>2626</v>
      </c>
    </row>
    <row r="104">
      <c r="A104" s="6" t="s">
        <v>318</v>
      </c>
      <c r="B104" s="6" t="s">
        <v>318</v>
      </c>
      <c r="C104" s="6" t="s">
        <v>2846</v>
      </c>
      <c r="D104" s="6">
        <v>104.0</v>
      </c>
      <c r="F104" s="6" t="s">
        <v>93</v>
      </c>
      <c r="G104" s="6" t="s">
        <v>26</v>
      </c>
      <c r="I104" s="6" t="s">
        <v>2824</v>
      </c>
      <c r="J104" s="6">
        <v>0.0</v>
      </c>
      <c r="L104" s="6">
        <v>2500.0</v>
      </c>
      <c r="M104" s="6" t="s">
        <v>2847</v>
      </c>
      <c r="N104" s="6" t="s">
        <v>2626</v>
      </c>
      <c r="O104" s="6" t="s">
        <v>2626</v>
      </c>
    </row>
    <row r="105">
      <c r="A105" s="6" t="s">
        <v>322</v>
      </c>
      <c r="B105" s="6" t="s">
        <v>322</v>
      </c>
      <c r="C105" s="6" t="s">
        <v>2848</v>
      </c>
      <c r="D105" s="6">
        <v>105.0</v>
      </c>
      <c r="F105" s="6" t="s">
        <v>319</v>
      </c>
      <c r="G105" s="6" t="s">
        <v>26</v>
      </c>
      <c r="I105" s="6" t="s">
        <v>2824</v>
      </c>
      <c r="J105" s="6">
        <v>0.0</v>
      </c>
      <c r="L105" s="6">
        <v>2500.0</v>
      </c>
      <c r="M105" s="6" t="s">
        <v>2849</v>
      </c>
      <c r="N105" s="6" t="s">
        <v>2626</v>
      </c>
      <c r="O105" s="6" t="s">
        <v>2626</v>
      </c>
    </row>
    <row r="106">
      <c r="A106" s="6" t="s">
        <v>325</v>
      </c>
      <c r="B106" s="6" t="s">
        <v>325</v>
      </c>
      <c r="C106" s="6" t="s">
        <v>2850</v>
      </c>
      <c r="D106" s="6">
        <v>106.0</v>
      </c>
      <c r="F106" s="6" t="s">
        <v>323</v>
      </c>
      <c r="G106" s="6" t="s">
        <v>26</v>
      </c>
      <c r="I106" s="6" t="s">
        <v>2824</v>
      </c>
      <c r="J106" s="6">
        <v>0.0</v>
      </c>
      <c r="L106" s="6">
        <v>3000.0</v>
      </c>
      <c r="M106" s="6" t="s">
        <v>2851</v>
      </c>
      <c r="N106" s="6" t="s">
        <v>2626</v>
      </c>
      <c r="O106" s="6" t="s">
        <v>2626</v>
      </c>
    </row>
    <row r="107">
      <c r="A107" s="6" t="s">
        <v>327</v>
      </c>
      <c r="B107" s="6" t="s">
        <v>327</v>
      </c>
      <c r="C107" s="6" t="s">
        <v>2852</v>
      </c>
      <c r="D107" s="6">
        <v>107.0</v>
      </c>
      <c r="F107" s="6" t="s">
        <v>323</v>
      </c>
      <c r="G107" s="6" t="s">
        <v>26</v>
      </c>
      <c r="I107" s="6" t="s">
        <v>2824</v>
      </c>
      <c r="J107" s="6">
        <v>0.0</v>
      </c>
      <c r="L107" s="6">
        <v>3000.0</v>
      </c>
      <c r="M107" s="6" t="s">
        <v>2853</v>
      </c>
      <c r="N107" s="6" t="s">
        <v>2626</v>
      </c>
      <c r="O107" s="6" t="s">
        <v>2626</v>
      </c>
    </row>
    <row r="108">
      <c r="A108" s="6" t="s">
        <v>330</v>
      </c>
      <c r="B108" s="6" t="s">
        <v>330</v>
      </c>
      <c r="C108" s="6" t="s">
        <v>2854</v>
      </c>
      <c r="D108" s="6">
        <v>108.0</v>
      </c>
      <c r="F108" s="6" t="s">
        <v>328</v>
      </c>
      <c r="G108" s="6" t="s">
        <v>26</v>
      </c>
      <c r="I108" s="6" t="s">
        <v>2824</v>
      </c>
      <c r="J108" s="6">
        <v>0.0</v>
      </c>
      <c r="L108" s="6">
        <v>15000.0</v>
      </c>
      <c r="M108" s="6" t="s">
        <v>2855</v>
      </c>
      <c r="N108" s="6" t="s">
        <v>2626</v>
      </c>
      <c r="O108" s="6" t="s">
        <v>2626</v>
      </c>
    </row>
    <row r="109">
      <c r="A109" s="6" t="s">
        <v>332</v>
      </c>
      <c r="B109" s="6" t="s">
        <v>332</v>
      </c>
      <c r="C109" s="6" t="s">
        <v>2856</v>
      </c>
      <c r="D109" s="6">
        <v>109.0</v>
      </c>
      <c r="E109" s="6" t="s">
        <v>140</v>
      </c>
      <c r="F109" s="6" t="s">
        <v>140</v>
      </c>
      <c r="G109" s="6" t="s">
        <v>331</v>
      </c>
      <c r="J109" s="6">
        <v>0.0</v>
      </c>
      <c r="L109" s="6">
        <v>0.0</v>
      </c>
      <c r="M109" s="6" t="s">
        <v>2857</v>
      </c>
      <c r="N109" s="6" t="s">
        <v>2626</v>
      </c>
      <c r="O109" s="6" t="s">
        <v>2626</v>
      </c>
    </row>
    <row r="110">
      <c r="A110" s="6" t="s">
        <v>333</v>
      </c>
      <c r="B110" s="6" t="s">
        <v>333</v>
      </c>
      <c r="C110" s="6" t="s">
        <v>2858</v>
      </c>
      <c r="D110" s="6">
        <v>110.0</v>
      </c>
      <c r="E110" s="6" t="s">
        <v>140</v>
      </c>
      <c r="F110" s="6" t="s">
        <v>140</v>
      </c>
      <c r="G110" s="6" t="s">
        <v>140</v>
      </c>
      <c r="J110" s="6">
        <v>0.0</v>
      </c>
      <c r="L110" s="6">
        <v>0.0</v>
      </c>
      <c r="M110" s="6" t="s">
        <v>2859</v>
      </c>
      <c r="N110" s="6" t="s">
        <v>2626</v>
      </c>
      <c r="O110" s="6" t="s">
        <v>2626</v>
      </c>
    </row>
    <row r="111">
      <c r="A111" s="6" t="s">
        <v>336</v>
      </c>
      <c r="B111" s="6" t="s">
        <v>336</v>
      </c>
      <c r="C111" s="6" t="s">
        <v>2860</v>
      </c>
      <c r="D111" s="6">
        <v>111.0</v>
      </c>
      <c r="F111" s="6" t="s">
        <v>319</v>
      </c>
      <c r="G111" s="6" t="s">
        <v>26</v>
      </c>
      <c r="I111" s="6" t="s">
        <v>2861</v>
      </c>
      <c r="J111" s="6">
        <v>0.0</v>
      </c>
      <c r="L111" s="6">
        <v>2500.0</v>
      </c>
      <c r="M111" s="6" t="s">
        <v>2862</v>
      </c>
      <c r="N111" s="6" t="s">
        <v>2626</v>
      </c>
      <c r="O111" s="6" t="s">
        <v>2626</v>
      </c>
    </row>
    <row r="112">
      <c r="A112" s="6" t="s">
        <v>338</v>
      </c>
      <c r="B112" s="6" t="s">
        <v>338</v>
      </c>
      <c r="C112" s="6" t="s">
        <v>2863</v>
      </c>
      <c r="D112" s="6">
        <v>112.0</v>
      </c>
      <c r="F112" s="6" t="s">
        <v>319</v>
      </c>
      <c r="G112" s="6" t="s">
        <v>26</v>
      </c>
      <c r="I112" s="6" t="s">
        <v>2861</v>
      </c>
      <c r="J112" s="6">
        <v>0.0</v>
      </c>
      <c r="L112" s="6">
        <v>2500.0</v>
      </c>
      <c r="M112" s="6" t="s">
        <v>2864</v>
      </c>
      <c r="N112" s="6" t="s">
        <v>2626</v>
      </c>
      <c r="O112" s="6" t="s">
        <v>2626</v>
      </c>
    </row>
    <row r="113">
      <c r="A113" s="6" t="s">
        <v>342</v>
      </c>
      <c r="B113" s="6" t="s">
        <v>342</v>
      </c>
      <c r="C113" s="6" t="s">
        <v>2865</v>
      </c>
      <c r="D113" s="6">
        <v>113.0</v>
      </c>
      <c r="F113" s="6" t="s">
        <v>339</v>
      </c>
      <c r="G113" s="6" t="s">
        <v>26</v>
      </c>
      <c r="I113" s="6" t="s">
        <v>2861</v>
      </c>
      <c r="J113" s="6">
        <v>0.0</v>
      </c>
      <c r="L113" s="6">
        <v>3000.0</v>
      </c>
      <c r="M113" s="6" t="s">
        <v>2866</v>
      </c>
      <c r="N113" s="6" t="s">
        <v>2626</v>
      </c>
      <c r="O113" s="6" t="s">
        <v>2626</v>
      </c>
    </row>
    <row r="114">
      <c r="A114" s="6" t="s">
        <v>343</v>
      </c>
      <c r="B114" s="6" t="s">
        <v>343</v>
      </c>
      <c r="C114" s="6" t="s">
        <v>2867</v>
      </c>
      <c r="D114" s="6">
        <v>114.0</v>
      </c>
      <c r="F114" s="6" t="s">
        <v>323</v>
      </c>
      <c r="G114" s="6" t="s">
        <v>26</v>
      </c>
      <c r="I114" s="6" t="s">
        <v>2861</v>
      </c>
      <c r="J114" s="6">
        <v>0.0</v>
      </c>
      <c r="L114" s="6">
        <v>3000.0</v>
      </c>
      <c r="M114" s="6" t="s">
        <v>2868</v>
      </c>
      <c r="N114" s="6" t="s">
        <v>2626</v>
      </c>
      <c r="O114" s="6" t="s">
        <v>2626</v>
      </c>
    </row>
    <row r="115">
      <c r="A115" s="6" t="s">
        <v>346</v>
      </c>
      <c r="B115" s="6" t="s">
        <v>346</v>
      </c>
      <c r="C115" s="6" t="s">
        <v>2869</v>
      </c>
      <c r="D115" s="6">
        <v>115.0</v>
      </c>
      <c r="F115" s="6" t="s">
        <v>344</v>
      </c>
      <c r="G115" s="6" t="s">
        <v>26</v>
      </c>
      <c r="I115" s="6" t="s">
        <v>2861</v>
      </c>
      <c r="J115" s="6">
        <v>0.0</v>
      </c>
      <c r="L115" s="6">
        <v>2500.0</v>
      </c>
      <c r="M115" s="6" t="s">
        <v>2870</v>
      </c>
      <c r="N115" s="6" t="s">
        <v>2626</v>
      </c>
      <c r="O115" s="6" t="s">
        <v>2626</v>
      </c>
    </row>
    <row r="116">
      <c r="A116" s="6" t="s">
        <v>347</v>
      </c>
      <c r="B116" s="6" t="s">
        <v>347</v>
      </c>
      <c r="C116" s="6" t="s">
        <v>2871</v>
      </c>
      <c r="D116" s="6">
        <v>116.0</v>
      </c>
      <c r="F116" s="6" t="s">
        <v>236</v>
      </c>
      <c r="G116" s="6" t="s">
        <v>26</v>
      </c>
      <c r="I116" s="6" t="s">
        <v>2861</v>
      </c>
      <c r="J116" s="6">
        <v>0.0</v>
      </c>
      <c r="L116" s="6">
        <v>5000.0</v>
      </c>
      <c r="M116" s="6" t="s">
        <v>2872</v>
      </c>
      <c r="N116" s="6" t="s">
        <v>2626</v>
      </c>
      <c r="O116" s="6" t="s">
        <v>2626</v>
      </c>
    </row>
    <row r="117">
      <c r="A117" s="6" t="s">
        <v>349</v>
      </c>
      <c r="B117" s="6" t="s">
        <v>349</v>
      </c>
      <c r="C117" s="6" t="s">
        <v>2873</v>
      </c>
      <c r="D117" s="6">
        <v>117.0</v>
      </c>
      <c r="F117" s="6" t="s">
        <v>46</v>
      </c>
      <c r="G117" s="6" t="s">
        <v>26</v>
      </c>
      <c r="I117" s="6" t="s">
        <v>2861</v>
      </c>
      <c r="J117" s="6">
        <v>0.0</v>
      </c>
      <c r="L117" s="6">
        <v>2500.0</v>
      </c>
      <c r="M117" s="6" t="s">
        <v>2874</v>
      </c>
      <c r="N117" s="6" t="s">
        <v>2626</v>
      </c>
      <c r="O117" s="6" t="s">
        <v>2626</v>
      </c>
    </row>
    <row r="118">
      <c r="A118" s="6" t="s">
        <v>351</v>
      </c>
      <c r="B118" s="6" t="s">
        <v>351</v>
      </c>
      <c r="C118" s="6" t="s">
        <v>2875</v>
      </c>
      <c r="D118" s="6">
        <v>118.0</v>
      </c>
      <c r="F118" s="6" t="s">
        <v>46</v>
      </c>
      <c r="G118" s="6" t="s">
        <v>26</v>
      </c>
      <c r="I118" s="6" t="s">
        <v>2876</v>
      </c>
      <c r="J118" s="6">
        <v>0.0</v>
      </c>
      <c r="L118" s="6">
        <v>2500.0</v>
      </c>
      <c r="M118" s="6" t="s">
        <v>2877</v>
      </c>
      <c r="N118" s="6" t="s">
        <v>2626</v>
      </c>
      <c r="O118" s="6" t="s">
        <v>2626</v>
      </c>
    </row>
    <row r="119">
      <c r="A119" s="6" t="s">
        <v>352</v>
      </c>
      <c r="B119" s="6" t="s">
        <v>352</v>
      </c>
      <c r="C119" s="6" t="s">
        <v>2878</v>
      </c>
      <c r="D119" s="6">
        <v>119.0</v>
      </c>
      <c r="E119" s="6" t="s">
        <v>140</v>
      </c>
      <c r="F119" s="6" t="s">
        <v>140</v>
      </c>
      <c r="G119" s="6" t="s">
        <v>140</v>
      </c>
      <c r="J119" s="6">
        <v>0.0</v>
      </c>
      <c r="L119" s="6">
        <v>0.0</v>
      </c>
      <c r="M119" s="6" t="s">
        <v>2879</v>
      </c>
      <c r="N119" s="6" t="s">
        <v>2626</v>
      </c>
      <c r="O119" s="6" t="s">
        <v>2626</v>
      </c>
    </row>
    <row r="120">
      <c r="A120" s="6" t="s">
        <v>353</v>
      </c>
      <c r="B120" s="6" t="s">
        <v>353</v>
      </c>
      <c r="C120" s="6" t="s">
        <v>2880</v>
      </c>
      <c r="D120" s="6">
        <v>120.0</v>
      </c>
      <c r="E120" s="6" t="s">
        <v>140</v>
      </c>
      <c r="F120" s="6" t="s">
        <v>140</v>
      </c>
      <c r="G120" s="6" t="s">
        <v>140</v>
      </c>
      <c r="J120" s="6">
        <v>0.0</v>
      </c>
      <c r="L120" s="6">
        <v>0.0</v>
      </c>
      <c r="M120" s="6" t="s">
        <v>2881</v>
      </c>
      <c r="N120" s="6" t="s">
        <v>2626</v>
      </c>
      <c r="O120" s="6" t="s">
        <v>2626</v>
      </c>
    </row>
    <row r="121">
      <c r="A121" s="6" t="s">
        <v>355</v>
      </c>
      <c r="B121" s="6" t="s">
        <v>355</v>
      </c>
      <c r="C121" s="6" t="s">
        <v>2882</v>
      </c>
      <c r="D121" s="6">
        <v>121.0</v>
      </c>
      <c r="F121" s="6" t="s">
        <v>54</v>
      </c>
      <c r="G121" s="6" t="s">
        <v>26</v>
      </c>
      <c r="I121" s="6" t="s">
        <v>2876</v>
      </c>
      <c r="J121" s="6">
        <v>0.0</v>
      </c>
      <c r="L121" s="6">
        <v>5000.0</v>
      </c>
      <c r="M121" s="6" t="s">
        <v>2883</v>
      </c>
      <c r="N121" s="6" t="s">
        <v>2626</v>
      </c>
      <c r="O121" s="6" t="s">
        <v>2626</v>
      </c>
    </row>
    <row r="122">
      <c r="A122" s="6" t="s">
        <v>357</v>
      </c>
      <c r="B122" s="6" t="s">
        <v>357</v>
      </c>
      <c r="C122" s="6" t="s">
        <v>2884</v>
      </c>
      <c r="D122" s="6">
        <v>122.0</v>
      </c>
      <c r="F122" s="6" t="s">
        <v>248</v>
      </c>
      <c r="G122" s="6" t="s">
        <v>26</v>
      </c>
      <c r="I122" s="6" t="s">
        <v>2876</v>
      </c>
      <c r="J122" s="6">
        <v>0.0</v>
      </c>
      <c r="L122" s="6">
        <v>3000.0</v>
      </c>
      <c r="M122" s="6" t="s">
        <v>2885</v>
      </c>
      <c r="N122" s="6" t="s">
        <v>2626</v>
      </c>
      <c r="O122" s="6" t="s">
        <v>2626</v>
      </c>
    </row>
    <row r="123">
      <c r="A123" s="6" t="s">
        <v>361</v>
      </c>
      <c r="B123" s="6" t="s">
        <v>361</v>
      </c>
      <c r="C123" s="6" t="s">
        <v>2886</v>
      </c>
      <c r="D123" s="6">
        <v>123.0</v>
      </c>
      <c r="F123" s="6" t="s">
        <v>358</v>
      </c>
      <c r="G123" s="6" t="s">
        <v>26</v>
      </c>
      <c r="I123" s="6" t="s">
        <v>2876</v>
      </c>
      <c r="J123" s="6">
        <v>0.0</v>
      </c>
      <c r="L123" s="6">
        <v>2500.0</v>
      </c>
      <c r="M123" s="6" t="s">
        <v>2887</v>
      </c>
      <c r="N123" s="6" t="s">
        <v>2626</v>
      </c>
      <c r="O123" s="6" t="s">
        <v>2626</v>
      </c>
    </row>
    <row r="124">
      <c r="A124" s="6" t="s">
        <v>363</v>
      </c>
      <c r="B124" s="6" t="s">
        <v>363</v>
      </c>
      <c r="C124" s="6" t="s">
        <v>2888</v>
      </c>
      <c r="D124" s="6">
        <v>124.0</v>
      </c>
      <c r="F124" s="6" t="s">
        <v>248</v>
      </c>
      <c r="G124" s="6" t="s">
        <v>26</v>
      </c>
      <c r="I124" s="6" t="s">
        <v>2876</v>
      </c>
      <c r="J124" s="6">
        <v>0.0</v>
      </c>
      <c r="L124" s="6">
        <v>3000.0</v>
      </c>
      <c r="M124" s="6" t="s">
        <v>2889</v>
      </c>
      <c r="N124" s="6" t="s">
        <v>2626</v>
      </c>
      <c r="O124" s="6" t="s">
        <v>2626</v>
      </c>
    </row>
    <row r="125">
      <c r="A125" s="6" t="s">
        <v>367</v>
      </c>
      <c r="B125" s="6" t="s">
        <v>367</v>
      </c>
      <c r="C125" s="6" t="s">
        <v>2890</v>
      </c>
      <c r="D125" s="6">
        <v>125.0</v>
      </c>
      <c r="F125" s="6" t="s">
        <v>364</v>
      </c>
      <c r="G125" s="6" t="s">
        <v>26</v>
      </c>
      <c r="I125" s="6" t="s">
        <v>2876</v>
      </c>
      <c r="J125" s="6">
        <v>0.0</v>
      </c>
      <c r="L125" s="6">
        <v>2500.0</v>
      </c>
      <c r="M125" s="6" t="s">
        <v>2891</v>
      </c>
      <c r="N125" s="6" t="s">
        <v>2626</v>
      </c>
      <c r="O125" s="6" t="s">
        <v>2626</v>
      </c>
    </row>
    <row r="126">
      <c r="A126" s="6" t="s">
        <v>371</v>
      </c>
      <c r="B126" s="6" t="s">
        <v>371</v>
      </c>
      <c r="C126" s="6" t="s">
        <v>2892</v>
      </c>
      <c r="D126" s="6">
        <v>126.0</v>
      </c>
      <c r="F126" s="6" t="s">
        <v>368</v>
      </c>
      <c r="G126" s="6" t="s">
        <v>26</v>
      </c>
      <c r="I126" s="6" t="s">
        <v>2876</v>
      </c>
      <c r="J126" s="6">
        <v>0.0</v>
      </c>
      <c r="L126" s="6">
        <v>2500.0</v>
      </c>
      <c r="M126" s="6" t="s">
        <v>2893</v>
      </c>
      <c r="N126" s="6" t="s">
        <v>2626</v>
      </c>
      <c r="O126" s="6" t="s">
        <v>2626</v>
      </c>
    </row>
    <row r="127">
      <c r="A127" s="6" t="s">
        <v>375</v>
      </c>
      <c r="B127" s="6" t="s">
        <v>375</v>
      </c>
      <c r="C127" s="6" t="s">
        <v>2894</v>
      </c>
      <c r="D127" s="6">
        <v>127.0</v>
      </c>
      <c r="E127" s="6">
        <v>3.59702375154869E14</v>
      </c>
      <c r="F127" s="6" t="s">
        <v>372</v>
      </c>
      <c r="G127" s="6" t="s">
        <v>103</v>
      </c>
      <c r="J127" s="6">
        <v>0.0</v>
      </c>
      <c r="L127" s="6">
        <v>0.0</v>
      </c>
      <c r="M127" s="6" t="s">
        <v>2895</v>
      </c>
      <c r="N127" s="6" t="s">
        <v>2626</v>
      </c>
      <c r="O127" s="6" t="s">
        <v>2626</v>
      </c>
    </row>
    <row r="128">
      <c r="A128" s="6" t="s">
        <v>379</v>
      </c>
      <c r="B128" s="6" t="s">
        <v>379</v>
      </c>
      <c r="C128" s="6" t="s">
        <v>2896</v>
      </c>
      <c r="D128" s="6">
        <v>128.0</v>
      </c>
      <c r="E128" s="6">
        <v>3.54321296051388E14</v>
      </c>
      <c r="F128" s="6" t="s">
        <v>376</v>
      </c>
      <c r="G128" s="6" t="s">
        <v>26</v>
      </c>
      <c r="I128" s="6" t="s">
        <v>2876</v>
      </c>
      <c r="J128" s="6">
        <v>0.0</v>
      </c>
      <c r="L128" s="6">
        <v>780000.0</v>
      </c>
      <c r="M128" s="6" t="s">
        <v>2897</v>
      </c>
      <c r="N128" s="6" t="s">
        <v>2626</v>
      </c>
      <c r="O128" s="6" t="s">
        <v>2626</v>
      </c>
    </row>
    <row r="129">
      <c r="A129" s="6" t="s">
        <v>381</v>
      </c>
      <c r="B129" s="6" t="s">
        <v>381</v>
      </c>
      <c r="C129" s="6" t="s">
        <v>2898</v>
      </c>
      <c r="D129" s="6">
        <v>129.0</v>
      </c>
      <c r="F129" s="6" t="s">
        <v>18</v>
      </c>
      <c r="G129" s="6" t="s">
        <v>26</v>
      </c>
      <c r="I129" s="6" t="s">
        <v>2876</v>
      </c>
      <c r="J129" s="6">
        <v>0.0</v>
      </c>
      <c r="L129" s="6">
        <v>3000.0</v>
      </c>
      <c r="M129" s="6" t="s">
        <v>2899</v>
      </c>
      <c r="N129" s="6" t="s">
        <v>2626</v>
      </c>
      <c r="O129" s="6" t="s">
        <v>2626</v>
      </c>
    </row>
    <row r="130">
      <c r="A130" s="6" t="s">
        <v>383</v>
      </c>
      <c r="B130" s="6" t="s">
        <v>383</v>
      </c>
      <c r="C130" s="6" t="s">
        <v>2900</v>
      </c>
      <c r="D130" s="6">
        <v>130.0</v>
      </c>
      <c r="E130" s="6" t="s">
        <v>140</v>
      </c>
      <c r="F130" s="6" t="s">
        <v>140</v>
      </c>
      <c r="G130" s="6" t="s">
        <v>285</v>
      </c>
      <c r="J130" s="6">
        <v>0.0</v>
      </c>
      <c r="L130" s="6">
        <v>0.0</v>
      </c>
      <c r="M130" s="6" t="s">
        <v>2901</v>
      </c>
      <c r="N130" s="6" t="s">
        <v>2626</v>
      </c>
      <c r="O130" s="6" t="s">
        <v>2626</v>
      </c>
    </row>
    <row r="131">
      <c r="A131" s="6" t="s">
        <v>384</v>
      </c>
      <c r="B131" s="6" t="s">
        <v>384</v>
      </c>
      <c r="C131" s="6" t="s">
        <v>2902</v>
      </c>
      <c r="D131" s="6">
        <v>131.0</v>
      </c>
      <c r="E131" s="6" t="s">
        <v>140</v>
      </c>
      <c r="F131" s="6" t="s">
        <v>140</v>
      </c>
      <c r="G131" s="6" t="s">
        <v>285</v>
      </c>
      <c r="J131" s="6">
        <v>0.0</v>
      </c>
      <c r="L131" s="6">
        <v>0.0</v>
      </c>
      <c r="M131" s="6" t="s">
        <v>2903</v>
      </c>
      <c r="N131" s="6" t="s">
        <v>2626</v>
      </c>
      <c r="O131" s="6" t="s">
        <v>2626</v>
      </c>
    </row>
    <row r="132">
      <c r="A132" s="6" t="s">
        <v>385</v>
      </c>
      <c r="B132" s="6" t="s">
        <v>385</v>
      </c>
      <c r="C132" s="6" t="s">
        <v>2904</v>
      </c>
      <c r="D132" s="6">
        <v>132.0</v>
      </c>
      <c r="F132" s="6" t="s">
        <v>236</v>
      </c>
      <c r="G132" s="6" t="s">
        <v>26</v>
      </c>
      <c r="I132" s="6" t="s">
        <v>2905</v>
      </c>
      <c r="J132" s="6">
        <v>0.0</v>
      </c>
      <c r="L132" s="6">
        <v>5000.0</v>
      </c>
      <c r="M132" s="6" t="s">
        <v>2906</v>
      </c>
      <c r="N132" s="6" t="s">
        <v>2626</v>
      </c>
      <c r="O132" s="6" t="s">
        <v>2626</v>
      </c>
    </row>
    <row r="133">
      <c r="A133" s="6" t="s">
        <v>389</v>
      </c>
      <c r="B133" s="6" t="s">
        <v>389</v>
      </c>
      <c r="C133" s="6" t="s">
        <v>2907</v>
      </c>
      <c r="D133" s="6">
        <v>133.0</v>
      </c>
      <c r="F133" s="6" t="s">
        <v>386</v>
      </c>
      <c r="G133" s="6" t="s">
        <v>26</v>
      </c>
      <c r="I133" s="6" t="s">
        <v>2905</v>
      </c>
      <c r="J133" s="6">
        <v>0.0</v>
      </c>
      <c r="L133" s="6">
        <v>2500.0</v>
      </c>
      <c r="M133" s="6" t="s">
        <v>2908</v>
      </c>
      <c r="N133" s="6" t="s">
        <v>2626</v>
      </c>
      <c r="O133" s="6" t="s">
        <v>2626</v>
      </c>
    </row>
    <row r="134">
      <c r="A134" s="6" t="s">
        <v>392</v>
      </c>
      <c r="B134" s="6" t="s">
        <v>392</v>
      </c>
      <c r="C134" s="6" t="s">
        <v>2909</v>
      </c>
      <c r="D134" s="6">
        <v>134.0</v>
      </c>
      <c r="F134" s="6" t="s">
        <v>70</v>
      </c>
      <c r="G134" s="6" t="s">
        <v>26</v>
      </c>
      <c r="I134" s="6" t="s">
        <v>2905</v>
      </c>
      <c r="J134" s="6">
        <v>0.0</v>
      </c>
      <c r="L134" s="6">
        <v>2500.0</v>
      </c>
      <c r="M134" s="6" t="s">
        <v>2910</v>
      </c>
      <c r="N134" s="6" t="s">
        <v>2626</v>
      </c>
      <c r="O134" s="6" t="s">
        <v>2626</v>
      </c>
    </row>
    <row r="135">
      <c r="A135" s="6" t="s">
        <v>395</v>
      </c>
      <c r="B135" s="6" t="s">
        <v>395</v>
      </c>
      <c r="C135" s="6" t="s">
        <v>2911</v>
      </c>
      <c r="D135" s="6">
        <v>135.0</v>
      </c>
      <c r="E135" s="6">
        <v>3.53431651842023E14</v>
      </c>
      <c r="F135" s="6" t="s">
        <v>309</v>
      </c>
      <c r="G135" s="6" t="s">
        <v>103</v>
      </c>
      <c r="J135" s="6">
        <v>0.0</v>
      </c>
      <c r="L135" s="6">
        <v>0.0</v>
      </c>
      <c r="M135" s="6" t="s">
        <v>2912</v>
      </c>
      <c r="N135" s="6" t="s">
        <v>2626</v>
      </c>
      <c r="O135" s="6" t="s">
        <v>2626</v>
      </c>
    </row>
    <row r="136">
      <c r="A136" s="6" t="s">
        <v>396</v>
      </c>
      <c r="B136" s="6" t="s">
        <v>396</v>
      </c>
      <c r="C136" s="6" t="s">
        <v>2913</v>
      </c>
      <c r="D136" s="6">
        <v>136.0</v>
      </c>
      <c r="F136" s="6" t="s">
        <v>386</v>
      </c>
      <c r="G136" s="6" t="s">
        <v>26</v>
      </c>
      <c r="I136" s="6" t="s">
        <v>2905</v>
      </c>
      <c r="J136" s="6">
        <v>0.0</v>
      </c>
      <c r="L136" s="6">
        <v>2500.0</v>
      </c>
      <c r="M136" s="6" t="s">
        <v>2914</v>
      </c>
      <c r="N136" s="6" t="s">
        <v>2626</v>
      </c>
      <c r="O136" s="6" t="s">
        <v>2626</v>
      </c>
    </row>
    <row r="137">
      <c r="A137" s="6" t="s">
        <v>399</v>
      </c>
      <c r="B137" s="6" t="s">
        <v>399</v>
      </c>
      <c r="C137" s="6" t="s">
        <v>2915</v>
      </c>
      <c r="D137" s="6">
        <v>137.0</v>
      </c>
      <c r="F137" s="6" t="s">
        <v>397</v>
      </c>
      <c r="G137" s="6" t="s">
        <v>26</v>
      </c>
      <c r="I137" s="6" t="s">
        <v>2905</v>
      </c>
      <c r="J137" s="6">
        <v>0.0</v>
      </c>
      <c r="L137" s="6">
        <v>2500.0</v>
      </c>
      <c r="M137" s="6" t="s">
        <v>2916</v>
      </c>
      <c r="N137" s="6" t="s">
        <v>2626</v>
      </c>
      <c r="O137" s="6" t="s">
        <v>2626</v>
      </c>
    </row>
    <row r="138">
      <c r="A138" s="6" t="s">
        <v>403</v>
      </c>
      <c r="B138" s="6" t="s">
        <v>403</v>
      </c>
      <c r="C138" s="6" t="s">
        <v>2917</v>
      </c>
      <c r="D138" s="6">
        <v>138.0</v>
      </c>
      <c r="F138" s="6" t="s">
        <v>400</v>
      </c>
      <c r="G138" s="6" t="s">
        <v>26</v>
      </c>
      <c r="I138" s="6" t="s">
        <v>2905</v>
      </c>
      <c r="J138" s="6">
        <v>0.0</v>
      </c>
      <c r="L138" s="6">
        <v>2500.0</v>
      </c>
      <c r="M138" s="6" t="s">
        <v>2918</v>
      </c>
      <c r="N138" s="6" t="s">
        <v>2626</v>
      </c>
      <c r="O138" s="6" t="s">
        <v>2626</v>
      </c>
    </row>
    <row r="139">
      <c r="A139" s="6" t="s">
        <v>407</v>
      </c>
      <c r="B139" s="6" t="s">
        <v>407</v>
      </c>
      <c r="C139" s="6" t="s">
        <v>2919</v>
      </c>
      <c r="D139" s="6">
        <v>139.0</v>
      </c>
      <c r="F139" s="6" t="s">
        <v>404</v>
      </c>
      <c r="G139" s="6" t="s">
        <v>26</v>
      </c>
      <c r="I139" s="6" t="s">
        <v>2905</v>
      </c>
      <c r="J139" s="6">
        <v>0.0</v>
      </c>
      <c r="L139" s="6">
        <v>2500.0</v>
      </c>
      <c r="M139" s="6" t="s">
        <v>2920</v>
      </c>
      <c r="N139" s="6" t="s">
        <v>2626</v>
      </c>
      <c r="O139" s="6" t="s">
        <v>2626</v>
      </c>
    </row>
    <row r="140">
      <c r="A140" s="6" t="s">
        <v>412</v>
      </c>
      <c r="B140" s="6" t="s">
        <v>412</v>
      </c>
      <c r="C140" s="6" t="s">
        <v>2921</v>
      </c>
      <c r="D140" s="6">
        <v>140.0</v>
      </c>
      <c r="E140" s="6">
        <v>3.50183987500121E14</v>
      </c>
      <c r="F140" s="6" t="s">
        <v>408</v>
      </c>
      <c r="G140" s="6" t="s">
        <v>26</v>
      </c>
      <c r="I140" s="6" t="s">
        <v>2905</v>
      </c>
      <c r="J140" s="6">
        <v>0.0</v>
      </c>
      <c r="L140" s="6">
        <v>359000.0</v>
      </c>
      <c r="M140" s="6" t="s">
        <v>2922</v>
      </c>
      <c r="N140" s="6" t="s">
        <v>2626</v>
      </c>
      <c r="O140" s="6" t="s">
        <v>2626</v>
      </c>
    </row>
    <row r="141">
      <c r="A141" s="6" t="s">
        <v>417</v>
      </c>
      <c r="B141" s="6" t="s">
        <v>417</v>
      </c>
      <c r="C141" s="6" t="s">
        <v>2923</v>
      </c>
      <c r="D141" s="6">
        <v>141.0</v>
      </c>
      <c r="E141" s="6">
        <v>3.53247108602988E14</v>
      </c>
      <c r="F141" s="6" t="s">
        <v>413</v>
      </c>
      <c r="G141" s="6" t="s">
        <v>103</v>
      </c>
      <c r="J141" s="6">
        <v>0.0</v>
      </c>
      <c r="L141" s="6">
        <v>0.0</v>
      </c>
      <c r="M141" s="6" t="s">
        <v>2924</v>
      </c>
      <c r="N141" s="6" t="s">
        <v>2626</v>
      </c>
      <c r="O141" s="6" t="s">
        <v>2626</v>
      </c>
    </row>
    <row r="142">
      <c r="A142" s="6" t="s">
        <v>422</v>
      </c>
      <c r="B142" s="6" t="s">
        <v>422</v>
      </c>
      <c r="C142" s="6" t="s">
        <v>2925</v>
      </c>
      <c r="D142" s="6">
        <v>142.0</v>
      </c>
      <c r="E142" s="6">
        <v>3.50923383300943E14</v>
      </c>
      <c r="F142" s="6" t="s">
        <v>418</v>
      </c>
      <c r="G142" s="6" t="s">
        <v>26</v>
      </c>
      <c r="I142" s="6" t="s">
        <v>2926</v>
      </c>
      <c r="J142" s="6">
        <v>0.0</v>
      </c>
      <c r="L142" s="6">
        <v>540000.0</v>
      </c>
      <c r="M142" s="6" t="s">
        <v>2927</v>
      </c>
      <c r="N142" s="6" t="s">
        <v>2626</v>
      </c>
      <c r="O142" s="6" t="s">
        <v>2626</v>
      </c>
    </row>
    <row r="143">
      <c r="A143" s="6" t="s">
        <v>423</v>
      </c>
      <c r="B143" s="6" t="s">
        <v>423</v>
      </c>
      <c r="C143" s="6" t="s">
        <v>2928</v>
      </c>
      <c r="D143" s="6">
        <v>143.0</v>
      </c>
      <c r="E143" s="6" t="s">
        <v>140</v>
      </c>
      <c r="F143" s="6" t="s">
        <v>140</v>
      </c>
      <c r="G143" s="6" t="s">
        <v>140</v>
      </c>
      <c r="J143" s="6">
        <v>0.0</v>
      </c>
      <c r="L143" s="6">
        <v>0.0</v>
      </c>
      <c r="M143" s="6" t="s">
        <v>2929</v>
      </c>
      <c r="N143" s="6" t="s">
        <v>2626</v>
      </c>
      <c r="O143" s="6" t="s">
        <v>2626</v>
      </c>
    </row>
    <row r="144">
      <c r="A144" s="6" t="s">
        <v>427</v>
      </c>
      <c r="B144" s="6" t="s">
        <v>427</v>
      </c>
      <c r="C144" s="6" t="s">
        <v>2930</v>
      </c>
      <c r="D144" s="6">
        <v>144.0</v>
      </c>
      <c r="F144" s="6" t="s">
        <v>424</v>
      </c>
      <c r="G144" s="6" t="s">
        <v>26</v>
      </c>
      <c r="I144" s="6" t="s">
        <v>2926</v>
      </c>
      <c r="J144" s="6">
        <v>0.0</v>
      </c>
      <c r="L144" s="6">
        <v>2500.0</v>
      </c>
      <c r="M144" s="6" t="s">
        <v>2931</v>
      </c>
      <c r="N144" s="6" t="s">
        <v>2626</v>
      </c>
      <c r="O144" s="6" t="s">
        <v>2626</v>
      </c>
    </row>
    <row r="145">
      <c r="A145" s="6" t="s">
        <v>430</v>
      </c>
      <c r="B145" s="6" t="s">
        <v>430</v>
      </c>
      <c r="C145" s="6" t="s">
        <v>2932</v>
      </c>
      <c r="D145" s="6">
        <v>145.0</v>
      </c>
      <c r="E145" s="6">
        <v>3.52373266174783E14</v>
      </c>
      <c r="F145" s="6" t="s">
        <v>254</v>
      </c>
      <c r="G145" s="6" t="s">
        <v>103</v>
      </c>
      <c r="J145" s="6">
        <v>0.0</v>
      </c>
      <c r="L145" s="6">
        <v>0.0</v>
      </c>
      <c r="M145" s="6" t="s">
        <v>2933</v>
      </c>
      <c r="N145" s="6" t="s">
        <v>2626</v>
      </c>
      <c r="O145" s="6" t="s">
        <v>2626</v>
      </c>
    </row>
    <row r="146">
      <c r="A146" s="6" t="s">
        <v>432</v>
      </c>
      <c r="B146" s="6" t="s">
        <v>432</v>
      </c>
      <c r="C146" s="6" t="s">
        <v>2934</v>
      </c>
      <c r="D146" s="6">
        <v>146.0</v>
      </c>
      <c r="F146" s="6" t="s">
        <v>306</v>
      </c>
      <c r="G146" s="6" t="s">
        <v>26</v>
      </c>
      <c r="I146" s="6" t="s">
        <v>2926</v>
      </c>
      <c r="J146" s="6">
        <v>0.0</v>
      </c>
      <c r="L146" s="6">
        <v>3000.0</v>
      </c>
      <c r="M146" s="6" t="s">
        <v>2935</v>
      </c>
      <c r="N146" s="6" t="s">
        <v>2626</v>
      </c>
      <c r="O146" s="6" t="s">
        <v>2626</v>
      </c>
    </row>
    <row r="147">
      <c r="A147" s="6" t="s">
        <v>435</v>
      </c>
      <c r="B147" s="6" t="s">
        <v>435</v>
      </c>
      <c r="C147" s="6" t="s">
        <v>2936</v>
      </c>
      <c r="D147" s="6">
        <v>147.0</v>
      </c>
      <c r="F147" s="6" t="s">
        <v>433</v>
      </c>
      <c r="G147" s="6" t="s">
        <v>26</v>
      </c>
      <c r="I147" s="6" t="s">
        <v>2926</v>
      </c>
      <c r="J147" s="6">
        <v>0.0</v>
      </c>
      <c r="L147" s="6">
        <v>225000.0</v>
      </c>
      <c r="M147" s="6" t="s">
        <v>2937</v>
      </c>
      <c r="N147" s="6" t="s">
        <v>2626</v>
      </c>
      <c r="O147" s="6" t="s">
        <v>2626</v>
      </c>
    </row>
    <row r="148">
      <c r="A148" s="6" t="s">
        <v>438</v>
      </c>
      <c r="B148" s="6" t="s">
        <v>438</v>
      </c>
      <c r="C148" s="6" t="s">
        <v>2938</v>
      </c>
      <c r="D148" s="6">
        <v>148.0</v>
      </c>
      <c r="F148" s="6" t="s">
        <v>436</v>
      </c>
      <c r="G148" s="6" t="s">
        <v>26</v>
      </c>
      <c r="I148" s="6" t="s">
        <v>2926</v>
      </c>
      <c r="J148" s="6">
        <v>0.0</v>
      </c>
      <c r="L148" s="6">
        <v>4000.0</v>
      </c>
      <c r="M148" s="6" t="s">
        <v>2939</v>
      </c>
      <c r="N148" s="6" t="s">
        <v>2626</v>
      </c>
      <c r="O148" s="6" t="s">
        <v>2626</v>
      </c>
    </row>
    <row r="149">
      <c r="A149" s="6" t="s">
        <v>441</v>
      </c>
      <c r="B149" s="6" t="s">
        <v>441</v>
      </c>
      <c r="C149" s="6" t="s">
        <v>2940</v>
      </c>
      <c r="D149" s="6">
        <v>149.0</v>
      </c>
      <c r="E149" s="6">
        <v>3.51071524715196E14</v>
      </c>
      <c r="F149" s="6" t="s">
        <v>93</v>
      </c>
      <c r="G149" s="6" t="s">
        <v>26</v>
      </c>
      <c r="I149" s="6" t="s">
        <v>2926</v>
      </c>
      <c r="J149" s="6">
        <v>0.0</v>
      </c>
      <c r="L149" s="6">
        <v>590000.0</v>
      </c>
      <c r="M149" s="6" t="s">
        <v>2941</v>
      </c>
      <c r="N149" s="6" t="s">
        <v>2626</v>
      </c>
      <c r="O149" s="6" t="s">
        <v>2626</v>
      </c>
    </row>
    <row r="150">
      <c r="A150" s="6" t="s">
        <v>444</v>
      </c>
      <c r="B150" s="6" t="s">
        <v>444</v>
      </c>
      <c r="C150" s="6" t="s">
        <v>2942</v>
      </c>
      <c r="D150" s="6">
        <v>150.0</v>
      </c>
      <c r="F150" s="6" t="s">
        <v>442</v>
      </c>
      <c r="G150" s="6" t="s">
        <v>26</v>
      </c>
      <c r="I150" s="6" t="s">
        <v>2926</v>
      </c>
      <c r="J150" s="6">
        <v>0.0</v>
      </c>
      <c r="L150" s="6">
        <v>2500.0</v>
      </c>
      <c r="M150" s="6" t="s">
        <v>2943</v>
      </c>
      <c r="N150" s="6" t="s">
        <v>2626</v>
      </c>
      <c r="O150" s="6" t="s">
        <v>2626</v>
      </c>
    </row>
    <row r="151">
      <c r="A151" s="6" t="s">
        <v>448</v>
      </c>
      <c r="B151" s="6" t="s">
        <v>448</v>
      </c>
      <c r="C151" s="6" t="s">
        <v>2944</v>
      </c>
      <c r="D151" s="6">
        <v>151.0</v>
      </c>
      <c r="F151" s="6" t="s">
        <v>445</v>
      </c>
      <c r="G151" s="6" t="s">
        <v>26</v>
      </c>
      <c r="I151" s="6" t="s">
        <v>2926</v>
      </c>
      <c r="J151" s="6">
        <v>0.0</v>
      </c>
      <c r="L151" s="6">
        <v>2500.0</v>
      </c>
      <c r="M151" s="6" t="s">
        <v>2945</v>
      </c>
      <c r="N151" s="6" t="s">
        <v>2626</v>
      </c>
      <c r="O151" s="6" t="s">
        <v>2626</v>
      </c>
    </row>
    <row r="152">
      <c r="A152" s="6" t="s">
        <v>449</v>
      </c>
      <c r="B152" s="6" t="s">
        <v>449</v>
      </c>
      <c r="C152" s="6" t="s">
        <v>2946</v>
      </c>
      <c r="D152" s="6">
        <v>152.0</v>
      </c>
      <c r="E152" s="6">
        <v>3.52373266174783E14</v>
      </c>
      <c r="F152" s="6" t="s">
        <v>23</v>
      </c>
      <c r="G152" s="6" t="s">
        <v>103</v>
      </c>
      <c r="J152" s="6">
        <v>0.0</v>
      </c>
      <c r="L152" s="6">
        <v>0.0</v>
      </c>
      <c r="M152" s="6" t="s">
        <v>2947</v>
      </c>
      <c r="N152" s="6" t="s">
        <v>2626</v>
      </c>
      <c r="O152" s="6" t="s">
        <v>2626</v>
      </c>
    </row>
    <row r="153">
      <c r="A153" s="6" t="s">
        <v>450</v>
      </c>
      <c r="B153" s="6" t="s">
        <v>450</v>
      </c>
      <c r="C153" s="6" t="s">
        <v>2948</v>
      </c>
      <c r="D153" s="6">
        <v>153.0</v>
      </c>
      <c r="F153" s="6" t="s">
        <v>23</v>
      </c>
      <c r="G153" s="6" t="s">
        <v>26</v>
      </c>
      <c r="I153" s="6" t="s">
        <v>2926</v>
      </c>
      <c r="J153" s="6">
        <v>0.0</v>
      </c>
      <c r="L153" s="6">
        <v>2500.0</v>
      </c>
      <c r="M153" s="6" t="s">
        <v>2949</v>
      </c>
      <c r="N153" s="6" t="s">
        <v>2626</v>
      </c>
      <c r="O153" s="6" t="s">
        <v>2626</v>
      </c>
    </row>
    <row r="154">
      <c r="A154" s="6" t="s">
        <v>452</v>
      </c>
      <c r="B154" s="6" t="s">
        <v>452</v>
      </c>
      <c r="C154" s="6" t="s">
        <v>2950</v>
      </c>
      <c r="D154" s="6">
        <v>154.0</v>
      </c>
      <c r="F154" s="6" t="s">
        <v>70</v>
      </c>
      <c r="G154" s="6" t="s">
        <v>26</v>
      </c>
      <c r="I154" s="6" t="s">
        <v>2926</v>
      </c>
      <c r="J154" s="6">
        <v>0.0</v>
      </c>
      <c r="L154" s="6">
        <v>2500.0</v>
      </c>
      <c r="M154" s="6" t="s">
        <v>2951</v>
      </c>
      <c r="N154" s="6" t="s">
        <v>2626</v>
      </c>
      <c r="O154" s="6" t="s">
        <v>2626</v>
      </c>
    </row>
    <row r="155">
      <c r="A155" s="6" t="s">
        <v>453</v>
      </c>
      <c r="B155" s="6" t="s">
        <v>453</v>
      </c>
      <c r="C155" s="6" t="s">
        <v>2952</v>
      </c>
      <c r="D155" s="6">
        <v>155.0</v>
      </c>
      <c r="E155" s="6">
        <v>3.53247108602988E14</v>
      </c>
      <c r="F155" s="6" t="s">
        <v>424</v>
      </c>
      <c r="G155" s="6" t="s">
        <v>103</v>
      </c>
      <c r="J155" s="6">
        <v>0.0</v>
      </c>
      <c r="L155" s="6">
        <v>0.0</v>
      </c>
      <c r="M155" s="6" t="s">
        <v>2953</v>
      </c>
      <c r="N155" s="6" t="s">
        <v>2626</v>
      </c>
      <c r="O155" s="6" t="s">
        <v>2626</v>
      </c>
    </row>
    <row r="156">
      <c r="A156" s="6" t="s">
        <v>456</v>
      </c>
      <c r="B156" s="6" t="s">
        <v>456</v>
      </c>
      <c r="C156" s="6" t="s">
        <v>2954</v>
      </c>
      <c r="D156" s="6">
        <v>156.0</v>
      </c>
      <c r="F156" s="6" t="s">
        <v>454</v>
      </c>
      <c r="G156" s="6" t="s">
        <v>26</v>
      </c>
      <c r="I156" s="6" t="s">
        <v>2926</v>
      </c>
      <c r="J156" s="6">
        <v>0.0</v>
      </c>
      <c r="L156" s="6">
        <v>40000.0</v>
      </c>
      <c r="M156" s="6" t="s">
        <v>2955</v>
      </c>
      <c r="N156" s="6" t="s">
        <v>2626</v>
      </c>
      <c r="O156" s="6" t="s">
        <v>2626</v>
      </c>
    </row>
    <row r="157">
      <c r="A157" s="6" t="s">
        <v>458</v>
      </c>
      <c r="B157" s="6" t="s">
        <v>458</v>
      </c>
      <c r="C157" s="6" t="s">
        <v>2956</v>
      </c>
      <c r="D157" s="6">
        <v>157.0</v>
      </c>
      <c r="F157" s="6" t="s">
        <v>445</v>
      </c>
      <c r="G157" s="6" t="s">
        <v>26</v>
      </c>
      <c r="I157" s="6" t="s">
        <v>2926</v>
      </c>
      <c r="J157" s="6">
        <v>0.0</v>
      </c>
      <c r="L157" s="6">
        <v>2500.0</v>
      </c>
      <c r="M157" s="6" t="s">
        <v>2957</v>
      </c>
      <c r="N157" s="6" t="s">
        <v>2626</v>
      </c>
      <c r="O157" s="6" t="s">
        <v>2626</v>
      </c>
    </row>
    <row r="158">
      <c r="A158" s="6" t="s">
        <v>460</v>
      </c>
      <c r="B158" s="6" t="s">
        <v>460</v>
      </c>
      <c r="C158" s="6" t="s">
        <v>2958</v>
      </c>
      <c r="D158" s="6">
        <v>158.0</v>
      </c>
      <c r="F158" s="6" t="s">
        <v>459</v>
      </c>
      <c r="G158" s="6" t="s">
        <v>26</v>
      </c>
      <c r="I158" s="6" t="s">
        <v>2926</v>
      </c>
      <c r="J158" s="6">
        <v>0.0</v>
      </c>
      <c r="L158" s="6">
        <v>5000.0</v>
      </c>
      <c r="M158" s="6" t="s">
        <v>2959</v>
      </c>
      <c r="N158" s="6" t="s">
        <v>2626</v>
      </c>
      <c r="O158" s="6" t="s">
        <v>2626</v>
      </c>
    </row>
    <row r="159">
      <c r="A159" s="6" t="s">
        <v>463</v>
      </c>
      <c r="B159" s="6" t="s">
        <v>463</v>
      </c>
      <c r="C159" s="6" t="s">
        <v>2960</v>
      </c>
      <c r="D159" s="6">
        <v>159.0</v>
      </c>
      <c r="F159" s="6" t="s">
        <v>461</v>
      </c>
      <c r="G159" s="6" t="s">
        <v>26</v>
      </c>
      <c r="I159" s="6" t="s">
        <v>2926</v>
      </c>
      <c r="J159" s="6">
        <v>0.0</v>
      </c>
      <c r="L159" s="6">
        <v>90000.0</v>
      </c>
      <c r="M159" s="6" t="s">
        <v>2961</v>
      </c>
      <c r="N159" s="6" t="s">
        <v>2626</v>
      </c>
      <c r="O159" s="6" t="s">
        <v>2626</v>
      </c>
    </row>
    <row r="160">
      <c r="A160" s="6" t="s">
        <v>467</v>
      </c>
      <c r="B160" s="6" t="s">
        <v>467</v>
      </c>
      <c r="C160" s="6" t="s">
        <v>2962</v>
      </c>
      <c r="D160" s="6">
        <v>160.0</v>
      </c>
      <c r="F160" s="6" t="s">
        <v>464</v>
      </c>
      <c r="G160" s="6" t="s">
        <v>26</v>
      </c>
      <c r="I160" s="6" t="s">
        <v>2926</v>
      </c>
      <c r="J160" s="6">
        <v>0.0</v>
      </c>
      <c r="L160" s="6">
        <v>2500.0</v>
      </c>
      <c r="M160" s="6" t="s">
        <v>2963</v>
      </c>
      <c r="N160" s="6" t="s">
        <v>2626</v>
      </c>
      <c r="O160" s="6" t="s">
        <v>2626</v>
      </c>
    </row>
    <row r="161">
      <c r="A161" s="6" t="s">
        <v>468</v>
      </c>
      <c r="B161" s="6" t="s">
        <v>468</v>
      </c>
      <c r="C161" s="6" t="s">
        <v>2964</v>
      </c>
      <c r="D161" s="6">
        <v>161.0</v>
      </c>
      <c r="E161" s="6" t="s">
        <v>285</v>
      </c>
      <c r="F161" s="6" t="s">
        <v>285</v>
      </c>
      <c r="G161" s="6" t="s">
        <v>285</v>
      </c>
      <c r="J161" s="6">
        <v>0.0</v>
      </c>
      <c r="L161" s="6">
        <v>0.0</v>
      </c>
      <c r="M161" s="6" t="s">
        <v>2965</v>
      </c>
      <c r="N161" s="6" t="s">
        <v>2626</v>
      </c>
      <c r="O161" s="6" t="s">
        <v>2626</v>
      </c>
    </row>
    <row r="162">
      <c r="A162" s="6" t="s">
        <v>469</v>
      </c>
      <c r="B162" s="6" t="s">
        <v>469</v>
      </c>
      <c r="C162" s="6" t="s">
        <v>2966</v>
      </c>
      <c r="D162" s="6">
        <v>162.0</v>
      </c>
      <c r="E162" s="6" t="s">
        <v>285</v>
      </c>
      <c r="F162" s="6" t="s">
        <v>285</v>
      </c>
      <c r="G162" s="6" t="s">
        <v>285</v>
      </c>
      <c r="J162" s="6">
        <v>0.0</v>
      </c>
      <c r="L162" s="6">
        <v>0.0</v>
      </c>
      <c r="M162" s="6" t="s">
        <v>2967</v>
      </c>
      <c r="N162" s="6" t="s">
        <v>2626</v>
      </c>
      <c r="O162" s="6" t="s">
        <v>2626</v>
      </c>
    </row>
    <row r="163">
      <c r="A163" s="6" t="s">
        <v>472</v>
      </c>
      <c r="B163" s="6" t="s">
        <v>472</v>
      </c>
      <c r="C163" s="6" t="s">
        <v>2968</v>
      </c>
      <c r="D163" s="6">
        <v>163.0</v>
      </c>
      <c r="E163" s="6">
        <v>3.53247108602988E14</v>
      </c>
      <c r="F163" s="6" t="s">
        <v>404</v>
      </c>
      <c r="G163" s="6" t="s">
        <v>103</v>
      </c>
      <c r="J163" s="6">
        <v>0.0</v>
      </c>
      <c r="L163" s="6">
        <v>0.0</v>
      </c>
      <c r="M163" s="6" t="s">
        <v>2969</v>
      </c>
      <c r="N163" s="6" t="s">
        <v>2626</v>
      </c>
      <c r="O163" s="6" t="s">
        <v>2626</v>
      </c>
    </row>
    <row r="164">
      <c r="A164" s="6" t="s">
        <v>476</v>
      </c>
      <c r="B164" s="6" t="s">
        <v>476</v>
      </c>
      <c r="C164" s="6" t="s">
        <v>2970</v>
      </c>
      <c r="D164" s="6">
        <v>164.0</v>
      </c>
      <c r="F164" s="6" t="s">
        <v>473</v>
      </c>
      <c r="G164" s="6" t="s">
        <v>26</v>
      </c>
      <c r="I164" s="6" t="s">
        <v>2971</v>
      </c>
      <c r="J164" s="6">
        <v>0.0</v>
      </c>
      <c r="L164" s="6">
        <v>2500.0</v>
      </c>
      <c r="M164" s="6" t="s">
        <v>2972</v>
      </c>
      <c r="N164" s="6" t="s">
        <v>2626</v>
      </c>
      <c r="O164" s="6" t="s">
        <v>2626</v>
      </c>
    </row>
    <row r="165">
      <c r="A165" s="6" t="s">
        <v>478</v>
      </c>
      <c r="B165" s="6" t="s">
        <v>478</v>
      </c>
      <c r="C165" s="6" t="s">
        <v>2973</v>
      </c>
      <c r="D165" s="6">
        <v>165.0</v>
      </c>
      <c r="E165" s="6">
        <v>3.52373266174783E14</v>
      </c>
      <c r="F165" s="6" t="s">
        <v>23</v>
      </c>
      <c r="G165" s="6" t="s">
        <v>26</v>
      </c>
      <c r="I165" s="6" t="s">
        <v>2971</v>
      </c>
      <c r="J165" s="6">
        <v>0.0</v>
      </c>
      <c r="L165" s="6">
        <v>920000.0</v>
      </c>
      <c r="M165" s="6" t="s">
        <v>2974</v>
      </c>
      <c r="N165" s="6" t="s">
        <v>2626</v>
      </c>
      <c r="O165" s="6" t="s">
        <v>2626</v>
      </c>
    </row>
    <row r="166">
      <c r="A166" s="6" t="s">
        <v>482</v>
      </c>
      <c r="B166" s="6" t="s">
        <v>482</v>
      </c>
      <c r="C166" s="6" t="s">
        <v>2975</v>
      </c>
      <c r="D166" s="6">
        <v>166.0</v>
      </c>
      <c r="E166" s="6">
        <v>3.58915828246758E14</v>
      </c>
      <c r="F166" s="6" t="s">
        <v>404</v>
      </c>
      <c r="G166" s="6" t="s">
        <v>481</v>
      </c>
      <c r="J166" s="6">
        <v>0.0</v>
      </c>
      <c r="L166" s="6">
        <v>0.0</v>
      </c>
      <c r="M166" s="6" t="s">
        <v>2976</v>
      </c>
      <c r="N166" s="6" t="s">
        <v>2626</v>
      </c>
      <c r="O166" s="6" t="s">
        <v>2626</v>
      </c>
    </row>
    <row r="167">
      <c r="A167" s="6" t="s">
        <v>484</v>
      </c>
      <c r="B167" s="6" t="s">
        <v>484</v>
      </c>
      <c r="C167" s="6" t="s">
        <v>2977</v>
      </c>
      <c r="D167" s="6">
        <v>167.0</v>
      </c>
      <c r="F167" s="6" t="s">
        <v>230</v>
      </c>
      <c r="G167" s="6" t="s">
        <v>26</v>
      </c>
      <c r="I167" s="6" t="s">
        <v>2971</v>
      </c>
      <c r="J167" s="6">
        <v>0.0</v>
      </c>
      <c r="L167" s="6">
        <v>3000.0</v>
      </c>
      <c r="M167" s="6" t="s">
        <v>2978</v>
      </c>
      <c r="N167" s="6" t="s">
        <v>2626</v>
      </c>
      <c r="O167" s="6" t="s">
        <v>2626</v>
      </c>
    </row>
    <row r="168">
      <c r="A168" s="6" t="s">
        <v>487</v>
      </c>
      <c r="B168" s="6" t="s">
        <v>487</v>
      </c>
      <c r="C168" s="6" t="s">
        <v>2979</v>
      </c>
      <c r="D168" s="6">
        <v>168.0</v>
      </c>
      <c r="F168" s="6" t="s">
        <v>485</v>
      </c>
      <c r="G168" s="6" t="s">
        <v>26</v>
      </c>
      <c r="I168" s="6" t="s">
        <v>2971</v>
      </c>
      <c r="J168" s="6">
        <v>0.0</v>
      </c>
      <c r="L168" s="6">
        <v>2500.0</v>
      </c>
      <c r="M168" s="6" t="s">
        <v>2980</v>
      </c>
      <c r="N168" s="6" t="s">
        <v>2626</v>
      </c>
      <c r="O168" s="6" t="s">
        <v>2626</v>
      </c>
    </row>
    <row r="169">
      <c r="A169" s="6" t="s">
        <v>490</v>
      </c>
      <c r="B169" s="6" t="s">
        <v>490</v>
      </c>
      <c r="C169" s="6" t="s">
        <v>2981</v>
      </c>
      <c r="D169" s="6">
        <v>169.0</v>
      </c>
      <c r="F169" s="6" t="s">
        <v>488</v>
      </c>
      <c r="G169" s="6" t="s">
        <v>26</v>
      </c>
      <c r="I169" s="6" t="s">
        <v>2971</v>
      </c>
      <c r="J169" s="6">
        <v>0.0</v>
      </c>
      <c r="L169" s="6">
        <v>2500.0</v>
      </c>
      <c r="M169" s="6" t="s">
        <v>2982</v>
      </c>
      <c r="N169" s="6" t="s">
        <v>2626</v>
      </c>
      <c r="O169" s="6" t="s">
        <v>2626</v>
      </c>
    </row>
    <row r="170">
      <c r="A170" s="6" t="s">
        <v>492</v>
      </c>
      <c r="B170" s="6" t="s">
        <v>492</v>
      </c>
      <c r="C170" s="6" t="s">
        <v>2983</v>
      </c>
      <c r="D170" s="6">
        <v>170.0</v>
      </c>
      <c r="E170" s="6">
        <v>3.53247108602988E14</v>
      </c>
      <c r="F170" s="6" t="s">
        <v>404</v>
      </c>
      <c r="G170" s="6" t="s">
        <v>26</v>
      </c>
      <c r="I170" s="6" t="s">
        <v>2971</v>
      </c>
      <c r="J170" s="6">
        <v>0.0</v>
      </c>
      <c r="L170" s="6">
        <v>280000.0</v>
      </c>
      <c r="M170" s="6" t="s">
        <v>2984</v>
      </c>
      <c r="N170" s="6" t="s">
        <v>2626</v>
      </c>
      <c r="O170" s="6" t="s">
        <v>2626</v>
      </c>
    </row>
    <row r="171">
      <c r="A171" s="6" t="s">
        <v>494</v>
      </c>
      <c r="B171" s="6" t="s">
        <v>494</v>
      </c>
      <c r="C171" s="6" t="s">
        <v>2985</v>
      </c>
      <c r="D171" s="6">
        <v>171.0</v>
      </c>
      <c r="F171" s="6" t="s">
        <v>50</v>
      </c>
      <c r="G171" s="6" t="s">
        <v>26</v>
      </c>
      <c r="I171" s="6" t="s">
        <v>2971</v>
      </c>
      <c r="J171" s="6">
        <v>0.0</v>
      </c>
      <c r="L171" s="6">
        <v>2500.0</v>
      </c>
      <c r="M171" s="6" t="s">
        <v>2986</v>
      </c>
      <c r="N171" s="6" t="s">
        <v>2626</v>
      </c>
      <c r="O171" s="6" t="s">
        <v>2626</v>
      </c>
    </row>
    <row r="172">
      <c r="A172" s="6" t="s">
        <v>497</v>
      </c>
      <c r="B172" s="6" t="s">
        <v>497</v>
      </c>
      <c r="C172" s="6" t="s">
        <v>2987</v>
      </c>
      <c r="D172" s="6">
        <v>172.0</v>
      </c>
      <c r="F172" s="6" t="s">
        <v>495</v>
      </c>
      <c r="G172" s="6" t="s">
        <v>26</v>
      </c>
      <c r="I172" s="6" t="s">
        <v>2971</v>
      </c>
      <c r="J172" s="6">
        <v>0.0</v>
      </c>
      <c r="L172" s="6">
        <v>2500.0</v>
      </c>
      <c r="M172" s="6" t="s">
        <v>2988</v>
      </c>
      <c r="N172" s="6" t="s">
        <v>2626</v>
      </c>
      <c r="O172" s="6" t="s">
        <v>2626</v>
      </c>
    </row>
    <row r="173">
      <c r="A173" s="6" t="s">
        <v>499</v>
      </c>
      <c r="B173" s="6" t="s">
        <v>499</v>
      </c>
      <c r="C173" s="6" t="s">
        <v>2989</v>
      </c>
      <c r="D173" s="6">
        <v>173.0</v>
      </c>
      <c r="F173" s="6" t="s">
        <v>93</v>
      </c>
      <c r="G173" s="6" t="s">
        <v>26</v>
      </c>
      <c r="I173" s="6" t="s">
        <v>2971</v>
      </c>
      <c r="J173" s="6">
        <v>0.0</v>
      </c>
      <c r="L173" s="6">
        <v>2500.0</v>
      </c>
      <c r="M173" s="6" t="s">
        <v>2990</v>
      </c>
      <c r="N173" s="6" t="s">
        <v>2626</v>
      </c>
      <c r="O173" s="6" t="s">
        <v>2626</v>
      </c>
    </row>
    <row r="174">
      <c r="A174" s="6" t="s">
        <v>503</v>
      </c>
      <c r="B174" s="6" t="s">
        <v>503</v>
      </c>
      <c r="C174" s="6" t="s">
        <v>2991</v>
      </c>
      <c r="D174" s="6">
        <v>174.0</v>
      </c>
      <c r="E174" s="6">
        <v>3.58302111565956E14</v>
      </c>
      <c r="F174" s="6" t="s">
        <v>500</v>
      </c>
      <c r="G174" s="6" t="s">
        <v>26</v>
      </c>
      <c r="I174" s="6" t="s">
        <v>2971</v>
      </c>
      <c r="J174" s="6">
        <v>0.0</v>
      </c>
      <c r="L174" s="6">
        <v>1230000.0</v>
      </c>
      <c r="M174" s="6" t="s">
        <v>2992</v>
      </c>
      <c r="N174" s="6" t="s">
        <v>2626</v>
      </c>
      <c r="O174" s="6" t="s">
        <v>2626</v>
      </c>
    </row>
    <row r="175">
      <c r="A175" s="6" t="s">
        <v>505</v>
      </c>
      <c r="B175" s="6" t="s">
        <v>505</v>
      </c>
      <c r="C175" s="6" t="s">
        <v>2993</v>
      </c>
      <c r="D175" s="6">
        <v>175.0</v>
      </c>
      <c r="F175" s="6" t="s">
        <v>488</v>
      </c>
      <c r="G175" s="6" t="s">
        <v>26</v>
      </c>
      <c r="I175" s="6" t="s">
        <v>2971</v>
      </c>
      <c r="J175" s="6">
        <v>0.0</v>
      </c>
      <c r="L175" s="6">
        <v>4000.0</v>
      </c>
      <c r="M175" s="6" t="s">
        <v>2994</v>
      </c>
      <c r="N175" s="6" t="s">
        <v>2626</v>
      </c>
      <c r="O175" s="6" t="s">
        <v>2626</v>
      </c>
    </row>
    <row r="176">
      <c r="A176" s="6" t="s">
        <v>507</v>
      </c>
      <c r="B176" s="6" t="s">
        <v>507</v>
      </c>
      <c r="C176" s="6" t="s">
        <v>2995</v>
      </c>
      <c r="D176" s="6">
        <v>176.0</v>
      </c>
      <c r="F176" s="6" t="s">
        <v>506</v>
      </c>
      <c r="G176" s="6" t="s">
        <v>26</v>
      </c>
      <c r="I176" s="6" t="s">
        <v>2971</v>
      </c>
      <c r="J176" s="6">
        <v>0.0</v>
      </c>
      <c r="L176" s="6">
        <v>5000.0</v>
      </c>
      <c r="M176" s="6" t="s">
        <v>2996</v>
      </c>
      <c r="N176" s="6" t="s">
        <v>2626</v>
      </c>
      <c r="O176" s="6" t="s">
        <v>2626</v>
      </c>
    </row>
    <row r="177">
      <c r="A177" s="6" t="s">
        <v>509</v>
      </c>
      <c r="B177" s="6" t="s">
        <v>509</v>
      </c>
      <c r="C177" s="6" t="s">
        <v>2997</v>
      </c>
      <c r="D177" s="6">
        <v>177.0</v>
      </c>
      <c r="E177" s="6" t="s">
        <v>195</v>
      </c>
      <c r="F177" s="6" t="s">
        <v>508</v>
      </c>
      <c r="G177" s="6" t="s">
        <v>140</v>
      </c>
      <c r="J177" s="6">
        <v>0.0</v>
      </c>
      <c r="L177" s="6">
        <v>0.0</v>
      </c>
      <c r="M177" s="6" t="s">
        <v>2998</v>
      </c>
      <c r="N177" s="6" t="s">
        <v>2626</v>
      </c>
      <c r="O177" s="6" t="s">
        <v>2626</v>
      </c>
    </row>
    <row r="178">
      <c r="A178" s="6" t="s">
        <v>510</v>
      </c>
      <c r="B178" s="6" t="s">
        <v>510</v>
      </c>
      <c r="C178" s="6" t="s">
        <v>2999</v>
      </c>
      <c r="D178" s="6">
        <v>178.0</v>
      </c>
      <c r="E178" s="6" t="s">
        <v>195</v>
      </c>
      <c r="F178" s="6" t="s">
        <v>508</v>
      </c>
      <c r="G178" s="6" t="s">
        <v>140</v>
      </c>
      <c r="J178" s="6">
        <v>0.0</v>
      </c>
      <c r="L178" s="6">
        <v>0.0</v>
      </c>
      <c r="M178" s="6" t="s">
        <v>3000</v>
      </c>
      <c r="N178" s="6" t="s">
        <v>2626</v>
      </c>
      <c r="O178" s="6" t="s">
        <v>2626</v>
      </c>
    </row>
    <row r="179">
      <c r="A179" s="6" t="s">
        <v>511</v>
      </c>
      <c r="B179" s="6" t="s">
        <v>511</v>
      </c>
      <c r="C179" s="6" t="s">
        <v>3001</v>
      </c>
      <c r="D179" s="6">
        <v>179.0</v>
      </c>
      <c r="E179" s="6" t="s">
        <v>195</v>
      </c>
      <c r="F179" s="6" t="s">
        <v>508</v>
      </c>
      <c r="G179" s="6" t="s">
        <v>140</v>
      </c>
      <c r="J179" s="6">
        <v>0.0</v>
      </c>
      <c r="L179" s="6">
        <v>0.0</v>
      </c>
      <c r="M179" s="6" t="s">
        <v>3002</v>
      </c>
      <c r="N179" s="6" t="s">
        <v>2626</v>
      </c>
      <c r="O179" s="6" t="s">
        <v>2626</v>
      </c>
    </row>
    <row r="180">
      <c r="A180" s="6" t="s">
        <v>512</v>
      </c>
      <c r="B180" s="6" t="s">
        <v>512</v>
      </c>
      <c r="C180" s="6" t="s">
        <v>3003</v>
      </c>
      <c r="D180" s="6">
        <v>180.0</v>
      </c>
      <c r="E180" s="6" t="s">
        <v>195</v>
      </c>
      <c r="F180" s="6" t="s">
        <v>508</v>
      </c>
      <c r="G180" s="6" t="s">
        <v>140</v>
      </c>
      <c r="J180" s="6">
        <v>0.0</v>
      </c>
      <c r="L180" s="6">
        <v>0.0</v>
      </c>
      <c r="M180" s="6" t="s">
        <v>3004</v>
      </c>
      <c r="N180" s="6" t="s">
        <v>2626</v>
      </c>
      <c r="O180" s="6" t="s">
        <v>2626</v>
      </c>
    </row>
    <row r="181">
      <c r="A181" s="6" t="s">
        <v>516</v>
      </c>
      <c r="B181" s="6" t="s">
        <v>516</v>
      </c>
      <c r="C181" s="6" t="s">
        <v>3005</v>
      </c>
      <c r="D181" s="6">
        <v>181.0</v>
      </c>
      <c r="E181" s="6" t="s">
        <v>515</v>
      </c>
      <c r="F181" s="6" t="s">
        <v>513</v>
      </c>
      <c r="G181" s="6" t="s">
        <v>26</v>
      </c>
      <c r="I181" s="6" t="s">
        <v>3006</v>
      </c>
      <c r="J181" s="6">
        <v>0.0</v>
      </c>
      <c r="L181" s="6">
        <v>540000.0</v>
      </c>
      <c r="M181" s="6" t="s">
        <v>3007</v>
      </c>
      <c r="N181" s="6" t="s">
        <v>2626</v>
      </c>
      <c r="O181" s="6" t="s">
        <v>2626</v>
      </c>
    </row>
    <row r="182">
      <c r="A182" s="6" t="s">
        <v>518</v>
      </c>
      <c r="B182" s="6" t="s">
        <v>518</v>
      </c>
      <c r="C182" s="6" t="s">
        <v>3008</v>
      </c>
      <c r="D182" s="6">
        <v>182.0</v>
      </c>
      <c r="F182" s="6" t="s">
        <v>513</v>
      </c>
      <c r="G182" s="6" t="s">
        <v>26</v>
      </c>
      <c r="I182" s="6" t="s">
        <v>3006</v>
      </c>
      <c r="J182" s="6">
        <v>0.0</v>
      </c>
      <c r="L182" s="6">
        <v>1340000.0</v>
      </c>
      <c r="M182" s="6" t="s">
        <v>3009</v>
      </c>
      <c r="N182" s="6" t="s">
        <v>2626</v>
      </c>
      <c r="O182" s="6" t="s">
        <v>2626</v>
      </c>
    </row>
    <row r="183">
      <c r="A183" s="6" t="s">
        <v>520</v>
      </c>
      <c r="B183" s="6" t="s">
        <v>520</v>
      </c>
      <c r="C183" s="6" t="s">
        <v>3010</v>
      </c>
      <c r="D183" s="6">
        <v>183.0</v>
      </c>
      <c r="F183" s="6" t="s">
        <v>424</v>
      </c>
      <c r="G183" s="6" t="s">
        <v>26</v>
      </c>
      <c r="I183" s="6" t="s">
        <v>3006</v>
      </c>
      <c r="J183" s="6">
        <v>0.0</v>
      </c>
      <c r="L183" s="6">
        <v>2500.0</v>
      </c>
      <c r="M183" s="6" t="s">
        <v>3011</v>
      </c>
      <c r="N183" s="6" t="s">
        <v>2626</v>
      </c>
      <c r="O183" s="6" t="s">
        <v>2626</v>
      </c>
    </row>
    <row r="184">
      <c r="A184" s="6" t="s">
        <v>522</v>
      </c>
      <c r="B184" s="6" t="s">
        <v>522</v>
      </c>
      <c r="C184" s="6" t="s">
        <v>3012</v>
      </c>
      <c r="D184" s="6">
        <v>184.0</v>
      </c>
      <c r="E184" s="6">
        <v>3.56295374969208E14</v>
      </c>
      <c r="F184" s="6" t="s">
        <v>513</v>
      </c>
      <c r="G184" s="6" t="s">
        <v>103</v>
      </c>
      <c r="J184" s="6">
        <v>0.0</v>
      </c>
      <c r="L184" s="6">
        <v>0.0</v>
      </c>
      <c r="M184" s="6" t="s">
        <v>3013</v>
      </c>
      <c r="N184" s="6" t="s">
        <v>2626</v>
      </c>
      <c r="O184" s="6" t="s">
        <v>2626</v>
      </c>
    </row>
    <row r="185">
      <c r="A185" s="6" t="s">
        <v>525</v>
      </c>
      <c r="B185" s="6" t="s">
        <v>525</v>
      </c>
      <c r="C185" s="6" t="s">
        <v>3014</v>
      </c>
      <c r="D185" s="6">
        <v>185.0</v>
      </c>
      <c r="E185" s="6">
        <v>3.5970237250843E14</v>
      </c>
      <c r="F185" s="6" t="s">
        <v>50</v>
      </c>
      <c r="G185" s="6" t="s">
        <v>103</v>
      </c>
      <c r="J185" s="6">
        <v>0.0</v>
      </c>
      <c r="L185" s="6">
        <v>0.0</v>
      </c>
      <c r="M185" s="6" t="s">
        <v>3015</v>
      </c>
      <c r="N185" s="6" t="s">
        <v>2626</v>
      </c>
      <c r="O185" s="6" t="s">
        <v>2626</v>
      </c>
    </row>
    <row r="186">
      <c r="A186" s="6" t="s">
        <v>527</v>
      </c>
      <c r="B186" s="6" t="s">
        <v>527</v>
      </c>
      <c r="C186" s="6" t="s">
        <v>3016</v>
      </c>
      <c r="D186" s="6">
        <v>186.0</v>
      </c>
      <c r="F186" s="6" t="s">
        <v>248</v>
      </c>
      <c r="G186" s="6" t="s">
        <v>26</v>
      </c>
      <c r="I186" s="6" t="s">
        <v>3006</v>
      </c>
      <c r="J186" s="6">
        <v>0.0</v>
      </c>
      <c r="L186" s="6">
        <v>2500.0</v>
      </c>
      <c r="M186" s="6" t="s">
        <v>3017</v>
      </c>
      <c r="N186" s="6" t="s">
        <v>2626</v>
      </c>
      <c r="O186" s="6" t="s">
        <v>2626</v>
      </c>
    </row>
    <row r="187">
      <c r="A187" s="6" t="s">
        <v>529</v>
      </c>
      <c r="B187" s="6" t="s">
        <v>529</v>
      </c>
      <c r="C187" s="6" t="s">
        <v>3018</v>
      </c>
      <c r="D187" s="6">
        <v>187.0</v>
      </c>
      <c r="F187" s="6" t="s">
        <v>473</v>
      </c>
      <c r="G187" s="6" t="s">
        <v>26</v>
      </c>
      <c r="I187" s="6" t="s">
        <v>3006</v>
      </c>
      <c r="J187" s="6">
        <v>0.0</v>
      </c>
      <c r="L187" s="6">
        <v>2500.0</v>
      </c>
      <c r="M187" s="6" t="s">
        <v>3019</v>
      </c>
      <c r="N187" s="6" t="s">
        <v>2626</v>
      </c>
      <c r="O187" s="6" t="s">
        <v>2626</v>
      </c>
    </row>
    <row r="188">
      <c r="A188" s="6" t="s">
        <v>531</v>
      </c>
      <c r="B188" s="6" t="s">
        <v>531</v>
      </c>
      <c r="C188" s="6" t="s">
        <v>3020</v>
      </c>
      <c r="D188" s="6">
        <v>188.0</v>
      </c>
      <c r="F188" s="6" t="s">
        <v>530</v>
      </c>
      <c r="G188" s="6" t="s">
        <v>26</v>
      </c>
      <c r="I188" s="6" t="s">
        <v>3006</v>
      </c>
      <c r="J188" s="6">
        <v>0.0</v>
      </c>
      <c r="L188" s="6">
        <v>2500.0</v>
      </c>
      <c r="M188" s="6" t="s">
        <v>3021</v>
      </c>
      <c r="N188" s="6" t="s">
        <v>2626</v>
      </c>
      <c r="O188" s="6" t="s">
        <v>2626</v>
      </c>
    </row>
    <row r="189">
      <c r="A189" s="6" t="s">
        <v>532</v>
      </c>
      <c r="B189" s="6" t="s">
        <v>532</v>
      </c>
      <c r="C189" s="6" t="s">
        <v>3022</v>
      </c>
      <c r="D189" s="6">
        <v>189.0</v>
      </c>
      <c r="E189" s="6" t="s">
        <v>508</v>
      </c>
      <c r="F189" s="6" t="s">
        <v>508</v>
      </c>
      <c r="G189" s="6" t="s">
        <v>140</v>
      </c>
      <c r="J189" s="6">
        <v>0.0</v>
      </c>
      <c r="L189" s="6">
        <v>0.0</v>
      </c>
      <c r="M189" s="6" t="s">
        <v>3023</v>
      </c>
      <c r="N189" s="6" t="s">
        <v>2626</v>
      </c>
      <c r="O189" s="6" t="s">
        <v>2626</v>
      </c>
    </row>
    <row r="190">
      <c r="A190" s="6" t="s">
        <v>533</v>
      </c>
      <c r="B190" s="6" t="s">
        <v>533</v>
      </c>
      <c r="C190" s="6" t="s">
        <v>3024</v>
      </c>
      <c r="D190" s="6">
        <v>190.0</v>
      </c>
      <c r="E190" s="6" t="s">
        <v>508</v>
      </c>
      <c r="F190" s="6" t="s">
        <v>508</v>
      </c>
      <c r="G190" s="6" t="s">
        <v>140</v>
      </c>
      <c r="J190" s="6">
        <v>0.0</v>
      </c>
      <c r="L190" s="6">
        <v>0.0</v>
      </c>
      <c r="M190" s="6" t="s">
        <v>3025</v>
      </c>
      <c r="N190" s="6" t="s">
        <v>2626</v>
      </c>
      <c r="O190" s="6" t="s">
        <v>2626</v>
      </c>
    </row>
    <row r="191">
      <c r="A191" s="6" t="s">
        <v>534</v>
      </c>
      <c r="B191" s="6" t="s">
        <v>534</v>
      </c>
      <c r="C191" s="6" t="s">
        <v>3026</v>
      </c>
      <c r="D191" s="6">
        <v>191.0</v>
      </c>
      <c r="F191" s="6" t="s">
        <v>173</v>
      </c>
      <c r="G191" s="6" t="s">
        <v>121</v>
      </c>
      <c r="J191" s="6">
        <v>0.0</v>
      </c>
      <c r="L191" s="6">
        <v>0.0</v>
      </c>
      <c r="M191" s="6" t="s">
        <v>3027</v>
      </c>
      <c r="N191" s="6" t="s">
        <v>2626</v>
      </c>
      <c r="O191" s="6" t="s">
        <v>2626</v>
      </c>
    </row>
    <row r="192">
      <c r="A192" s="6" t="s">
        <v>537</v>
      </c>
      <c r="B192" s="6" t="s">
        <v>537</v>
      </c>
      <c r="C192" s="6" t="s">
        <v>3028</v>
      </c>
      <c r="D192" s="6">
        <v>192.0</v>
      </c>
      <c r="F192" s="6" t="s">
        <v>535</v>
      </c>
      <c r="G192" s="6" t="s">
        <v>26</v>
      </c>
      <c r="I192" s="6" t="s">
        <v>3029</v>
      </c>
      <c r="J192" s="6">
        <v>0.0</v>
      </c>
      <c r="L192" s="6">
        <v>2500.0</v>
      </c>
      <c r="M192" s="6" t="s">
        <v>3030</v>
      </c>
      <c r="N192" s="6" t="s">
        <v>2626</v>
      </c>
      <c r="O192" s="6" t="s">
        <v>2626</v>
      </c>
    </row>
    <row r="193">
      <c r="A193" s="6" t="s">
        <v>539</v>
      </c>
      <c r="B193" s="6" t="s">
        <v>539</v>
      </c>
      <c r="C193" s="6" t="s">
        <v>3031</v>
      </c>
      <c r="D193" s="6">
        <v>193.0</v>
      </c>
      <c r="F193" s="6" t="s">
        <v>105</v>
      </c>
      <c r="G193" s="6" t="s">
        <v>26</v>
      </c>
      <c r="I193" s="6" t="s">
        <v>3029</v>
      </c>
      <c r="J193" s="6">
        <v>0.0</v>
      </c>
      <c r="L193" s="6">
        <v>25000.0</v>
      </c>
      <c r="M193" s="6" t="s">
        <v>3032</v>
      </c>
      <c r="N193" s="6" t="s">
        <v>2626</v>
      </c>
      <c r="O193" s="6" t="s">
        <v>2626</v>
      </c>
    </row>
    <row r="194">
      <c r="A194" s="6" t="s">
        <v>541</v>
      </c>
      <c r="B194" s="6" t="s">
        <v>541</v>
      </c>
      <c r="C194" s="6" t="s">
        <v>3033</v>
      </c>
      <c r="D194" s="6">
        <v>194.0</v>
      </c>
      <c r="F194" s="6" t="s">
        <v>54</v>
      </c>
      <c r="G194" s="6" t="s">
        <v>26</v>
      </c>
      <c r="I194" s="6" t="s">
        <v>3029</v>
      </c>
      <c r="J194" s="6">
        <v>0.0</v>
      </c>
      <c r="L194" s="6">
        <v>5000.0</v>
      </c>
      <c r="M194" s="6" t="s">
        <v>3034</v>
      </c>
      <c r="N194" s="6" t="s">
        <v>2626</v>
      </c>
      <c r="O194" s="6" t="s">
        <v>2626</v>
      </c>
    </row>
    <row r="195">
      <c r="A195" s="6" t="s">
        <v>543</v>
      </c>
      <c r="B195" s="6" t="s">
        <v>543</v>
      </c>
      <c r="C195" s="6" t="s">
        <v>3035</v>
      </c>
      <c r="D195" s="6">
        <v>195.0</v>
      </c>
      <c r="F195" s="6" t="s">
        <v>248</v>
      </c>
      <c r="G195" s="6" t="s">
        <v>26</v>
      </c>
      <c r="I195" s="6" t="s">
        <v>3029</v>
      </c>
      <c r="J195" s="6">
        <v>0.0</v>
      </c>
      <c r="L195" s="6">
        <v>2500.0</v>
      </c>
      <c r="M195" s="6" t="s">
        <v>3036</v>
      </c>
      <c r="N195" s="6" t="s">
        <v>2626</v>
      </c>
      <c r="O195" s="6" t="s">
        <v>2626</v>
      </c>
    </row>
    <row r="196">
      <c r="A196" s="6" t="s">
        <v>545</v>
      </c>
      <c r="B196" s="6" t="s">
        <v>545</v>
      </c>
      <c r="C196" s="6" t="s">
        <v>3037</v>
      </c>
      <c r="D196" s="6">
        <v>196.0</v>
      </c>
      <c r="F196" s="6" t="s">
        <v>408</v>
      </c>
      <c r="G196" s="6" t="s">
        <v>26</v>
      </c>
      <c r="I196" s="6" t="s">
        <v>3029</v>
      </c>
      <c r="J196" s="6">
        <v>0.0</v>
      </c>
      <c r="L196" s="6">
        <v>2500.0</v>
      </c>
      <c r="M196" s="6" t="s">
        <v>3038</v>
      </c>
      <c r="N196" s="6" t="s">
        <v>2626</v>
      </c>
      <c r="O196" s="6" t="s">
        <v>2626</v>
      </c>
    </row>
    <row r="197">
      <c r="A197" s="6" t="s">
        <v>547</v>
      </c>
      <c r="B197" s="6" t="s">
        <v>547</v>
      </c>
      <c r="C197" s="6" t="s">
        <v>3039</v>
      </c>
      <c r="D197" s="6">
        <v>197.0</v>
      </c>
      <c r="F197" s="6" t="s">
        <v>108</v>
      </c>
      <c r="G197" s="6" t="s">
        <v>26</v>
      </c>
      <c r="I197" s="6" t="s">
        <v>3029</v>
      </c>
      <c r="J197" s="6">
        <v>0.0</v>
      </c>
      <c r="L197" s="6">
        <v>22000.0</v>
      </c>
      <c r="M197" s="6" t="s">
        <v>3040</v>
      </c>
      <c r="N197" s="6" t="s">
        <v>2626</v>
      </c>
      <c r="O197" s="6" t="s">
        <v>2626</v>
      </c>
    </row>
    <row r="198">
      <c r="A198" s="6" t="s">
        <v>548</v>
      </c>
      <c r="B198" s="6" t="s">
        <v>548</v>
      </c>
      <c r="C198" s="6" t="s">
        <v>3041</v>
      </c>
      <c r="D198" s="6">
        <v>198.0</v>
      </c>
      <c r="F198" s="6" t="s">
        <v>473</v>
      </c>
      <c r="G198" s="6" t="s">
        <v>26</v>
      </c>
      <c r="I198" s="6" t="s">
        <v>3029</v>
      </c>
      <c r="J198" s="6">
        <v>0.0</v>
      </c>
      <c r="L198" s="6">
        <v>5000.0</v>
      </c>
      <c r="M198" s="6" t="s">
        <v>3042</v>
      </c>
      <c r="N198" s="6" t="s">
        <v>2626</v>
      </c>
      <c r="O198" s="6" t="s">
        <v>2626</v>
      </c>
    </row>
    <row r="199">
      <c r="A199" s="6" t="s">
        <v>549</v>
      </c>
      <c r="B199" s="6" t="s">
        <v>549</v>
      </c>
      <c r="C199" s="6" t="s">
        <v>3043</v>
      </c>
      <c r="D199" s="6">
        <v>199.0</v>
      </c>
      <c r="F199" s="6" t="s">
        <v>248</v>
      </c>
      <c r="G199" s="6" t="s">
        <v>26</v>
      </c>
      <c r="I199" s="6" t="s">
        <v>3029</v>
      </c>
      <c r="J199" s="6">
        <v>0.0</v>
      </c>
      <c r="L199" s="6">
        <v>2500.0</v>
      </c>
      <c r="M199" s="6" t="s">
        <v>3044</v>
      </c>
      <c r="N199" s="6" t="s">
        <v>2626</v>
      </c>
      <c r="O199" s="6" t="s">
        <v>2626</v>
      </c>
    </row>
    <row r="200">
      <c r="A200" s="6" t="s">
        <v>551</v>
      </c>
      <c r="B200" s="6" t="s">
        <v>551</v>
      </c>
      <c r="C200" s="6" t="s">
        <v>3045</v>
      </c>
      <c r="D200" s="6">
        <v>200.0</v>
      </c>
      <c r="F200" s="6" t="s">
        <v>23</v>
      </c>
      <c r="G200" s="6" t="s">
        <v>26</v>
      </c>
      <c r="I200" s="6" t="s">
        <v>3029</v>
      </c>
      <c r="J200" s="6">
        <v>0.0</v>
      </c>
      <c r="L200" s="6">
        <v>5000.0</v>
      </c>
      <c r="M200" s="6" t="s">
        <v>3046</v>
      </c>
      <c r="N200" s="6" t="s">
        <v>2626</v>
      </c>
      <c r="O200" s="6" t="s">
        <v>2626</v>
      </c>
    </row>
    <row r="201">
      <c r="A201" s="6" t="s">
        <v>553</v>
      </c>
      <c r="B201" s="6" t="s">
        <v>553</v>
      </c>
      <c r="C201" s="6" t="s">
        <v>3047</v>
      </c>
      <c r="D201" s="6">
        <v>201.0</v>
      </c>
      <c r="F201" s="6" t="s">
        <v>418</v>
      </c>
      <c r="G201" s="6" t="s">
        <v>26</v>
      </c>
      <c r="I201" s="6" t="s">
        <v>3029</v>
      </c>
      <c r="J201" s="6">
        <v>0.0</v>
      </c>
      <c r="L201" s="6">
        <v>2500.0</v>
      </c>
      <c r="M201" s="6" t="s">
        <v>3048</v>
      </c>
      <c r="N201" s="6" t="s">
        <v>2626</v>
      </c>
      <c r="O201" s="6" t="s">
        <v>2626</v>
      </c>
    </row>
    <row r="202">
      <c r="A202" s="6" t="s">
        <v>555</v>
      </c>
      <c r="B202" s="6" t="s">
        <v>555</v>
      </c>
      <c r="C202" s="6" t="s">
        <v>3049</v>
      </c>
      <c r="D202" s="6">
        <v>202.0</v>
      </c>
      <c r="F202" s="6" t="s">
        <v>513</v>
      </c>
      <c r="G202" s="6" t="s">
        <v>26</v>
      </c>
      <c r="I202" s="6" t="s">
        <v>3029</v>
      </c>
      <c r="J202" s="6">
        <v>0.0</v>
      </c>
      <c r="L202" s="6">
        <v>150000.0</v>
      </c>
      <c r="M202" s="6" t="s">
        <v>3050</v>
      </c>
      <c r="N202" s="6" t="s">
        <v>2626</v>
      </c>
      <c r="O202" s="6" t="s">
        <v>2626</v>
      </c>
    </row>
    <row r="203">
      <c r="A203" s="6" t="s">
        <v>557</v>
      </c>
      <c r="B203" s="6" t="s">
        <v>557</v>
      </c>
      <c r="C203" s="6" t="s">
        <v>3051</v>
      </c>
      <c r="D203" s="6">
        <v>203.0</v>
      </c>
      <c r="E203" s="6" t="s">
        <v>556</v>
      </c>
      <c r="F203" s="6" t="s">
        <v>108</v>
      </c>
      <c r="G203" s="6" t="s">
        <v>26</v>
      </c>
      <c r="I203" s="6" t="s">
        <v>3029</v>
      </c>
      <c r="J203" s="6">
        <v>0.0</v>
      </c>
      <c r="L203" s="6">
        <v>225000.0</v>
      </c>
      <c r="M203" s="6" t="s">
        <v>3052</v>
      </c>
      <c r="N203" s="6" t="s">
        <v>2626</v>
      </c>
      <c r="O203" s="6" t="s">
        <v>2626</v>
      </c>
    </row>
    <row r="204">
      <c r="A204" s="6" t="s">
        <v>559</v>
      </c>
      <c r="B204" s="6" t="s">
        <v>559</v>
      </c>
      <c r="C204" s="6" t="s">
        <v>3053</v>
      </c>
      <c r="D204" s="6">
        <v>204.0</v>
      </c>
      <c r="F204" s="6" t="s">
        <v>70</v>
      </c>
      <c r="G204" s="6" t="s">
        <v>26</v>
      </c>
      <c r="I204" s="6" t="s">
        <v>3029</v>
      </c>
      <c r="J204" s="6">
        <v>0.0</v>
      </c>
      <c r="L204" s="6">
        <v>2500.0</v>
      </c>
      <c r="M204" s="6" t="s">
        <v>3054</v>
      </c>
      <c r="N204" s="6" t="s">
        <v>2626</v>
      </c>
      <c r="O204" s="6" t="s">
        <v>2626</v>
      </c>
    </row>
    <row r="205">
      <c r="A205" s="6" t="s">
        <v>561</v>
      </c>
      <c r="B205" s="6" t="s">
        <v>561</v>
      </c>
      <c r="C205" s="6" t="s">
        <v>3055</v>
      </c>
      <c r="D205" s="6">
        <v>205.0</v>
      </c>
      <c r="F205" s="6" t="s">
        <v>50</v>
      </c>
      <c r="G205" s="6" t="s">
        <v>26</v>
      </c>
      <c r="I205" s="6" t="s">
        <v>3029</v>
      </c>
      <c r="J205" s="6">
        <v>0.0</v>
      </c>
      <c r="L205" s="6">
        <v>2500.0</v>
      </c>
      <c r="M205" s="6" t="s">
        <v>3056</v>
      </c>
      <c r="N205" s="6" t="s">
        <v>2626</v>
      </c>
      <c r="O205" s="6" t="s">
        <v>2626</v>
      </c>
    </row>
    <row r="206">
      <c r="A206" s="6" t="s">
        <v>562</v>
      </c>
      <c r="B206" s="6" t="s">
        <v>562</v>
      </c>
      <c r="C206" s="6" t="s">
        <v>3057</v>
      </c>
      <c r="D206" s="6">
        <v>206.0</v>
      </c>
      <c r="E206" s="6" t="s">
        <v>140</v>
      </c>
      <c r="F206" s="6" t="s">
        <v>508</v>
      </c>
      <c r="G206" s="6" t="s">
        <v>285</v>
      </c>
      <c r="J206" s="6">
        <v>0.0</v>
      </c>
      <c r="L206" s="6">
        <v>0.0</v>
      </c>
      <c r="M206" s="6" t="s">
        <v>3058</v>
      </c>
      <c r="N206" s="6" t="s">
        <v>2626</v>
      </c>
      <c r="O206" s="6" t="s">
        <v>2626</v>
      </c>
    </row>
    <row r="207">
      <c r="A207" s="6" t="s">
        <v>563</v>
      </c>
      <c r="B207" s="6" t="s">
        <v>563</v>
      </c>
      <c r="C207" s="6" t="s">
        <v>3059</v>
      </c>
      <c r="D207" s="6">
        <v>207.0</v>
      </c>
      <c r="E207" s="6" t="s">
        <v>140</v>
      </c>
      <c r="F207" s="6" t="s">
        <v>508</v>
      </c>
      <c r="G207" s="6" t="s">
        <v>285</v>
      </c>
      <c r="J207" s="6">
        <v>0.0</v>
      </c>
      <c r="L207" s="6">
        <v>0.0</v>
      </c>
      <c r="M207" s="6" t="s">
        <v>3060</v>
      </c>
      <c r="N207" s="6" t="s">
        <v>2626</v>
      </c>
      <c r="O207" s="6" t="s">
        <v>2626</v>
      </c>
    </row>
    <row r="208">
      <c r="A208" s="6" t="s">
        <v>564</v>
      </c>
      <c r="B208" s="6" t="s">
        <v>564</v>
      </c>
      <c r="C208" s="6" t="s">
        <v>3061</v>
      </c>
      <c r="D208" s="6">
        <v>208.0</v>
      </c>
      <c r="E208" s="6" t="s">
        <v>140</v>
      </c>
      <c r="F208" s="6" t="s">
        <v>508</v>
      </c>
      <c r="G208" s="6" t="s">
        <v>285</v>
      </c>
      <c r="J208" s="6">
        <v>0.0</v>
      </c>
      <c r="L208" s="6">
        <v>0.0</v>
      </c>
      <c r="M208" s="6" t="s">
        <v>3062</v>
      </c>
      <c r="N208" s="6" t="s">
        <v>2626</v>
      </c>
      <c r="O208" s="6" t="s">
        <v>2626</v>
      </c>
    </row>
    <row r="209">
      <c r="A209" s="6" t="s">
        <v>566</v>
      </c>
      <c r="B209" s="6" t="s">
        <v>566</v>
      </c>
      <c r="C209" s="6" t="s">
        <v>3063</v>
      </c>
      <c r="D209" s="6">
        <v>209.0</v>
      </c>
      <c r="F209" s="6" t="s">
        <v>473</v>
      </c>
      <c r="G209" s="6" t="s">
        <v>26</v>
      </c>
      <c r="I209" s="6" t="s">
        <v>3064</v>
      </c>
      <c r="J209" s="6">
        <v>0.0</v>
      </c>
      <c r="L209" s="6">
        <v>2500.0</v>
      </c>
      <c r="M209" s="6" t="s">
        <v>3065</v>
      </c>
      <c r="N209" s="6" t="s">
        <v>2626</v>
      </c>
      <c r="O209" s="6" t="s">
        <v>2626</v>
      </c>
    </row>
    <row r="210">
      <c r="A210" s="6" t="s">
        <v>568</v>
      </c>
      <c r="B210" s="6" t="s">
        <v>568</v>
      </c>
      <c r="C210" s="6" t="s">
        <v>3066</v>
      </c>
      <c r="D210" s="6">
        <v>210.0</v>
      </c>
      <c r="F210" s="6" t="s">
        <v>97</v>
      </c>
      <c r="G210" s="6" t="s">
        <v>103</v>
      </c>
      <c r="J210" s="6">
        <v>0.0</v>
      </c>
      <c r="L210" s="6">
        <v>0.0</v>
      </c>
      <c r="M210" s="6" t="s">
        <v>3067</v>
      </c>
      <c r="N210" s="6" t="s">
        <v>2626</v>
      </c>
      <c r="O210" s="6" t="s">
        <v>2626</v>
      </c>
    </row>
    <row r="211">
      <c r="A211" s="6" t="s">
        <v>570</v>
      </c>
      <c r="B211" s="6" t="s">
        <v>570</v>
      </c>
      <c r="C211" s="6" t="s">
        <v>3068</v>
      </c>
      <c r="D211" s="6">
        <v>211.0</v>
      </c>
      <c r="F211" s="6" t="s">
        <v>89</v>
      </c>
      <c r="G211" s="6" t="s">
        <v>26</v>
      </c>
      <c r="I211" s="6" t="s">
        <v>3064</v>
      </c>
      <c r="J211" s="6">
        <v>0.0</v>
      </c>
      <c r="L211" s="6">
        <v>2500.0</v>
      </c>
      <c r="M211" s="6" t="s">
        <v>3069</v>
      </c>
      <c r="N211" s="6" t="s">
        <v>2626</v>
      </c>
      <c r="O211" s="6" t="s">
        <v>2626</v>
      </c>
    </row>
    <row r="212">
      <c r="A212" s="6" t="s">
        <v>572</v>
      </c>
      <c r="B212" s="6" t="s">
        <v>572</v>
      </c>
      <c r="C212" s="6" t="s">
        <v>3070</v>
      </c>
      <c r="D212" s="6">
        <v>212.0</v>
      </c>
      <c r="F212" s="6" t="s">
        <v>70</v>
      </c>
      <c r="G212" s="6" t="s">
        <v>26</v>
      </c>
      <c r="I212" s="6" t="s">
        <v>3064</v>
      </c>
      <c r="J212" s="6">
        <v>0.0</v>
      </c>
      <c r="L212" s="6">
        <v>2500.0</v>
      </c>
      <c r="M212" s="6" t="s">
        <v>3071</v>
      </c>
      <c r="N212" s="6" t="s">
        <v>2626</v>
      </c>
      <c r="O212" s="6" t="s">
        <v>2626</v>
      </c>
    </row>
    <row r="213">
      <c r="A213" s="6" t="s">
        <v>574</v>
      </c>
      <c r="B213" s="6" t="s">
        <v>574</v>
      </c>
      <c r="C213" s="6" t="s">
        <v>3072</v>
      </c>
      <c r="D213" s="6">
        <v>213.0</v>
      </c>
      <c r="F213" s="6" t="s">
        <v>254</v>
      </c>
      <c r="G213" s="6" t="s">
        <v>26</v>
      </c>
      <c r="I213" s="6" t="s">
        <v>3064</v>
      </c>
      <c r="J213" s="6">
        <v>0.0</v>
      </c>
      <c r="L213" s="6">
        <v>2500.0</v>
      </c>
      <c r="M213" s="6" t="s">
        <v>3073</v>
      </c>
      <c r="N213" s="6" t="s">
        <v>2626</v>
      </c>
      <c r="O213" s="6" t="s">
        <v>2626</v>
      </c>
    </row>
    <row r="214">
      <c r="A214" s="6" t="s">
        <v>575</v>
      </c>
      <c r="B214" s="6" t="s">
        <v>575</v>
      </c>
      <c r="C214" s="6" t="s">
        <v>3074</v>
      </c>
      <c r="D214" s="6">
        <v>214.0</v>
      </c>
      <c r="F214" s="6" t="s">
        <v>254</v>
      </c>
      <c r="G214" s="6" t="s">
        <v>26</v>
      </c>
      <c r="I214" s="6" t="s">
        <v>3064</v>
      </c>
      <c r="J214" s="6">
        <v>0.0</v>
      </c>
      <c r="L214" s="6">
        <v>2500.0</v>
      </c>
      <c r="M214" s="6" t="s">
        <v>3075</v>
      </c>
      <c r="N214" s="6" t="s">
        <v>2626</v>
      </c>
      <c r="O214" s="6" t="s">
        <v>2626</v>
      </c>
    </row>
    <row r="215">
      <c r="A215" s="6" t="s">
        <v>577</v>
      </c>
      <c r="B215" s="6" t="s">
        <v>577</v>
      </c>
      <c r="C215" s="6" t="s">
        <v>3076</v>
      </c>
      <c r="D215" s="6">
        <v>215.0</v>
      </c>
      <c r="F215" s="6" t="s">
        <v>248</v>
      </c>
      <c r="G215" s="6" t="s">
        <v>26</v>
      </c>
      <c r="I215" s="6" t="s">
        <v>3064</v>
      </c>
      <c r="J215" s="6">
        <v>0.0</v>
      </c>
      <c r="L215" s="6">
        <v>10000.0</v>
      </c>
      <c r="M215" s="6" t="s">
        <v>3077</v>
      </c>
      <c r="N215" s="6" t="s">
        <v>2626</v>
      </c>
      <c r="O215" s="6" t="s">
        <v>2626</v>
      </c>
    </row>
    <row r="216">
      <c r="A216" s="6" t="s">
        <v>581</v>
      </c>
      <c r="B216" s="6" t="s">
        <v>581</v>
      </c>
      <c r="C216" s="6" t="s">
        <v>3078</v>
      </c>
      <c r="D216" s="6">
        <v>216.0</v>
      </c>
      <c r="F216" s="6" t="s">
        <v>578</v>
      </c>
      <c r="G216" s="6" t="s">
        <v>121</v>
      </c>
      <c r="J216" s="6">
        <v>0.0</v>
      </c>
      <c r="L216" s="6">
        <v>0.0</v>
      </c>
      <c r="M216" s="6" t="s">
        <v>3079</v>
      </c>
      <c r="N216" s="6" t="s">
        <v>2626</v>
      </c>
      <c r="O216" s="6" t="s">
        <v>2626</v>
      </c>
    </row>
    <row r="217">
      <c r="A217" s="6" t="s">
        <v>584</v>
      </c>
      <c r="B217" s="6" t="s">
        <v>584</v>
      </c>
      <c r="C217" s="6" t="s">
        <v>3080</v>
      </c>
      <c r="D217" s="6">
        <v>217.0</v>
      </c>
      <c r="E217" s="6">
        <v>2.347067852062E12</v>
      </c>
      <c r="F217" s="6" t="s">
        <v>582</v>
      </c>
      <c r="G217" s="6" t="s">
        <v>26</v>
      </c>
      <c r="I217" s="6" t="s">
        <v>3064</v>
      </c>
      <c r="J217" s="6">
        <v>0.0</v>
      </c>
      <c r="L217" s="6">
        <v>790000.0</v>
      </c>
      <c r="M217" s="6" t="s">
        <v>3081</v>
      </c>
      <c r="N217" s="6" t="s">
        <v>2626</v>
      </c>
      <c r="O217" s="6" t="s">
        <v>2626</v>
      </c>
    </row>
    <row r="218">
      <c r="A218" s="6" t="s">
        <v>585</v>
      </c>
      <c r="B218" s="6" t="s">
        <v>585</v>
      </c>
      <c r="C218" s="6" t="s">
        <v>3082</v>
      </c>
      <c r="D218" s="6">
        <v>218.0</v>
      </c>
      <c r="F218" s="6" t="s">
        <v>115</v>
      </c>
      <c r="G218" s="6" t="s">
        <v>26</v>
      </c>
      <c r="I218" s="6" t="s">
        <v>3064</v>
      </c>
      <c r="J218" s="6">
        <v>0.0</v>
      </c>
      <c r="L218" s="6">
        <v>3000.0</v>
      </c>
      <c r="M218" s="6" t="s">
        <v>3083</v>
      </c>
      <c r="N218" s="6" t="s">
        <v>2626</v>
      </c>
      <c r="O218" s="6" t="s">
        <v>2626</v>
      </c>
    </row>
    <row r="219">
      <c r="A219" s="6" t="s">
        <v>588</v>
      </c>
      <c r="B219" s="6" t="s">
        <v>588</v>
      </c>
      <c r="C219" s="6" t="s">
        <v>3084</v>
      </c>
      <c r="D219" s="6">
        <v>219.0</v>
      </c>
      <c r="F219" s="6" t="s">
        <v>586</v>
      </c>
      <c r="G219" s="6" t="s">
        <v>26</v>
      </c>
      <c r="I219" s="6" t="s">
        <v>3064</v>
      </c>
      <c r="J219" s="6">
        <v>0.0</v>
      </c>
      <c r="L219" s="6">
        <v>120000.0</v>
      </c>
      <c r="M219" s="6" t="s">
        <v>3085</v>
      </c>
      <c r="N219" s="6" t="s">
        <v>2626</v>
      </c>
      <c r="O219" s="6" t="s">
        <v>2626</v>
      </c>
    </row>
    <row r="220">
      <c r="A220" s="6" t="s">
        <v>589</v>
      </c>
      <c r="B220" s="6" t="s">
        <v>589</v>
      </c>
      <c r="C220" s="6" t="s">
        <v>3086</v>
      </c>
      <c r="D220" s="6">
        <v>220.0</v>
      </c>
      <c r="E220" s="6" t="s">
        <v>140</v>
      </c>
      <c r="F220" s="6" t="s">
        <v>195</v>
      </c>
      <c r="G220" s="6" t="s">
        <v>140</v>
      </c>
      <c r="J220" s="6">
        <v>0.0</v>
      </c>
      <c r="L220" s="6">
        <v>0.0</v>
      </c>
      <c r="M220" s="6" t="s">
        <v>3087</v>
      </c>
      <c r="N220" s="6" t="s">
        <v>2626</v>
      </c>
      <c r="O220" s="6" t="s">
        <v>2626</v>
      </c>
    </row>
    <row r="221">
      <c r="A221" s="6" t="s">
        <v>590</v>
      </c>
      <c r="B221" s="6" t="s">
        <v>590</v>
      </c>
      <c r="C221" s="6" t="s">
        <v>3088</v>
      </c>
      <c r="D221" s="6">
        <v>221.0</v>
      </c>
      <c r="E221" s="6" t="s">
        <v>140</v>
      </c>
      <c r="F221" s="6" t="s">
        <v>140</v>
      </c>
      <c r="G221" s="6" t="s">
        <v>140</v>
      </c>
      <c r="J221" s="6">
        <v>0.0</v>
      </c>
      <c r="L221" s="6">
        <v>0.0</v>
      </c>
      <c r="M221" s="6" t="s">
        <v>3089</v>
      </c>
      <c r="N221" s="6" t="s">
        <v>2626</v>
      </c>
      <c r="O221" s="6" t="s">
        <v>2626</v>
      </c>
    </row>
    <row r="222">
      <c r="A222" s="6" t="s">
        <v>591</v>
      </c>
      <c r="B222" s="6" t="s">
        <v>591</v>
      </c>
      <c r="C222" s="6" t="s">
        <v>3090</v>
      </c>
      <c r="D222" s="6">
        <v>222.0</v>
      </c>
      <c r="E222" s="6" t="s">
        <v>140</v>
      </c>
      <c r="F222" s="6" t="s">
        <v>140</v>
      </c>
      <c r="G222" s="6" t="s">
        <v>140</v>
      </c>
      <c r="J222" s="6">
        <v>0.0</v>
      </c>
      <c r="L222" s="6">
        <v>0.0</v>
      </c>
      <c r="M222" s="6" t="s">
        <v>3091</v>
      </c>
      <c r="N222" s="6" t="s">
        <v>2626</v>
      </c>
      <c r="O222" s="6" t="s">
        <v>2626</v>
      </c>
    </row>
    <row r="223">
      <c r="A223" s="6" t="s">
        <v>593</v>
      </c>
      <c r="B223" s="6" t="s">
        <v>593</v>
      </c>
      <c r="C223" s="6" t="s">
        <v>3092</v>
      </c>
      <c r="D223" s="6">
        <v>223.0</v>
      </c>
      <c r="F223" s="6" t="s">
        <v>89</v>
      </c>
      <c r="G223" s="6" t="s">
        <v>26</v>
      </c>
      <c r="I223" s="6" t="s">
        <v>3093</v>
      </c>
      <c r="J223" s="6">
        <v>0.0</v>
      </c>
      <c r="L223" s="6">
        <v>280000.0</v>
      </c>
      <c r="M223" s="6" t="s">
        <v>3094</v>
      </c>
      <c r="N223" s="6" t="s">
        <v>2626</v>
      </c>
      <c r="O223" s="6" t="s">
        <v>2626</v>
      </c>
    </row>
    <row r="224">
      <c r="A224" s="6" t="s">
        <v>595</v>
      </c>
      <c r="B224" s="6" t="s">
        <v>595</v>
      </c>
      <c r="C224" s="6" t="s">
        <v>3095</v>
      </c>
      <c r="D224" s="6">
        <v>224.0</v>
      </c>
      <c r="F224" s="6" t="s">
        <v>23</v>
      </c>
      <c r="G224" s="6" t="s">
        <v>26</v>
      </c>
      <c r="I224" s="6" t="s">
        <v>3093</v>
      </c>
      <c r="J224" s="6">
        <v>0.0</v>
      </c>
      <c r="L224" s="6">
        <v>25000.0</v>
      </c>
      <c r="M224" s="6" t="s">
        <v>3096</v>
      </c>
      <c r="N224" s="6" t="s">
        <v>2626</v>
      </c>
      <c r="O224" s="6" t="s">
        <v>2626</v>
      </c>
    </row>
    <row r="225">
      <c r="A225" s="6" t="s">
        <v>597</v>
      </c>
      <c r="B225" s="6" t="s">
        <v>597</v>
      </c>
      <c r="C225" s="6" t="s">
        <v>3097</v>
      </c>
      <c r="D225" s="6">
        <v>225.0</v>
      </c>
      <c r="F225" s="6" t="s">
        <v>64</v>
      </c>
      <c r="G225" s="6" t="s">
        <v>26</v>
      </c>
      <c r="I225" s="6" t="s">
        <v>3093</v>
      </c>
      <c r="J225" s="6">
        <v>0.0</v>
      </c>
      <c r="L225" s="6">
        <v>2000.0</v>
      </c>
      <c r="M225" s="6" t="s">
        <v>3098</v>
      </c>
      <c r="N225" s="6" t="s">
        <v>2626</v>
      </c>
      <c r="O225" s="6" t="s">
        <v>2626</v>
      </c>
    </row>
    <row r="226">
      <c r="A226" s="6" t="s">
        <v>599</v>
      </c>
      <c r="B226" s="6" t="s">
        <v>599</v>
      </c>
      <c r="C226" s="6" t="s">
        <v>3099</v>
      </c>
      <c r="D226" s="6">
        <v>226.0</v>
      </c>
      <c r="F226" s="6" t="s">
        <v>89</v>
      </c>
      <c r="G226" s="6" t="s">
        <v>26</v>
      </c>
      <c r="I226" s="6" t="s">
        <v>3093</v>
      </c>
      <c r="J226" s="6">
        <v>0.0</v>
      </c>
      <c r="L226" s="6">
        <v>140000.0</v>
      </c>
      <c r="M226" s="6" t="s">
        <v>3100</v>
      </c>
      <c r="N226" s="6" t="s">
        <v>2626</v>
      </c>
      <c r="O226" s="6" t="s">
        <v>2626</v>
      </c>
    </row>
    <row r="227">
      <c r="A227" s="6" t="s">
        <v>602</v>
      </c>
      <c r="B227" s="6" t="s">
        <v>602</v>
      </c>
      <c r="C227" s="6" t="s">
        <v>3101</v>
      </c>
      <c r="D227" s="6">
        <v>227.0</v>
      </c>
      <c r="F227" s="6" t="s">
        <v>600</v>
      </c>
      <c r="G227" s="6" t="s">
        <v>26</v>
      </c>
      <c r="I227" s="6" t="s">
        <v>3093</v>
      </c>
      <c r="J227" s="6">
        <v>0.0</v>
      </c>
      <c r="L227" s="6">
        <v>1300000.0</v>
      </c>
      <c r="M227" s="6" t="s">
        <v>3102</v>
      </c>
      <c r="N227" s="6" t="s">
        <v>2626</v>
      </c>
      <c r="O227" s="6" t="s">
        <v>2626</v>
      </c>
    </row>
    <row r="228">
      <c r="A228" s="6" t="s">
        <v>604</v>
      </c>
      <c r="B228" s="6" t="s">
        <v>604</v>
      </c>
      <c r="C228" s="6" t="s">
        <v>3103</v>
      </c>
      <c r="D228" s="6">
        <v>228.0</v>
      </c>
      <c r="F228" s="6" t="s">
        <v>236</v>
      </c>
      <c r="G228" s="6" t="s">
        <v>26</v>
      </c>
      <c r="I228" s="6" t="s">
        <v>3093</v>
      </c>
      <c r="J228" s="6">
        <v>0.0</v>
      </c>
      <c r="L228" s="6">
        <v>2500.0</v>
      </c>
      <c r="M228" s="6" t="s">
        <v>3104</v>
      </c>
      <c r="N228" s="6" t="s">
        <v>2626</v>
      </c>
      <c r="O228" s="6" t="s">
        <v>2626</v>
      </c>
    </row>
    <row r="229">
      <c r="A229" s="6" t="s">
        <v>609</v>
      </c>
      <c r="B229" s="6" t="s">
        <v>609</v>
      </c>
      <c r="C229" s="6" t="s">
        <v>3105</v>
      </c>
      <c r="D229" s="6">
        <v>229.0</v>
      </c>
      <c r="E229" s="6">
        <v>3.54136651263562E14</v>
      </c>
      <c r="F229" s="6" t="s">
        <v>605</v>
      </c>
      <c r="G229" s="6" t="s">
        <v>26</v>
      </c>
      <c r="I229" s="6" t="s">
        <v>3093</v>
      </c>
      <c r="J229" s="6">
        <v>0.0</v>
      </c>
      <c r="L229" s="6">
        <v>910000.0</v>
      </c>
      <c r="M229" s="6" t="s">
        <v>3106</v>
      </c>
      <c r="N229" s="6" t="s">
        <v>2626</v>
      </c>
      <c r="O229" s="6" t="s">
        <v>2626</v>
      </c>
    </row>
    <row r="230">
      <c r="A230" s="6" t="s">
        <v>612</v>
      </c>
      <c r="B230" s="6" t="s">
        <v>612</v>
      </c>
      <c r="C230" s="6" t="s">
        <v>3107</v>
      </c>
      <c r="D230" s="6">
        <v>230.0</v>
      </c>
      <c r="F230" s="6" t="s">
        <v>610</v>
      </c>
      <c r="G230" s="6" t="s">
        <v>26</v>
      </c>
      <c r="I230" s="6" t="s">
        <v>3093</v>
      </c>
      <c r="J230" s="6">
        <v>0.0</v>
      </c>
      <c r="L230" s="6">
        <v>5000.0</v>
      </c>
      <c r="M230" s="6" t="s">
        <v>3108</v>
      </c>
      <c r="N230" s="6" t="s">
        <v>2626</v>
      </c>
      <c r="O230" s="6" t="s">
        <v>2626</v>
      </c>
    </row>
    <row r="231">
      <c r="A231" s="6" t="s">
        <v>616</v>
      </c>
      <c r="B231" s="6" t="s">
        <v>616</v>
      </c>
      <c r="C231" s="6" t="s">
        <v>3109</v>
      </c>
      <c r="D231" s="6">
        <v>231.0</v>
      </c>
      <c r="F231" s="6" t="s">
        <v>613</v>
      </c>
      <c r="G231" s="6" t="s">
        <v>26</v>
      </c>
      <c r="I231" s="6" t="s">
        <v>3093</v>
      </c>
      <c r="J231" s="6">
        <v>0.0</v>
      </c>
      <c r="L231" s="6">
        <v>2500.0</v>
      </c>
      <c r="M231" s="6" t="s">
        <v>3110</v>
      </c>
      <c r="N231" s="6" t="s">
        <v>2626</v>
      </c>
      <c r="O231" s="6" t="s">
        <v>2626</v>
      </c>
    </row>
    <row r="232">
      <c r="A232" s="6" t="s">
        <v>619</v>
      </c>
      <c r="B232" s="6" t="s">
        <v>619</v>
      </c>
      <c r="C232" s="6" t="s">
        <v>3111</v>
      </c>
      <c r="D232" s="6">
        <v>232.0</v>
      </c>
      <c r="F232" s="6" t="s">
        <v>617</v>
      </c>
      <c r="G232" s="6" t="s">
        <v>26</v>
      </c>
      <c r="I232" s="6" t="s">
        <v>3093</v>
      </c>
      <c r="J232" s="6">
        <v>0.0</v>
      </c>
      <c r="L232" s="6">
        <v>3000.0</v>
      </c>
      <c r="M232" s="6" t="s">
        <v>3112</v>
      </c>
      <c r="N232" s="6" t="s">
        <v>2626</v>
      </c>
      <c r="O232" s="6" t="s">
        <v>2626</v>
      </c>
    </row>
    <row r="233">
      <c r="A233" s="6" t="s">
        <v>623</v>
      </c>
      <c r="B233" s="6" t="s">
        <v>623</v>
      </c>
      <c r="C233" s="6" t="s">
        <v>3113</v>
      </c>
      <c r="D233" s="6">
        <v>233.0</v>
      </c>
      <c r="F233" s="6" t="s">
        <v>620</v>
      </c>
      <c r="G233" s="6" t="s">
        <v>26</v>
      </c>
      <c r="I233" s="6" t="s">
        <v>3093</v>
      </c>
      <c r="J233" s="6">
        <v>0.0</v>
      </c>
      <c r="L233" s="6">
        <v>2500.0</v>
      </c>
      <c r="M233" s="6" t="s">
        <v>3114</v>
      </c>
      <c r="N233" s="6" t="s">
        <v>2626</v>
      </c>
      <c r="O233" s="6" t="s">
        <v>2626</v>
      </c>
    </row>
    <row r="234">
      <c r="A234" s="6" t="s">
        <v>625</v>
      </c>
      <c r="B234" s="6" t="s">
        <v>625</v>
      </c>
      <c r="C234" s="6" t="s">
        <v>3115</v>
      </c>
      <c r="D234" s="6">
        <v>234.0</v>
      </c>
      <c r="F234" s="6" t="s">
        <v>108</v>
      </c>
      <c r="G234" s="6" t="s">
        <v>26</v>
      </c>
      <c r="I234" s="6" t="s">
        <v>3093</v>
      </c>
      <c r="J234" s="6">
        <v>0.0</v>
      </c>
      <c r="L234" s="6">
        <v>162500.0</v>
      </c>
      <c r="M234" s="6" t="s">
        <v>3116</v>
      </c>
      <c r="N234" s="6" t="s">
        <v>2626</v>
      </c>
      <c r="O234" s="6" t="s">
        <v>2626</v>
      </c>
    </row>
    <row r="235">
      <c r="A235" s="6" t="s">
        <v>628</v>
      </c>
      <c r="B235" s="6" t="s">
        <v>628</v>
      </c>
      <c r="C235" s="6" t="s">
        <v>3117</v>
      </c>
      <c r="D235" s="6">
        <v>235.0</v>
      </c>
      <c r="F235" s="6" t="s">
        <v>626</v>
      </c>
      <c r="G235" s="6" t="s">
        <v>26</v>
      </c>
      <c r="I235" s="6" t="s">
        <v>3093</v>
      </c>
      <c r="J235" s="6">
        <v>0.0</v>
      </c>
      <c r="L235" s="6">
        <v>4000.0</v>
      </c>
      <c r="M235" s="6" t="s">
        <v>3118</v>
      </c>
      <c r="N235" s="6" t="s">
        <v>2626</v>
      </c>
      <c r="O235" s="6" t="s">
        <v>2626</v>
      </c>
    </row>
    <row r="236">
      <c r="A236" s="6" t="s">
        <v>630</v>
      </c>
      <c r="B236" s="6" t="s">
        <v>630</v>
      </c>
      <c r="C236" s="6" t="s">
        <v>3119</v>
      </c>
      <c r="D236" s="6">
        <v>236.0</v>
      </c>
      <c r="F236" s="6" t="s">
        <v>64</v>
      </c>
      <c r="G236" s="6" t="s">
        <v>26</v>
      </c>
      <c r="I236" s="6" t="s">
        <v>3093</v>
      </c>
      <c r="J236" s="6">
        <v>0.0</v>
      </c>
      <c r="L236" s="6">
        <v>2000.0</v>
      </c>
      <c r="M236" s="6" t="s">
        <v>3120</v>
      </c>
      <c r="N236" s="6" t="s">
        <v>2626</v>
      </c>
      <c r="O236" s="6" t="s">
        <v>2626</v>
      </c>
    </row>
    <row r="237">
      <c r="A237" s="6" t="s">
        <v>633</v>
      </c>
      <c r="B237" s="6" t="s">
        <v>633</v>
      </c>
      <c r="C237" s="6" t="s">
        <v>3121</v>
      </c>
      <c r="D237" s="6">
        <v>237.0</v>
      </c>
      <c r="E237" s="6">
        <v>3.51055803413102E14</v>
      </c>
      <c r="F237" s="6" t="s">
        <v>306</v>
      </c>
      <c r="G237" s="6" t="s">
        <v>26</v>
      </c>
      <c r="I237" s="6" t="s">
        <v>3093</v>
      </c>
      <c r="J237" s="6">
        <v>0.0</v>
      </c>
      <c r="L237" s="6">
        <v>350000.0</v>
      </c>
      <c r="M237" s="6" t="s">
        <v>3122</v>
      </c>
      <c r="N237" s="6" t="s">
        <v>2626</v>
      </c>
      <c r="O237" s="6" t="s">
        <v>2626</v>
      </c>
    </row>
    <row r="238">
      <c r="A238" s="6" t="s">
        <v>634</v>
      </c>
      <c r="B238" s="6" t="s">
        <v>634</v>
      </c>
      <c r="C238" s="6" t="s">
        <v>3123</v>
      </c>
      <c r="D238" s="6">
        <v>238.0</v>
      </c>
      <c r="E238" s="6" t="s">
        <v>140</v>
      </c>
      <c r="F238" s="6" t="s">
        <v>195</v>
      </c>
      <c r="G238" s="6" t="s">
        <v>140</v>
      </c>
      <c r="J238" s="6">
        <v>0.0</v>
      </c>
      <c r="L238" s="6">
        <v>0.0</v>
      </c>
      <c r="M238" s="6" t="s">
        <v>3124</v>
      </c>
      <c r="N238" s="6" t="s">
        <v>2626</v>
      </c>
      <c r="O238" s="6" t="s">
        <v>2626</v>
      </c>
    </row>
    <row r="239">
      <c r="A239" s="6" t="s">
        <v>635</v>
      </c>
      <c r="B239" s="6" t="s">
        <v>635</v>
      </c>
      <c r="C239" s="6" t="s">
        <v>3125</v>
      </c>
      <c r="D239" s="6">
        <v>239.0</v>
      </c>
      <c r="E239" s="6" t="s">
        <v>140</v>
      </c>
      <c r="F239" s="6" t="s">
        <v>140</v>
      </c>
      <c r="G239" s="6" t="s">
        <v>140</v>
      </c>
      <c r="J239" s="6">
        <v>0.0</v>
      </c>
      <c r="L239" s="6">
        <v>0.0</v>
      </c>
      <c r="M239" s="6" t="s">
        <v>3126</v>
      </c>
      <c r="N239" s="6" t="s">
        <v>2626</v>
      </c>
      <c r="O239" s="6" t="s">
        <v>2626</v>
      </c>
    </row>
    <row r="240">
      <c r="A240" s="6" t="s">
        <v>636</v>
      </c>
      <c r="B240" s="6" t="s">
        <v>636</v>
      </c>
      <c r="C240" s="6" t="s">
        <v>3127</v>
      </c>
      <c r="D240" s="6">
        <v>240.0</v>
      </c>
      <c r="E240" s="6" t="s">
        <v>140</v>
      </c>
      <c r="F240" s="6" t="s">
        <v>140</v>
      </c>
      <c r="G240" s="6" t="s">
        <v>140</v>
      </c>
      <c r="J240" s="6">
        <v>0.0</v>
      </c>
      <c r="L240" s="6">
        <v>0.0</v>
      </c>
      <c r="M240" s="6" t="s">
        <v>3128</v>
      </c>
      <c r="N240" s="6" t="s">
        <v>2626</v>
      </c>
      <c r="O240" s="6" t="s">
        <v>2626</v>
      </c>
    </row>
    <row r="241">
      <c r="A241" s="6" t="s">
        <v>639</v>
      </c>
      <c r="B241" s="6" t="s">
        <v>639</v>
      </c>
      <c r="C241" s="6" t="s">
        <v>3129</v>
      </c>
      <c r="D241" s="6">
        <v>241.0</v>
      </c>
      <c r="F241" s="6" t="s">
        <v>637</v>
      </c>
      <c r="G241" s="6" t="s">
        <v>26</v>
      </c>
      <c r="I241" s="6" t="s">
        <v>3130</v>
      </c>
      <c r="J241" s="6">
        <v>0.0</v>
      </c>
      <c r="L241" s="6">
        <v>2500.0</v>
      </c>
      <c r="M241" s="6" t="s">
        <v>3131</v>
      </c>
      <c r="N241" s="6" t="s">
        <v>2626</v>
      </c>
      <c r="O241" s="6" t="s">
        <v>2626</v>
      </c>
    </row>
    <row r="242">
      <c r="A242" s="6" t="s">
        <v>641</v>
      </c>
      <c r="B242" s="6" t="s">
        <v>641</v>
      </c>
      <c r="C242" s="6" t="s">
        <v>3132</v>
      </c>
      <c r="D242" s="6">
        <v>242.0</v>
      </c>
      <c r="E242" s="6">
        <v>3.5970237250843E14</v>
      </c>
      <c r="F242" s="6" t="s">
        <v>358</v>
      </c>
      <c r="G242" s="6" t="s">
        <v>103</v>
      </c>
      <c r="J242" s="6">
        <v>0.0</v>
      </c>
      <c r="L242" s="6">
        <v>0.0</v>
      </c>
      <c r="M242" s="6" t="s">
        <v>3133</v>
      </c>
      <c r="N242" s="6" t="s">
        <v>2626</v>
      </c>
      <c r="O242" s="6" t="s">
        <v>2626</v>
      </c>
    </row>
    <row r="243">
      <c r="A243" s="6" t="s">
        <v>643</v>
      </c>
      <c r="B243" s="6" t="s">
        <v>643</v>
      </c>
      <c r="C243" s="6" t="s">
        <v>3134</v>
      </c>
      <c r="D243" s="6">
        <v>243.0</v>
      </c>
      <c r="F243" s="6" t="s">
        <v>54</v>
      </c>
      <c r="G243" s="6" t="s">
        <v>26</v>
      </c>
      <c r="I243" s="6" t="s">
        <v>3130</v>
      </c>
      <c r="J243" s="6">
        <v>0.0</v>
      </c>
      <c r="L243" s="6">
        <v>2500.0</v>
      </c>
      <c r="M243" s="6" t="s">
        <v>3135</v>
      </c>
      <c r="N243" s="6" t="s">
        <v>2626</v>
      </c>
      <c r="O243" s="6" t="s">
        <v>2626</v>
      </c>
    </row>
    <row r="244">
      <c r="A244" s="6" t="s">
        <v>647</v>
      </c>
      <c r="B244" s="6" t="s">
        <v>647</v>
      </c>
      <c r="C244" s="6" t="s">
        <v>3136</v>
      </c>
      <c r="D244" s="6">
        <v>244.0</v>
      </c>
      <c r="E244" s="6">
        <v>3.52433809356311E14</v>
      </c>
      <c r="F244" s="6" t="s">
        <v>644</v>
      </c>
      <c r="G244" s="6" t="s">
        <v>26</v>
      </c>
      <c r="I244" s="6" t="s">
        <v>3130</v>
      </c>
      <c r="J244" s="6">
        <v>0.0</v>
      </c>
      <c r="L244" s="6">
        <v>810000.0</v>
      </c>
      <c r="M244" s="6" t="s">
        <v>3137</v>
      </c>
      <c r="N244" s="6" t="s">
        <v>2626</v>
      </c>
      <c r="O244" s="6" t="s">
        <v>2626</v>
      </c>
    </row>
    <row r="245">
      <c r="A245" s="6" t="s">
        <v>650</v>
      </c>
      <c r="B245" s="6" t="s">
        <v>650</v>
      </c>
      <c r="C245" s="6" t="s">
        <v>3138</v>
      </c>
      <c r="D245" s="6">
        <v>245.0</v>
      </c>
      <c r="E245" s="6">
        <v>3.53235102246621E14</v>
      </c>
      <c r="F245" s="6" t="s">
        <v>648</v>
      </c>
      <c r="G245" s="6" t="s">
        <v>26</v>
      </c>
      <c r="I245" s="6" t="s">
        <v>3130</v>
      </c>
      <c r="J245" s="6">
        <v>0.0</v>
      </c>
      <c r="L245" s="6">
        <v>315000.0</v>
      </c>
      <c r="M245" s="6" t="s">
        <v>3139</v>
      </c>
      <c r="N245" s="6" t="s">
        <v>2626</v>
      </c>
      <c r="O245" s="6" t="s">
        <v>2626</v>
      </c>
    </row>
    <row r="246">
      <c r="A246" s="6" t="s">
        <v>652</v>
      </c>
      <c r="B246" s="6" t="s">
        <v>652</v>
      </c>
      <c r="C246" s="6" t="s">
        <v>3140</v>
      </c>
      <c r="D246" s="6">
        <v>246.0</v>
      </c>
      <c r="F246" s="6" t="s">
        <v>93</v>
      </c>
      <c r="G246" s="6" t="s">
        <v>26</v>
      </c>
      <c r="I246" s="6" t="s">
        <v>3130</v>
      </c>
      <c r="J246" s="6">
        <v>0.0</v>
      </c>
      <c r="L246" s="6">
        <v>2500.0</v>
      </c>
      <c r="M246" s="6" t="s">
        <v>3141</v>
      </c>
      <c r="N246" s="6" t="s">
        <v>2626</v>
      </c>
      <c r="O246" s="6" t="s">
        <v>2626</v>
      </c>
    </row>
    <row r="247">
      <c r="A247" s="6" t="s">
        <v>654</v>
      </c>
      <c r="B247" s="6" t="s">
        <v>654</v>
      </c>
      <c r="C247" s="6" t="s">
        <v>3142</v>
      </c>
      <c r="D247" s="6">
        <v>247.0</v>
      </c>
      <c r="F247" s="6" t="s">
        <v>653</v>
      </c>
      <c r="G247" s="6" t="s">
        <v>26</v>
      </c>
      <c r="I247" s="6" t="s">
        <v>3130</v>
      </c>
      <c r="J247" s="6">
        <v>0.0</v>
      </c>
      <c r="L247" s="6">
        <v>2500.0</v>
      </c>
      <c r="M247" s="6" t="s">
        <v>3143</v>
      </c>
      <c r="N247" s="6" t="s">
        <v>2626</v>
      </c>
      <c r="O247" s="6" t="s">
        <v>2626</v>
      </c>
    </row>
    <row r="248">
      <c r="A248" s="6" t="s">
        <v>655</v>
      </c>
      <c r="B248" s="6" t="s">
        <v>655</v>
      </c>
      <c r="C248" s="6" t="s">
        <v>3144</v>
      </c>
      <c r="D248" s="6">
        <v>248.0</v>
      </c>
      <c r="F248" s="6" t="s">
        <v>64</v>
      </c>
      <c r="G248" s="6" t="s">
        <v>26</v>
      </c>
      <c r="I248" s="6" t="s">
        <v>3130</v>
      </c>
      <c r="J248" s="6">
        <v>0.0</v>
      </c>
      <c r="L248" s="6">
        <v>2500.0</v>
      </c>
      <c r="M248" s="6" t="s">
        <v>3145</v>
      </c>
      <c r="N248" s="6" t="s">
        <v>2626</v>
      </c>
      <c r="O248" s="6" t="s">
        <v>2626</v>
      </c>
    </row>
    <row r="249">
      <c r="A249" s="6" t="s">
        <v>657</v>
      </c>
      <c r="B249" s="6" t="s">
        <v>657</v>
      </c>
      <c r="C249" s="6" t="s">
        <v>3146</v>
      </c>
      <c r="D249" s="6">
        <v>249.0</v>
      </c>
      <c r="F249" s="6" t="s">
        <v>93</v>
      </c>
      <c r="G249" s="6" t="s">
        <v>26</v>
      </c>
      <c r="I249" s="6" t="s">
        <v>3130</v>
      </c>
      <c r="J249" s="6">
        <v>0.0</v>
      </c>
      <c r="L249" s="6">
        <v>5000.0</v>
      </c>
      <c r="M249" s="6" t="s">
        <v>3147</v>
      </c>
      <c r="N249" s="6" t="s">
        <v>2626</v>
      </c>
      <c r="O249" s="6" t="s">
        <v>2626</v>
      </c>
    </row>
    <row r="250">
      <c r="A250" s="6" t="s">
        <v>660</v>
      </c>
      <c r="B250" s="6" t="s">
        <v>660</v>
      </c>
      <c r="C250" s="6" t="s">
        <v>3148</v>
      </c>
      <c r="D250" s="6">
        <v>250.0</v>
      </c>
      <c r="F250" s="6" t="s">
        <v>658</v>
      </c>
      <c r="G250" s="6" t="s">
        <v>26</v>
      </c>
      <c r="I250" s="6" t="s">
        <v>3130</v>
      </c>
      <c r="J250" s="6">
        <v>0.0</v>
      </c>
      <c r="L250" s="6">
        <v>110000.0</v>
      </c>
      <c r="M250" s="6" t="s">
        <v>3149</v>
      </c>
      <c r="N250" s="6" t="s">
        <v>2626</v>
      </c>
      <c r="O250" s="6" t="s">
        <v>2626</v>
      </c>
    </row>
    <row r="251">
      <c r="A251" s="6" t="s">
        <v>661</v>
      </c>
      <c r="B251" s="6" t="s">
        <v>661</v>
      </c>
      <c r="C251" s="6" t="s">
        <v>3150</v>
      </c>
      <c r="D251" s="6">
        <v>251.0</v>
      </c>
      <c r="E251" s="6" t="s">
        <v>140</v>
      </c>
      <c r="F251" s="6" t="s">
        <v>195</v>
      </c>
      <c r="G251" s="6" t="s">
        <v>140</v>
      </c>
      <c r="J251" s="6">
        <v>0.0</v>
      </c>
      <c r="L251" s="6">
        <v>0.0</v>
      </c>
      <c r="M251" s="6" t="s">
        <v>3151</v>
      </c>
      <c r="N251" s="6" t="s">
        <v>2626</v>
      </c>
      <c r="O251" s="6" t="s">
        <v>2626</v>
      </c>
    </row>
    <row r="252">
      <c r="A252" s="6" t="s">
        <v>662</v>
      </c>
      <c r="B252" s="6" t="s">
        <v>662</v>
      </c>
      <c r="C252" s="6" t="s">
        <v>3152</v>
      </c>
      <c r="D252" s="6">
        <v>252.0</v>
      </c>
      <c r="E252" s="6" t="s">
        <v>140</v>
      </c>
      <c r="F252" s="6" t="s">
        <v>140</v>
      </c>
      <c r="G252" s="6" t="s">
        <v>140</v>
      </c>
      <c r="J252" s="6">
        <v>0.0</v>
      </c>
      <c r="L252" s="6">
        <v>0.0</v>
      </c>
      <c r="M252" s="6" t="s">
        <v>3153</v>
      </c>
      <c r="N252" s="6" t="s">
        <v>2626</v>
      </c>
      <c r="O252" s="6" t="s">
        <v>2626</v>
      </c>
    </row>
    <row r="253">
      <c r="A253" s="6" t="s">
        <v>663</v>
      </c>
      <c r="B253" s="6" t="s">
        <v>663</v>
      </c>
      <c r="C253" s="6" t="s">
        <v>3154</v>
      </c>
      <c r="D253" s="6">
        <v>253.0</v>
      </c>
      <c r="E253" s="6" t="s">
        <v>140</v>
      </c>
      <c r="F253" s="6" t="s">
        <v>140</v>
      </c>
      <c r="G253" s="6" t="s">
        <v>140</v>
      </c>
      <c r="J253" s="6">
        <v>0.0</v>
      </c>
      <c r="L253" s="6">
        <v>0.0</v>
      </c>
      <c r="M253" s="6" t="s">
        <v>3155</v>
      </c>
      <c r="N253" s="6" t="s">
        <v>2626</v>
      </c>
      <c r="O253" s="6" t="s">
        <v>2626</v>
      </c>
    </row>
    <row r="254">
      <c r="A254" s="6" t="s">
        <v>667</v>
      </c>
      <c r="B254" s="6" t="s">
        <v>667</v>
      </c>
      <c r="C254" s="6" t="s">
        <v>3156</v>
      </c>
      <c r="D254" s="6">
        <v>254.0</v>
      </c>
      <c r="E254" s="6">
        <v>2.348027964718E12</v>
      </c>
      <c r="F254" s="6" t="s">
        <v>664</v>
      </c>
      <c r="G254" s="6" t="s">
        <v>26</v>
      </c>
      <c r="I254" s="6" t="s">
        <v>3157</v>
      </c>
      <c r="J254" s="6">
        <v>0.0</v>
      </c>
      <c r="L254" s="6">
        <v>2500.0</v>
      </c>
      <c r="M254" s="6" t="s">
        <v>3158</v>
      </c>
      <c r="N254" s="6" t="s">
        <v>2626</v>
      </c>
      <c r="O254" s="6" t="s">
        <v>2626</v>
      </c>
    </row>
    <row r="255">
      <c r="A255" s="6" t="s">
        <v>670</v>
      </c>
      <c r="B255" s="6" t="s">
        <v>670</v>
      </c>
      <c r="C255" s="6" t="s">
        <v>3159</v>
      </c>
      <c r="D255" s="6">
        <v>255.0</v>
      </c>
      <c r="F255" s="6" t="s">
        <v>668</v>
      </c>
      <c r="G255" s="6" t="s">
        <v>26</v>
      </c>
      <c r="I255" s="6" t="s">
        <v>3157</v>
      </c>
      <c r="J255" s="6">
        <v>0.0</v>
      </c>
      <c r="L255" s="6">
        <v>2500.0</v>
      </c>
      <c r="M255" s="6" t="s">
        <v>3160</v>
      </c>
      <c r="N255" s="6" t="s">
        <v>2626</v>
      </c>
      <c r="O255" s="6" t="s">
        <v>2626</v>
      </c>
    </row>
    <row r="256">
      <c r="A256" s="6" t="s">
        <v>673</v>
      </c>
      <c r="B256" s="6" t="s">
        <v>673</v>
      </c>
      <c r="C256" s="6" t="s">
        <v>3161</v>
      </c>
      <c r="D256" s="6">
        <v>256.0</v>
      </c>
      <c r="E256" s="6" t="s">
        <v>672</v>
      </c>
      <c r="F256" s="6" t="s">
        <v>74</v>
      </c>
      <c r="G256" s="6" t="s">
        <v>103</v>
      </c>
      <c r="J256" s="6">
        <v>0.0</v>
      </c>
      <c r="L256" s="6">
        <v>0.0</v>
      </c>
      <c r="M256" s="6" t="s">
        <v>3162</v>
      </c>
      <c r="N256" s="6" t="s">
        <v>2626</v>
      </c>
      <c r="O256" s="6" t="s">
        <v>2626</v>
      </c>
    </row>
    <row r="257">
      <c r="A257" s="6" t="s">
        <v>675</v>
      </c>
      <c r="B257" s="6" t="s">
        <v>675</v>
      </c>
      <c r="C257" s="6" t="s">
        <v>3163</v>
      </c>
      <c r="D257" s="6">
        <v>257.0</v>
      </c>
      <c r="F257" s="6" t="s">
        <v>78</v>
      </c>
      <c r="G257" s="6" t="s">
        <v>26</v>
      </c>
      <c r="I257" s="6" t="s">
        <v>3157</v>
      </c>
      <c r="J257" s="6">
        <v>0.0</v>
      </c>
      <c r="L257" s="6">
        <v>2500.0</v>
      </c>
      <c r="M257" s="6" t="s">
        <v>3164</v>
      </c>
      <c r="N257" s="6" t="s">
        <v>2626</v>
      </c>
      <c r="O257" s="6" t="s">
        <v>2626</v>
      </c>
    </row>
    <row r="258">
      <c r="A258" s="6" t="s">
        <v>678</v>
      </c>
      <c r="B258" s="6" t="s">
        <v>678</v>
      </c>
      <c r="C258" s="6" t="s">
        <v>3165</v>
      </c>
      <c r="D258" s="6">
        <v>258.0</v>
      </c>
      <c r="E258" s="6">
        <v>3.52676522059527E14</v>
      </c>
      <c r="F258" s="6" t="s">
        <v>89</v>
      </c>
      <c r="G258" s="6" t="s">
        <v>103</v>
      </c>
      <c r="J258" s="6">
        <v>0.0</v>
      </c>
      <c r="L258" s="6">
        <v>0.0</v>
      </c>
      <c r="M258" s="6" t="s">
        <v>3166</v>
      </c>
      <c r="N258" s="6" t="s">
        <v>2626</v>
      </c>
      <c r="O258" s="6" t="s">
        <v>2626</v>
      </c>
    </row>
    <row r="259">
      <c r="A259" s="6" t="s">
        <v>681</v>
      </c>
      <c r="B259" s="6" t="s">
        <v>681</v>
      </c>
      <c r="C259" s="6" t="s">
        <v>3167</v>
      </c>
      <c r="D259" s="6">
        <v>259.0</v>
      </c>
      <c r="E259" s="6">
        <v>3.5283240058032E14</v>
      </c>
      <c r="F259" s="6" t="s">
        <v>89</v>
      </c>
      <c r="G259" s="6" t="s">
        <v>103</v>
      </c>
      <c r="J259" s="6">
        <v>0.0</v>
      </c>
      <c r="L259" s="6">
        <v>0.0</v>
      </c>
      <c r="M259" s="6" t="s">
        <v>3168</v>
      </c>
      <c r="N259" s="6" t="s">
        <v>2626</v>
      </c>
      <c r="O259" s="6" t="s">
        <v>2626</v>
      </c>
    </row>
    <row r="260">
      <c r="A260" s="6" t="s">
        <v>684</v>
      </c>
      <c r="B260" s="6" t="s">
        <v>684</v>
      </c>
      <c r="C260" s="6" t="s">
        <v>3169</v>
      </c>
      <c r="D260" s="6">
        <v>260.0</v>
      </c>
      <c r="F260" s="6" t="s">
        <v>682</v>
      </c>
      <c r="G260" s="6" t="s">
        <v>26</v>
      </c>
      <c r="I260" s="6" t="s">
        <v>3157</v>
      </c>
      <c r="J260" s="6">
        <v>0.0</v>
      </c>
      <c r="L260" s="6">
        <v>2000.0</v>
      </c>
      <c r="M260" s="6" t="s">
        <v>3170</v>
      </c>
      <c r="N260" s="6" t="s">
        <v>2626</v>
      </c>
      <c r="O260" s="6" t="s">
        <v>2626</v>
      </c>
    </row>
    <row r="261">
      <c r="A261" s="6" t="s">
        <v>685</v>
      </c>
      <c r="B261" s="6" t="s">
        <v>685</v>
      </c>
      <c r="C261" s="6" t="s">
        <v>3171</v>
      </c>
      <c r="D261" s="6">
        <v>261.0</v>
      </c>
      <c r="F261" s="6" t="s">
        <v>70</v>
      </c>
      <c r="G261" s="6" t="s">
        <v>26</v>
      </c>
      <c r="I261" s="6" t="s">
        <v>3157</v>
      </c>
      <c r="J261" s="6">
        <v>0.0</v>
      </c>
      <c r="L261" s="6">
        <v>2500.0</v>
      </c>
      <c r="M261" s="6" t="s">
        <v>3172</v>
      </c>
      <c r="N261" s="6" t="s">
        <v>2626</v>
      </c>
      <c r="O261" s="6" t="s">
        <v>2626</v>
      </c>
    </row>
    <row r="262">
      <c r="A262" s="6" t="s">
        <v>688</v>
      </c>
      <c r="B262" s="6" t="s">
        <v>688</v>
      </c>
      <c r="C262" s="6" t="s">
        <v>3173</v>
      </c>
      <c r="D262" s="6">
        <v>262.0</v>
      </c>
      <c r="F262" s="6" t="s">
        <v>686</v>
      </c>
      <c r="G262" s="6" t="s">
        <v>26</v>
      </c>
      <c r="I262" s="6" t="s">
        <v>3157</v>
      </c>
      <c r="J262" s="6">
        <v>0.0</v>
      </c>
      <c r="L262" s="6">
        <v>3000.0</v>
      </c>
      <c r="M262" s="6" t="s">
        <v>3174</v>
      </c>
      <c r="N262" s="6" t="s">
        <v>2626</v>
      </c>
      <c r="O262" s="6" t="s">
        <v>2626</v>
      </c>
    </row>
    <row r="263">
      <c r="A263" s="6" t="s">
        <v>692</v>
      </c>
      <c r="B263" s="6" t="s">
        <v>692</v>
      </c>
      <c r="C263" s="6" t="s">
        <v>3175</v>
      </c>
      <c r="D263" s="6">
        <v>263.0</v>
      </c>
      <c r="E263" s="6">
        <v>3.57773245354015E14</v>
      </c>
      <c r="F263" s="6" t="s">
        <v>689</v>
      </c>
      <c r="G263" s="6" t="s">
        <v>26</v>
      </c>
      <c r="I263" s="6" t="s">
        <v>3157</v>
      </c>
      <c r="J263" s="6">
        <v>0.0</v>
      </c>
      <c r="L263" s="6">
        <v>520000.0</v>
      </c>
      <c r="M263" s="6" t="s">
        <v>3176</v>
      </c>
      <c r="N263" s="6" t="s">
        <v>2626</v>
      </c>
      <c r="O263" s="6" t="s">
        <v>2626</v>
      </c>
    </row>
    <row r="264">
      <c r="A264" s="6" t="s">
        <v>697</v>
      </c>
      <c r="B264" s="6" t="s">
        <v>697</v>
      </c>
      <c r="C264" s="6" t="s">
        <v>3177</v>
      </c>
      <c r="D264" s="6">
        <v>264.0</v>
      </c>
      <c r="E264" s="6">
        <v>3.53240103451972E14</v>
      </c>
      <c r="F264" s="6" t="s">
        <v>693</v>
      </c>
      <c r="G264" s="6" t="s">
        <v>26</v>
      </c>
      <c r="I264" s="6" t="s">
        <v>3157</v>
      </c>
      <c r="J264" s="6">
        <v>0.0</v>
      </c>
      <c r="L264" s="6">
        <v>310000.0</v>
      </c>
      <c r="M264" s="6" t="s">
        <v>3178</v>
      </c>
      <c r="N264" s="6" t="s">
        <v>2626</v>
      </c>
      <c r="O264" s="6" t="s">
        <v>2626</v>
      </c>
    </row>
    <row r="265">
      <c r="A265" s="6" t="s">
        <v>700</v>
      </c>
      <c r="B265" s="6" t="s">
        <v>700</v>
      </c>
      <c r="C265" s="6" t="s">
        <v>3179</v>
      </c>
      <c r="D265" s="6">
        <v>265.0</v>
      </c>
      <c r="F265" s="6" t="s">
        <v>698</v>
      </c>
      <c r="G265" s="6" t="s">
        <v>103</v>
      </c>
      <c r="J265" s="6">
        <v>0.0</v>
      </c>
      <c r="L265" s="6">
        <v>0.0</v>
      </c>
      <c r="M265" s="6" t="s">
        <v>3180</v>
      </c>
      <c r="N265" s="6" t="s">
        <v>2626</v>
      </c>
      <c r="O265" s="6" t="s">
        <v>2626</v>
      </c>
    </row>
    <row r="266">
      <c r="A266" s="6" t="s">
        <v>703</v>
      </c>
      <c r="B266" s="6" t="s">
        <v>703</v>
      </c>
      <c r="C266" s="6" t="s">
        <v>3181</v>
      </c>
      <c r="D266" s="6">
        <v>266.0</v>
      </c>
      <c r="F266" s="6" t="s">
        <v>701</v>
      </c>
      <c r="G266" s="6" t="s">
        <v>103</v>
      </c>
      <c r="J266" s="6">
        <v>0.0</v>
      </c>
      <c r="L266" s="6">
        <v>0.0</v>
      </c>
      <c r="M266" s="6" t="s">
        <v>3182</v>
      </c>
      <c r="N266" s="6" t="s">
        <v>2626</v>
      </c>
      <c r="O266" s="6" t="s">
        <v>2626</v>
      </c>
    </row>
    <row r="267">
      <c r="A267" s="6" t="s">
        <v>705</v>
      </c>
      <c r="B267" s="6" t="s">
        <v>705</v>
      </c>
      <c r="C267" s="6" t="s">
        <v>3183</v>
      </c>
      <c r="D267" s="6">
        <v>267.0</v>
      </c>
      <c r="F267" s="6" t="s">
        <v>358</v>
      </c>
      <c r="G267" s="6" t="s">
        <v>26</v>
      </c>
      <c r="I267" s="6" t="s">
        <v>3157</v>
      </c>
      <c r="J267" s="6">
        <v>0.0</v>
      </c>
      <c r="L267" s="6">
        <v>2500.0</v>
      </c>
      <c r="M267" s="6" t="s">
        <v>3184</v>
      </c>
      <c r="N267" s="6" t="s">
        <v>2626</v>
      </c>
      <c r="O267" s="6" t="s">
        <v>2626</v>
      </c>
    </row>
    <row r="268">
      <c r="A268" s="6" t="s">
        <v>707</v>
      </c>
      <c r="B268" s="6" t="s">
        <v>707</v>
      </c>
      <c r="C268" s="6" t="s">
        <v>3185</v>
      </c>
      <c r="D268" s="6">
        <v>268.0</v>
      </c>
      <c r="E268" s="6">
        <v>3.52676522059527E14</v>
      </c>
      <c r="F268" s="6" t="s">
        <v>89</v>
      </c>
      <c r="G268" s="6" t="s">
        <v>26</v>
      </c>
      <c r="I268" s="6" t="s">
        <v>3157</v>
      </c>
      <c r="J268" s="6">
        <v>0.0</v>
      </c>
      <c r="L268" s="6">
        <v>820000.0</v>
      </c>
      <c r="M268" s="6" t="s">
        <v>3186</v>
      </c>
      <c r="N268" s="6" t="s">
        <v>2626</v>
      </c>
      <c r="O268" s="6" t="s">
        <v>2626</v>
      </c>
    </row>
    <row r="269">
      <c r="A269" s="6" t="s">
        <v>708</v>
      </c>
      <c r="B269" s="6" t="s">
        <v>708</v>
      </c>
      <c r="C269" s="6" t="s">
        <v>3187</v>
      </c>
      <c r="D269" s="6">
        <v>269.0</v>
      </c>
      <c r="E269" s="6" t="s">
        <v>140</v>
      </c>
      <c r="F269" s="6" t="s">
        <v>195</v>
      </c>
      <c r="G269" s="6" t="s">
        <v>140</v>
      </c>
      <c r="J269" s="6">
        <v>0.0</v>
      </c>
      <c r="L269" s="6">
        <v>0.0</v>
      </c>
      <c r="M269" s="6" t="s">
        <v>3188</v>
      </c>
      <c r="N269" s="6" t="s">
        <v>2626</v>
      </c>
      <c r="O269" s="6" t="s">
        <v>2626</v>
      </c>
    </row>
    <row r="270">
      <c r="A270" s="6" t="s">
        <v>709</v>
      </c>
      <c r="B270" s="6" t="s">
        <v>709</v>
      </c>
      <c r="C270" s="6" t="s">
        <v>3189</v>
      </c>
      <c r="D270" s="6">
        <v>270.0</v>
      </c>
      <c r="E270" s="6" t="s">
        <v>140</v>
      </c>
      <c r="F270" s="6" t="s">
        <v>140</v>
      </c>
      <c r="G270" s="6" t="s">
        <v>140</v>
      </c>
      <c r="J270" s="6">
        <v>0.0</v>
      </c>
      <c r="L270" s="6">
        <v>0.0</v>
      </c>
      <c r="M270" s="6" t="s">
        <v>3190</v>
      </c>
      <c r="N270" s="6" t="s">
        <v>2626</v>
      </c>
      <c r="O270" s="6" t="s">
        <v>2626</v>
      </c>
    </row>
    <row r="271">
      <c r="A271" s="6" t="s">
        <v>710</v>
      </c>
      <c r="B271" s="6" t="s">
        <v>710</v>
      </c>
      <c r="C271" s="6" t="s">
        <v>3191</v>
      </c>
      <c r="D271" s="6">
        <v>271.0</v>
      </c>
      <c r="E271" s="6" t="s">
        <v>140</v>
      </c>
      <c r="F271" s="6" t="s">
        <v>140</v>
      </c>
      <c r="G271" s="6" t="s">
        <v>140</v>
      </c>
      <c r="J271" s="6">
        <v>0.0</v>
      </c>
      <c r="L271" s="6">
        <v>0.0</v>
      </c>
      <c r="M271" s="6" t="s">
        <v>3192</v>
      </c>
      <c r="N271" s="6" t="s">
        <v>2626</v>
      </c>
      <c r="O271" s="6" t="s">
        <v>2626</v>
      </c>
    </row>
    <row r="272">
      <c r="A272" s="6" t="s">
        <v>711</v>
      </c>
      <c r="B272" s="6" t="s">
        <v>711</v>
      </c>
      <c r="C272" s="6" t="s">
        <v>3193</v>
      </c>
      <c r="D272" s="6">
        <v>272.0</v>
      </c>
      <c r="F272" s="6" t="s">
        <v>78</v>
      </c>
      <c r="G272" s="6" t="s">
        <v>26</v>
      </c>
      <c r="I272" s="6" t="s">
        <v>3194</v>
      </c>
      <c r="J272" s="6">
        <v>0.0</v>
      </c>
      <c r="L272" s="6">
        <v>2500.0</v>
      </c>
      <c r="M272" s="6" t="s">
        <v>3195</v>
      </c>
      <c r="N272" s="6" t="s">
        <v>2626</v>
      </c>
      <c r="O272" s="6" t="s">
        <v>2626</v>
      </c>
    </row>
    <row r="273">
      <c r="A273" s="6" t="s">
        <v>712</v>
      </c>
      <c r="B273" s="6" t="s">
        <v>712</v>
      </c>
      <c r="C273" s="6" t="s">
        <v>3196</v>
      </c>
      <c r="D273" s="6">
        <v>273.0</v>
      </c>
      <c r="E273" s="6" t="s">
        <v>140</v>
      </c>
      <c r="F273" s="6" t="s">
        <v>195</v>
      </c>
      <c r="G273" s="6" t="s">
        <v>140</v>
      </c>
      <c r="J273" s="6">
        <v>0.0</v>
      </c>
      <c r="L273" s="6">
        <v>0.0</v>
      </c>
      <c r="M273" s="6" t="s">
        <v>3197</v>
      </c>
      <c r="N273" s="6" t="s">
        <v>2626</v>
      </c>
      <c r="O273" s="6" t="s">
        <v>2626</v>
      </c>
    </row>
    <row r="274">
      <c r="A274" s="6" t="s">
        <v>713</v>
      </c>
      <c r="B274" s="6" t="s">
        <v>713</v>
      </c>
      <c r="C274" s="6" t="s">
        <v>3198</v>
      </c>
      <c r="D274" s="6">
        <v>274.0</v>
      </c>
      <c r="E274" s="6" t="s">
        <v>140</v>
      </c>
      <c r="F274" s="6" t="s">
        <v>140</v>
      </c>
      <c r="G274" s="6" t="s">
        <v>140</v>
      </c>
      <c r="J274" s="6">
        <v>0.0</v>
      </c>
      <c r="L274" s="6">
        <v>0.0</v>
      </c>
      <c r="M274" s="6" t="s">
        <v>3199</v>
      </c>
      <c r="N274" s="6" t="s">
        <v>2626</v>
      </c>
      <c r="O274" s="6" t="s">
        <v>2626</v>
      </c>
    </row>
    <row r="275">
      <c r="A275" s="6" t="s">
        <v>714</v>
      </c>
      <c r="B275" s="6" t="s">
        <v>714</v>
      </c>
      <c r="C275" s="6" t="s">
        <v>3200</v>
      </c>
      <c r="D275" s="6">
        <v>275.0</v>
      </c>
      <c r="E275" s="6" t="s">
        <v>140</v>
      </c>
      <c r="F275" s="6" t="s">
        <v>140</v>
      </c>
      <c r="G275" s="6" t="s">
        <v>140</v>
      </c>
      <c r="J275" s="6">
        <v>0.0</v>
      </c>
      <c r="L275" s="6">
        <v>0.0</v>
      </c>
      <c r="M275" s="6" t="s">
        <v>3201</v>
      </c>
      <c r="N275" s="6" t="s">
        <v>2626</v>
      </c>
      <c r="O275" s="6" t="s">
        <v>2626</v>
      </c>
    </row>
    <row r="276">
      <c r="A276" s="6" t="s">
        <v>718</v>
      </c>
      <c r="B276" s="6" t="s">
        <v>718</v>
      </c>
      <c r="C276" s="6" t="s">
        <v>3202</v>
      </c>
      <c r="D276" s="6">
        <v>276.0</v>
      </c>
      <c r="E276" s="6">
        <v>3.56841111235385E14</v>
      </c>
      <c r="F276" s="6" t="s">
        <v>715</v>
      </c>
      <c r="G276" s="6" t="s">
        <v>26</v>
      </c>
      <c r="I276" s="6" t="s">
        <v>3203</v>
      </c>
      <c r="J276" s="6">
        <v>0.0</v>
      </c>
      <c r="L276" s="6">
        <v>135000.0</v>
      </c>
      <c r="M276" s="6" t="s">
        <v>3204</v>
      </c>
      <c r="N276" s="6" t="s">
        <v>2626</v>
      </c>
      <c r="O276" s="6" t="s">
        <v>2626</v>
      </c>
    </row>
    <row r="277">
      <c r="A277" s="6" t="s">
        <v>721</v>
      </c>
      <c r="B277" s="6" t="s">
        <v>721</v>
      </c>
      <c r="C277" s="6" t="s">
        <v>3205</v>
      </c>
      <c r="D277" s="6">
        <v>277.0</v>
      </c>
      <c r="F277" s="6" t="s">
        <v>719</v>
      </c>
      <c r="G277" s="6" t="s">
        <v>26</v>
      </c>
      <c r="I277" s="6" t="s">
        <v>3203</v>
      </c>
      <c r="J277" s="6">
        <v>0.0</v>
      </c>
      <c r="L277" s="6">
        <v>2500.0</v>
      </c>
      <c r="M277" s="6" t="s">
        <v>3206</v>
      </c>
      <c r="N277" s="6" t="s">
        <v>2626</v>
      </c>
      <c r="O277" s="6" t="s">
        <v>2626</v>
      </c>
    </row>
    <row r="278">
      <c r="A278" s="6" t="s">
        <v>723</v>
      </c>
      <c r="B278" s="6" t="s">
        <v>723</v>
      </c>
      <c r="C278" s="6" t="s">
        <v>3207</v>
      </c>
      <c r="D278" s="6">
        <v>278.0</v>
      </c>
      <c r="F278" s="6" t="s">
        <v>23</v>
      </c>
      <c r="G278" s="6" t="s">
        <v>26</v>
      </c>
      <c r="I278" s="6" t="s">
        <v>3203</v>
      </c>
      <c r="J278" s="6">
        <v>0.0</v>
      </c>
      <c r="L278" s="6">
        <v>2500.0</v>
      </c>
      <c r="M278" s="6" t="s">
        <v>3208</v>
      </c>
      <c r="N278" s="6" t="s">
        <v>2626</v>
      </c>
      <c r="O278" s="6" t="s">
        <v>2626</v>
      </c>
    </row>
    <row r="279">
      <c r="A279" s="6" t="s">
        <v>726</v>
      </c>
      <c r="B279" s="6" t="s">
        <v>726</v>
      </c>
      <c r="C279" s="6" t="s">
        <v>3209</v>
      </c>
      <c r="D279" s="6">
        <v>279.0</v>
      </c>
      <c r="E279" s="6">
        <v>3.544232352157E14</v>
      </c>
      <c r="F279" s="6" t="s">
        <v>715</v>
      </c>
      <c r="G279" s="6" t="s">
        <v>26</v>
      </c>
      <c r="I279" s="6" t="s">
        <v>3203</v>
      </c>
      <c r="J279" s="6">
        <v>0.0</v>
      </c>
      <c r="L279" s="6">
        <v>690000.0</v>
      </c>
      <c r="M279" s="6" t="s">
        <v>3210</v>
      </c>
      <c r="N279" s="6" t="s">
        <v>2626</v>
      </c>
      <c r="O279" s="6" t="s">
        <v>2626</v>
      </c>
    </row>
    <row r="280">
      <c r="A280" s="6" t="s">
        <v>729</v>
      </c>
      <c r="B280" s="6" t="s">
        <v>729</v>
      </c>
      <c r="C280" s="6" t="s">
        <v>3211</v>
      </c>
      <c r="D280" s="6">
        <v>280.0</v>
      </c>
      <c r="F280" s="6" t="s">
        <v>727</v>
      </c>
      <c r="G280" s="6" t="s">
        <v>26</v>
      </c>
      <c r="I280" s="6" t="s">
        <v>3203</v>
      </c>
      <c r="J280" s="6">
        <v>0.0</v>
      </c>
      <c r="L280" s="6">
        <v>760000.0</v>
      </c>
      <c r="M280" s="6" t="s">
        <v>3212</v>
      </c>
      <c r="N280" s="6" t="s">
        <v>2626</v>
      </c>
      <c r="O280" s="6" t="s">
        <v>2626</v>
      </c>
    </row>
    <row r="281">
      <c r="A281" s="6" t="s">
        <v>731</v>
      </c>
      <c r="B281" s="6" t="s">
        <v>731</v>
      </c>
      <c r="C281" s="6" t="s">
        <v>3213</v>
      </c>
      <c r="D281" s="6">
        <v>281.0</v>
      </c>
      <c r="F281" s="6" t="s">
        <v>424</v>
      </c>
      <c r="G281" s="6" t="s">
        <v>26</v>
      </c>
      <c r="I281" s="6" t="s">
        <v>3203</v>
      </c>
      <c r="J281" s="6">
        <v>0.0</v>
      </c>
      <c r="L281" s="6">
        <v>2500.0</v>
      </c>
      <c r="M281" s="6" t="s">
        <v>3214</v>
      </c>
      <c r="N281" s="6" t="s">
        <v>2626</v>
      </c>
      <c r="O281" s="6" t="s">
        <v>2626</v>
      </c>
    </row>
    <row r="282">
      <c r="A282" s="6" t="s">
        <v>733</v>
      </c>
      <c r="B282" s="6" t="s">
        <v>733</v>
      </c>
      <c r="C282" s="6" t="s">
        <v>3215</v>
      </c>
      <c r="D282" s="6">
        <v>282.0</v>
      </c>
      <c r="F282" s="6" t="s">
        <v>23</v>
      </c>
      <c r="G282" s="6" t="s">
        <v>26</v>
      </c>
      <c r="I282" s="6" t="s">
        <v>3203</v>
      </c>
      <c r="J282" s="6">
        <v>0.0</v>
      </c>
      <c r="L282" s="6">
        <v>2500.0</v>
      </c>
      <c r="M282" s="6" t="s">
        <v>3216</v>
      </c>
      <c r="N282" s="6" t="s">
        <v>2626</v>
      </c>
      <c r="O282" s="6" t="s">
        <v>2626</v>
      </c>
    </row>
    <row r="283">
      <c r="A283" s="6" t="s">
        <v>735</v>
      </c>
      <c r="B283" s="6" t="s">
        <v>735</v>
      </c>
      <c r="C283" s="6" t="s">
        <v>3217</v>
      </c>
      <c r="D283" s="6">
        <v>283.0</v>
      </c>
      <c r="F283" s="6" t="s">
        <v>23</v>
      </c>
      <c r="G283" s="6" t="s">
        <v>26</v>
      </c>
      <c r="I283" s="6" t="s">
        <v>3203</v>
      </c>
      <c r="J283" s="6">
        <v>0.0</v>
      </c>
      <c r="L283" s="6">
        <v>2500.0</v>
      </c>
      <c r="M283" s="6" t="s">
        <v>3218</v>
      </c>
      <c r="N283" s="6" t="s">
        <v>2626</v>
      </c>
      <c r="O283" s="6" t="s">
        <v>2626</v>
      </c>
    </row>
    <row r="284">
      <c r="A284" s="6" t="s">
        <v>738</v>
      </c>
      <c r="B284" s="6" t="s">
        <v>738</v>
      </c>
      <c r="C284" s="6" t="s">
        <v>3219</v>
      </c>
      <c r="D284" s="6">
        <v>284.0</v>
      </c>
      <c r="F284" s="6" t="s">
        <v>736</v>
      </c>
      <c r="G284" s="6" t="s">
        <v>26</v>
      </c>
      <c r="I284" s="6" t="s">
        <v>3203</v>
      </c>
      <c r="J284" s="6">
        <v>0.0</v>
      </c>
      <c r="L284" s="6">
        <v>2500.0</v>
      </c>
      <c r="M284" s="6" t="s">
        <v>3220</v>
      </c>
      <c r="N284" s="6" t="s">
        <v>2626</v>
      </c>
      <c r="O284" s="6" t="s">
        <v>2626</v>
      </c>
    </row>
    <row r="285">
      <c r="A285" s="6" t="s">
        <v>740</v>
      </c>
      <c r="B285" s="6" t="s">
        <v>740</v>
      </c>
      <c r="C285" s="6" t="s">
        <v>3221</v>
      </c>
      <c r="D285" s="6">
        <v>285.0</v>
      </c>
      <c r="F285" s="6" t="s">
        <v>236</v>
      </c>
      <c r="G285" s="6" t="s">
        <v>26</v>
      </c>
      <c r="I285" s="6" t="s">
        <v>3203</v>
      </c>
      <c r="J285" s="6">
        <v>0.0</v>
      </c>
      <c r="L285" s="6">
        <v>2500.0</v>
      </c>
      <c r="M285" s="6" t="s">
        <v>3222</v>
      </c>
      <c r="N285" s="6" t="s">
        <v>2626</v>
      </c>
      <c r="O285" s="6" t="s">
        <v>2626</v>
      </c>
    </row>
    <row r="286">
      <c r="A286" s="6" t="s">
        <v>744</v>
      </c>
      <c r="B286" s="6" t="s">
        <v>744</v>
      </c>
      <c r="C286" s="6" t="s">
        <v>3223</v>
      </c>
      <c r="D286" s="6">
        <v>286.0</v>
      </c>
      <c r="F286" s="6" t="s">
        <v>741</v>
      </c>
      <c r="G286" s="6" t="s">
        <v>103</v>
      </c>
      <c r="J286" s="6">
        <v>0.0</v>
      </c>
      <c r="L286" s="6">
        <v>0.0</v>
      </c>
      <c r="M286" s="6" t="s">
        <v>3224</v>
      </c>
      <c r="N286" s="6" t="s">
        <v>2626</v>
      </c>
      <c r="O286" s="6" t="s">
        <v>2626</v>
      </c>
    </row>
    <row r="287">
      <c r="A287" s="6" t="s">
        <v>746</v>
      </c>
      <c r="B287" s="6" t="s">
        <v>746</v>
      </c>
      <c r="C287" s="6" t="s">
        <v>3225</v>
      </c>
      <c r="D287" s="6">
        <v>287.0</v>
      </c>
      <c r="F287" s="6" t="s">
        <v>358</v>
      </c>
      <c r="G287" s="6" t="s">
        <v>26</v>
      </c>
      <c r="I287" s="6" t="s">
        <v>3203</v>
      </c>
      <c r="J287" s="6">
        <v>0.0</v>
      </c>
      <c r="L287" s="6">
        <v>2500.0</v>
      </c>
      <c r="M287" s="6" t="s">
        <v>3226</v>
      </c>
      <c r="N287" s="6" t="s">
        <v>2626</v>
      </c>
      <c r="O287" s="6" t="s">
        <v>2626</v>
      </c>
    </row>
    <row r="288">
      <c r="A288" s="6" t="s">
        <v>749</v>
      </c>
      <c r="B288" s="6" t="s">
        <v>749</v>
      </c>
      <c r="C288" s="6" t="s">
        <v>3227</v>
      </c>
      <c r="D288" s="6">
        <v>288.0</v>
      </c>
      <c r="E288" s="6">
        <v>3.56848113696837E14</v>
      </c>
      <c r="F288" s="6" t="s">
        <v>686</v>
      </c>
      <c r="G288" s="6" t="s">
        <v>26</v>
      </c>
      <c r="I288" s="6" t="s">
        <v>3203</v>
      </c>
      <c r="J288" s="6">
        <v>0.0</v>
      </c>
      <c r="L288" s="6">
        <v>140000.0</v>
      </c>
      <c r="M288" s="6" t="s">
        <v>3228</v>
      </c>
      <c r="N288" s="6" t="s">
        <v>2626</v>
      </c>
      <c r="O288" s="6" t="s">
        <v>2626</v>
      </c>
    </row>
    <row r="289">
      <c r="A289" s="6" t="s">
        <v>751</v>
      </c>
      <c r="B289" s="6" t="s">
        <v>751</v>
      </c>
      <c r="C289" s="6" t="s">
        <v>3229</v>
      </c>
      <c r="D289" s="6">
        <v>289.0</v>
      </c>
      <c r="F289" s="6" t="s">
        <v>418</v>
      </c>
      <c r="G289" s="6" t="s">
        <v>26</v>
      </c>
      <c r="I289" s="6" t="s">
        <v>3203</v>
      </c>
      <c r="J289" s="6">
        <v>0.0</v>
      </c>
      <c r="L289" s="6">
        <v>2500.0</v>
      </c>
      <c r="M289" s="6" t="s">
        <v>3230</v>
      </c>
      <c r="N289" s="6" t="s">
        <v>2626</v>
      </c>
      <c r="O289" s="6" t="s">
        <v>2626</v>
      </c>
    </row>
    <row r="290">
      <c r="A290" s="6" t="s">
        <v>752</v>
      </c>
      <c r="B290" s="6" t="s">
        <v>752</v>
      </c>
      <c r="C290" s="6" t="s">
        <v>3231</v>
      </c>
      <c r="D290" s="6">
        <v>290.0</v>
      </c>
      <c r="F290" s="6" t="s">
        <v>535</v>
      </c>
      <c r="G290" s="6" t="s">
        <v>103</v>
      </c>
      <c r="J290" s="6">
        <v>0.0</v>
      </c>
      <c r="L290" s="6">
        <v>0.0</v>
      </c>
      <c r="M290" s="6" t="s">
        <v>3232</v>
      </c>
      <c r="N290" s="6" t="s">
        <v>2626</v>
      </c>
      <c r="O290" s="6" t="s">
        <v>2626</v>
      </c>
    </row>
    <row r="291">
      <c r="A291" s="6" t="s">
        <v>753</v>
      </c>
      <c r="B291" s="6" t="s">
        <v>753</v>
      </c>
      <c r="C291" s="6" t="s">
        <v>3233</v>
      </c>
      <c r="D291" s="6">
        <v>291.0</v>
      </c>
      <c r="E291" s="6" t="s">
        <v>195</v>
      </c>
      <c r="F291" s="6" t="s">
        <v>508</v>
      </c>
      <c r="G291" s="6" t="s">
        <v>140</v>
      </c>
      <c r="J291" s="6">
        <v>0.0</v>
      </c>
      <c r="L291" s="6">
        <v>0.0</v>
      </c>
      <c r="M291" s="6" t="s">
        <v>3234</v>
      </c>
      <c r="N291" s="6" t="s">
        <v>2626</v>
      </c>
      <c r="O291" s="6" t="s">
        <v>2626</v>
      </c>
    </row>
    <row r="292">
      <c r="A292" s="6" t="s">
        <v>754</v>
      </c>
      <c r="B292" s="6" t="s">
        <v>754</v>
      </c>
      <c r="C292" s="6" t="s">
        <v>3235</v>
      </c>
      <c r="D292" s="6">
        <v>292.0</v>
      </c>
      <c r="E292" s="6" t="s">
        <v>195</v>
      </c>
      <c r="F292" s="6" t="s">
        <v>508</v>
      </c>
      <c r="G292" s="6" t="s">
        <v>140</v>
      </c>
      <c r="J292" s="6">
        <v>0.0</v>
      </c>
      <c r="L292" s="6">
        <v>0.0</v>
      </c>
      <c r="M292" s="6" t="s">
        <v>3236</v>
      </c>
      <c r="N292" s="6" t="s">
        <v>2626</v>
      </c>
      <c r="O292" s="6" t="s">
        <v>2626</v>
      </c>
    </row>
    <row r="293">
      <c r="A293" s="6" t="s">
        <v>755</v>
      </c>
      <c r="B293" s="6" t="s">
        <v>755</v>
      </c>
      <c r="C293" s="6" t="s">
        <v>3237</v>
      </c>
      <c r="D293" s="6">
        <v>293.0</v>
      </c>
      <c r="E293" s="6" t="s">
        <v>195</v>
      </c>
      <c r="F293" s="6" t="s">
        <v>508</v>
      </c>
      <c r="G293" s="6" t="s">
        <v>140</v>
      </c>
      <c r="J293" s="6">
        <v>0.0</v>
      </c>
      <c r="L293" s="6">
        <v>0.0</v>
      </c>
      <c r="M293" s="6" t="s">
        <v>3238</v>
      </c>
      <c r="N293" s="6" t="s">
        <v>2626</v>
      </c>
      <c r="O293" s="6" t="s">
        <v>2626</v>
      </c>
    </row>
    <row r="294">
      <c r="A294" s="6" t="s">
        <v>756</v>
      </c>
      <c r="B294" s="6" t="s">
        <v>756</v>
      </c>
      <c r="C294" s="6" t="s">
        <v>3239</v>
      </c>
      <c r="D294" s="6">
        <v>294.0</v>
      </c>
      <c r="E294" s="6" t="s">
        <v>195</v>
      </c>
      <c r="F294" s="6" t="s">
        <v>508</v>
      </c>
      <c r="G294" s="6" t="s">
        <v>140</v>
      </c>
      <c r="J294" s="6">
        <v>0.0</v>
      </c>
      <c r="L294" s="6">
        <v>0.0</v>
      </c>
      <c r="M294" s="6" t="s">
        <v>3240</v>
      </c>
      <c r="N294" s="6" t="s">
        <v>2626</v>
      </c>
      <c r="O294" s="6" t="s">
        <v>2626</v>
      </c>
    </row>
    <row r="295">
      <c r="A295" s="6" t="s">
        <v>759</v>
      </c>
      <c r="B295" s="6" t="s">
        <v>759</v>
      </c>
      <c r="C295" s="6" t="s">
        <v>3241</v>
      </c>
      <c r="D295" s="6">
        <v>295.0</v>
      </c>
      <c r="E295" s="6">
        <v>3.55361727018118E14</v>
      </c>
      <c r="F295" s="6" t="s">
        <v>582</v>
      </c>
      <c r="G295" s="6" t="s">
        <v>26</v>
      </c>
      <c r="I295" s="6" t="s">
        <v>3242</v>
      </c>
      <c r="J295" s="6">
        <v>0.0</v>
      </c>
      <c r="L295" s="6">
        <v>810000.0</v>
      </c>
      <c r="M295" s="6" t="s">
        <v>3243</v>
      </c>
      <c r="N295" s="6" t="s">
        <v>2626</v>
      </c>
      <c r="O295" s="6" t="s">
        <v>2626</v>
      </c>
    </row>
    <row r="296">
      <c r="A296" s="6" t="s">
        <v>762</v>
      </c>
      <c r="B296" s="6" t="s">
        <v>762</v>
      </c>
      <c r="C296" s="6" t="s">
        <v>3244</v>
      </c>
      <c r="D296" s="6">
        <v>296.0</v>
      </c>
      <c r="E296" s="6">
        <v>3.54230916172369E14</v>
      </c>
      <c r="F296" s="6" t="s">
        <v>582</v>
      </c>
      <c r="G296" s="6" t="s">
        <v>26</v>
      </c>
      <c r="I296" s="6" t="s">
        <v>3245</v>
      </c>
      <c r="J296" s="6">
        <v>0.0</v>
      </c>
      <c r="L296" s="6">
        <v>810000.0</v>
      </c>
      <c r="M296" s="6" t="s">
        <v>3246</v>
      </c>
      <c r="N296" s="6" t="s">
        <v>2626</v>
      </c>
      <c r="O296" s="6" t="s">
        <v>2626</v>
      </c>
    </row>
    <row r="297">
      <c r="A297" s="6" t="s">
        <v>768</v>
      </c>
      <c r="B297" s="6" t="s">
        <v>768</v>
      </c>
      <c r="C297" s="6" t="s">
        <v>3247</v>
      </c>
      <c r="D297" s="6">
        <v>297.0</v>
      </c>
      <c r="E297" s="6">
        <v>3.58625099111231E14</v>
      </c>
      <c r="F297" s="6" t="s">
        <v>763</v>
      </c>
      <c r="G297" s="6" t="s">
        <v>26</v>
      </c>
      <c r="I297" s="6" t="s">
        <v>3242</v>
      </c>
      <c r="J297" s="6">
        <v>0.0</v>
      </c>
      <c r="L297" s="6">
        <v>118000.0</v>
      </c>
      <c r="M297" s="6" t="s">
        <v>3248</v>
      </c>
      <c r="N297" s="6" t="s">
        <v>2626</v>
      </c>
      <c r="O297" s="6" t="s">
        <v>2626</v>
      </c>
    </row>
    <row r="298">
      <c r="A298" s="6" t="s">
        <v>770</v>
      </c>
      <c r="B298" s="6" t="s">
        <v>770</v>
      </c>
      <c r="C298" s="6" t="s">
        <v>3249</v>
      </c>
      <c r="D298" s="6">
        <v>298.0</v>
      </c>
      <c r="F298" s="6" t="s">
        <v>89</v>
      </c>
      <c r="G298" s="6" t="s">
        <v>26</v>
      </c>
      <c r="I298" s="6" t="s">
        <v>3242</v>
      </c>
      <c r="J298" s="6">
        <v>0.0</v>
      </c>
      <c r="L298" s="6">
        <v>2500.0</v>
      </c>
      <c r="M298" s="6" t="s">
        <v>3250</v>
      </c>
      <c r="N298" s="6" t="s">
        <v>2626</v>
      </c>
      <c r="O298" s="6" t="s">
        <v>2626</v>
      </c>
    </row>
    <row r="299">
      <c r="A299" s="6" t="s">
        <v>772</v>
      </c>
      <c r="B299" s="6" t="s">
        <v>772</v>
      </c>
      <c r="C299" s="6" t="s">
        <v>3251</v>
      </c>
      <c r="D299" s="6">
        <v>299.0</v>
      </c>
      <c r="F299" s="6" t="s">
        <v>105</v>
      </c>
      <c r="G299" s="6" t="s">
        <v>26</v>
      </c>
      <c r="I299" s="6" t="s">
        <v>3242</v>
      </c>
      <c r="J299" s="6">
        <v>0.0</v>
      </c>
      <c r="L299" s="6">
        <v>5000.0</v>
      </c>
      <c r="M299" s="6" t="s">
        <v>3252</v>
      </c>
      <c r="N299" s="6" t="s">
        <v>2626</v>
      </c>
      <c r="O299" s="6" t="s">
        <v>2626</v>
      </c>
    </row>
    <row r="300">
      <c r="A300" s="6" t="s">
        <v>774</v>
      </c>
      <c r="B300" s="6" t="s">
        <v>774</v>
      </c>
      <c r="C300" s="6" t="s">
        <v>3253</v>
      </c>
      <c r="D300" s="6">
        <v>300.0</v>
      </c>
      <c r="F300" s="6" t="s">
        <v>70</v>
      </c>
      <c r="G300" s="6" t="s">
        <v>26</v>
      </c>
      <c r="I300" s="6" t="s">
        <v>3242</v>
      </c>
      <c r="J300" s="6">
        <v>0.0</v>
      </c>
      <c r="L300" s="6">
        <v>2500.0</v>
      </c>
      <c r="M300" s="6" t="s">
        <v>3254</v>
      </c>
      <c r="N300" s="6" t="s">
        <v>2626</v>
      </c>
      <c r="O300" s="6" t="s">
        <v>2626</v>
      </c>
    </row>
    <row r="301">
      <c r="A301" s="6" t="s">
        <v>775</v>
      </c>
      <c r="B301" s="6" t="s">
        <v>775</v>
      </c>
      <c r="C301" s="6" t="s">
        <v>3255</v>
      </c>
      <c r="D301" s="6">
        <v>301.0</v>
      </c>
      <c r="F301" s="6" t="s">
        <v>339</v>
      </c>
      <c r="G301" s="6" t="s">
        <v>121</v>
      </c>
      <c r="J301" s="6">
        <v>0.0</v>
      </c>
      <c r="L301" s="6">
        <v>0.0</v>
      </c>
      <c r="M301" s="6" t="s">
        <v>3256</v>
      </c>
      <c r="N301" s="6" t="s">
        <v>2626</v>
      </c>
      <c r="O301" s="6" t="s">
        <v>2626</v>
      </c>
    </row>
    <row r="302">
      <c r="A302" s="6" t="s">
        <v>777</v>
      </c>
      <c r="B302" s="6" t="s">
        <v>777</v>
      </c>
      <c r="C302" s="6" t="s">
        <v>3257</v>
      </c>
      <c r="D302" s="6">
        <v>302.0</v>
      </c>
      <c r="F302" s="6" t="s">
        <v>339</v>
      </c>
      <c r="G302" s="6" t="s">
        <v>121</v>
      </c>
      <c r="J302" s="6">
        <v>0.0</v>
      </c>
      <c r="L302" s="6">
        <v>0.0</v>
      </c>
      <c r="M302" s="6" t="s">
        <v>3258</v>
      </c>
      <c r="N302" s="6" t="s">
        <v>2626</v>
      </c>
      <c r="O302" s="6" t="s">
        <v>2626</v>
      </c>
    </row>
    <row r="303">
      <c r="A303" s="6" t="s">
        <v>779</v>
      </c>
      <c r="B303" s="6" t="s">
        <v>779</v>
      </c>
      <c r="C303" s="6" t="s">
        <v>3259</v>
      </c>
      <c r="D303" s="6">
        <v>303.0</v>
      </c>
      <c r="E303" s="6">
        <v>3.53431651842023E14</v>
      </c>
      <c r="F303" s="6" t="s">
        <v>221</v>
      </c>
      <c r="G303" s="6" t="s">
        <v>26</v>
      </c>
      <c r="I303" s="6" t="s">
        <v>3242</v>
      </c>
      <c r="J303" s="6">
        <v>0.0</v>
      </c>
      <c r="L303" s="6">
        <v>760000.0</v>
      </c>
      <c r="M303" s="6" t="s">
        <v>3260</v>
      </c>
      <c r="N303" s="6" t="s">
        <v>2626</v>
      </c>
      <c r="O303" s="6" t="s">
        <v>2626</v>
      </c>
    </row>
    <row r="304">
      <c r="A304" s="6" t="s">
        <v>782</v>
      </c>
      <c r="B304" s="6" t="s">
        <v>782</v>
      </c>
      <c r="C304" s="6" t="s">
        <v>3261</v>
      </c>
      <c r="D304" s="6">
        <v>304.0</v>
      </c>
      <c r="E304" s="6">
        <v>3.57247590767121E14</v>
      </c>
      <c r="F304" s="6" t="s">
        <v>64</v>
      </c>
      <c r="G304" s="6" t="s">
        <v>103</v>
      </c>
      <c r="J304" s="6">
        <v>0.0</v>
      </c>
      <c r="L304" s="6">
        <v>0.0</v>
      </c>
      <c r="M304" s="6" t="s">
        <v>3262</v>
      </c>
      <c r="N304" s="6" t="s">
        <v>2626</v>
      </c>
      <c r="O304" s="6" t="s">
        <v>2626</v>
      </c>
    </row>
    <row r="305">
      <c r="A305" s="6" t="s">
        <v>783</v>
      </c>
      <c r="B305" s="6" t="s">
        <v>783</v>
      </c>
      <c r="C305" s="6" t="s">
        <v>3263</v>
      </c>
      <c r="D305" s="6">
        <v>305.0</v>
      </c>
      <c r="F305" s="6" t="s">
        <v>254</v>
      </c>
      <c r="G305" s="6" t="s">
        <v>140</v>
      </c>
      <c r="J305" s="6">
        <v>0.0</v>
      </c>
      <c r="L305" s="6">
        <v>0.0</v>
      </c>
      <c r="M305" s="6" t="s">
        <v>3264</v>
      </c>
      <c r="N305" s="6" t="s">
        <v>2626</v>
      </c>
      <c r="O305" s="6" t="s">
        <v>2626</v>
      </c>
    </row>
    <row r="306">
      <c r="A306" s="6" t="s">
        <v>785</v>
      </c>
      <c r="B306" s="6" t="s">
        <v>785</v>
      </c>
      <c r="C306" s="6" t="s">
        <v>3265</v>
      </c>
      <c r="D306" s="6">
        <v>306.0</v>
      </c>
      <c r="F306" s="6" t="s">
        <v>442</v>
      </c>
      <c r="G306" s="6" t="s">
        <v>26</v>
      </c>
      <c r="I306" s="6" t="s">
        <v>3242</v>
      </c>
      <c r="J306" s="6">
        <v>0.0</v>
      </c>
      <c r="L306" s="6">
        <v>2500.0</v>
      </c>
      <c r="M306" s="6" t="s">
        <v>3266</v>
      </c>
      <c r="N306" s="6" t="s">
        <v>2626</v>
      </c>
      <c r="O306" s="6" t="s">
        <v>2626</v>
      </c>
    </row>
    <row r="307">
      <c r="A307" s="6" t="s">
        <v>787</v>
      </c>
      <c r="B307" s="6" t="s">
        <v>787</v>
      </c>
      <c r="C307" s="6" t="s">
        <v>3267</v>
      </c>
      <c r="D307" s="6">
        <v>307.0</v>
      </c>
      <c r="F307" s="6" t="s">
        <v>173</v>
      </c>
      <c r="G307" s="6" t="s">
        <v>121</v>
      </c>
      <c r="J307" s="6">
        <v>0.0</v>
      </c>
      <c r="L307" s="6">
        <v>0.0</v>
      </c>
      <c r="M307" s="6" t="s">
        <v>3268</v>
      </c>
      <c r="N307" s="6" t="s">
        <v>2626</v>
      </c>
      <c r="O307" s="6" t="s">
        <v>2626</v>
      </c>
    </row>
    <row r="308">
      <c r="A308" s="6" t="s">
        <v>791</v>
      </c>
      <c r="B308" s="6" t="s">
        <v>791</v>
      </c>
      <c r="C308" s="6" t="s">
        <v>3269</v>
      </c>
      <c r="D308" s="6">
        <v>308.0</v>
      </c>
      <c r="E308" s="6">
        <v>3.5398010756425E14</v>
      </c>
      <c r="F308" s="6" t="s">
        <v>788</v>
      </c>
      <c r="G308" s="6" t="s">
        <v>26</v>
      </c>
      <c r="I308" s="6" t="s">
        <v>3242</v>
      </c>
      <c r="J308" s="6">
        <v>0.0</v>
      </c>
      <c r="L308" s="6">
        <v>240000.0</v>
      </c>
      <c r="M308" s="6" t="s">
        <v>3270</v>
      </c>
      <c r="N308" s="6" t="s">
        <v>2626</v>
      </c>
      <c r="O308" s="6" t="s">
        <v>2626</v>
      </c>
    </row>
    <row r="309">
      <c r="A309" s="6" t="s">
        <v>793</v>
      </c>
      <c r="B309" s="6" t="s">
        <v>793</v>
      </c>
      <c r="C309" s="6" t="s">
        <v>3271</v>
      </c>
      <c r="D309" s="6">
        <v>309.0</v>
      </c>
      <c r="F309" s="6" t="s">
        <v>485</v>
      </c>
      <c r="G309" s="6" t="s">
        <v>26</v>
      </c>
      <c r="I309" s="6" t="s">
        <v>3242</v>
      </c>
      <c r="J309" s="6">
        <v>0.0</v>
      </c>
      <c r="L309" s="6">
        <v>2500.0</v>
      </c>
      <c r="M309" s="6" t="s">
        <v>3272</v>
      </c>
      <c r="N309" s="6" t="s">
        <v>2626</v>
      </c>
      <c r="O309" s="6" t="s">
        <v>2626</v>
      </c>
    </row>
    <row r="310">
      <c r="A310" s="6" t="s">
        <v>795</v>
      </c>
      <c r="B310" s="6" t="s">
        <v>795</v>
      </c>
      <c r="C310" s="6" t="s">
        <v>3273</v>
      </c>
      <c r="D310" s="6">
        <v>310.0</v>
      </c>
      <c r="F310" s="6" t="s">
        <v>442</v>
      </c>
      <c r="G310" s="6" t="s">
        <v>26</v>
      </c>
      <c r="I310" s="6" t="s">
        <v>3242</v>
      </c>
      <c r="J310" s="6">
        <v>0.0</v>
      </c>
      <c r="L310" s="6">
        <v>2500.0</v>
      </c>
      <c r="M310" s="6" t="s">
        <v>3274</v>
      </c>
      <c r="N310" s="6" t="s">
        <v>2626</v>
      </c>
      <c r="O310" s="6" t="s">
        <v>2626</v>
      </c>
    </row>
    <row r="311">
      <c r="A311" s="6" t="s">
        <v>799</v>
      </c>
      <c r="B311" s="6" t="s">
        <v>799</v>
      </c>
      <c r="C311" s="6" t="s">
        <v>3275</v>
      </c>
      <c r="D311" s="6">
        <v>311.0</v>
      </c>
      <c r="E311" s="6">
        <v>3.54276354227868E14</v>
      </c>
      <c r="F311" s="6" t="s">
        <v>23</v>
      </c>
      <c r="G311" s="6" t="s">
        <v>26</v>
      </c>
      <c r="I311" s="6" t="s">
        <v>3242</v>
      </c>
      <c r="J311" s="6">
        <v>0.0</v>
      </c>
      <c r="L311" s="6">
        <v>1170000.0</v>
      </c>
      <c r="M311" s="6" t="s">
        <v>3276</v>
      </c>
      <c r="N311" s="6" t="s">
        <v>2626</v>
      </c>
      <c r="O311" s="6" t="s">
        <v>2626</v>
      </c>
    </row>
    <row r="312">
      <c r="A312" s="6" t="s">
        <v>800</v>
      </c>
      <c r="B312" s="6" t="s">
        <v>800</v>
      </c>
      <c r="C312" s="6" t="s">
        <v>3277</v>
      </c>
      <c r="D312" s="6">
        <v>312.0</v>
      </c>
      <c r="F312" s="6" t="s">
        <v>485</v>
      </c>
      <c r="G312" s="6" t="s">
        <v>26</v>
      </c>
      <c r="I312" s="6" t="s">
        <v>3242</v>
      </c>
      <c r="J312" s="6">
        <v>0.0</v>
      </c>
      <c r="L312" s="6">
        <v>2500.0</v>
      </c>
      <c r="M312" s="6" t="s">
        <v>3278</v>
      </c>
      <c r="N312" s="6" t="s">
        <v>2626</v>
      </c>
      <c r="O312" s="6" t="s">
        <v>2626</v>
      </c>
    </row>
    <row r="313">
      <c r="A313" s="6" t="s">
        <v>801</v>
      </c>
      <c r="B313" s="6" t="s">
        <v>801</v>
      </c>
      <c r="C313" s="6" t="s">
        <v>3279</v>
      </c>
      <c r="D313" s="6">
        <v>313.0</v>
      </c>
      <c r="E313" s="6" t="s">
        <v>195</v>
      </c>
      <c r="F313" s="6" t="s">
        <v>508</v>
      </c>
      <c r="G313" s="6" t="s">
        <v>140</v>
      </c>
      <c r="J313" s="6">
        <v>0.0</v>
      </c>
      <c r="L313" s="6">
        <v>0.0</v>
      </c>
      <c r="M313" s="6" t="s">
        <v>3280</v>
      </c>
      <c r="N313" s="6" t="s">
        <v>2626</v>
      </c>
      <c r="O313" s="6" t="s">
        <v>2626</v>
      </c>
    </row>
    <row r="314">
      <c r="A314" s="6" t="s">
        <v>802</v>
      </c>
      <c r="B314" s="6" t="s">
        <v>802</v>
      </c>
      <c r="C314" s="6" t="s">
        <v>3281</v>
      </c>
      <c r="D314" s="6">
        <v>314.0</v>
      </c>
      <c r="E314" s="6" t="s">
        <v>195</v>
      </c>
      <c r="F314" s="6" t="s">
        <v>508</v>
      </c>
      <c r="G314" s="6" t="s">
        <v>140</v>
      </c>
      <c r="J314" s="6">
        <v>0.0</v>
      </c>
      <c r="L314" s="6">
        <v>0.0</v>
      </c>
      <c r="M314" s="6" t="s">
        <v>3282</v>
      </c>
      <c r="N314" s="6" t="s">
        <v>2626</v>
      </c>
      <c r="O314" s="6" t="s">
        <v>2626</v>
      </c>
    </row>
    <row r="315">
      <c r="A315" s="6" t="s">
        <v>803</v>
      </c>
      <c r="B315" s="6" t="s">
        <v>803</v>
      </c>
      <c r="C315" s="6" t="s">
        <v>3283</v>
      </c>
      <c r="D315" s="6">
        <v>315.0</v>
      </c>
      <c r="E315" s="6" t="s">
        <v>195</v>
      </c>
      <c r="F315" s="6" t="s">
        <v>508</v>
      </c>
      <c r="G315" s="6" t="s">
        <v>140</v>
      </c>
      <c r="J315" s="6">
        <v>0.0</v>
      </c>
      <c r="L315" s="6">
        <v>0.0</v>
      </c>
      <c r="M315" s="6" t="s">
        <v>3284</v>
      </c>
      <c r="N315" s="6" t="s">
        <v>2626</v>
      </c>
      <c r="O315" s="6" t="s">
        <v>2626</v>
      </c>
    </row>
    <row r="316">
      <c r="A316" s="6" t="s">
        <v>804</v>
      </c>
      <c r="B316" s="6" t="s">
        <v>804</v>
      </c>
      <c r="C316" s="6" t="s">
        <v>3285</v>
      </c>
      <c r="D316" s="6">
        <v>316.0</v>
      </c>
      <c r="E316" s="6" t="s">
        <v>195</v>
      </c>
      <c r="F316" s="6" t="s">
        <v>508</v>
      </c>
      <c r="G316" s="6" t="s">
        <v>140</v>
      </c>
      <c r="J316" s="6">
        <v>0.0</v>
      </c>
      <c r="L316" s="6">
        <v>0.0</v>
      </c>
      <c r="M316" s="6" t="s">
        <v>3286</v>
      </c>
      <c r="N316" s="6" t="s">
        <v>2626</v>
      </c>
      <c r="O316" s="6" t="s">
        <v>2626</v>
      </c>
    </row>
    <row r="317">
      <c r="A317" s="6" t="s">
        <v>806</v>
      </c>
      <c r="B317" s="6" t="s">
        <v>806</v>
      </c>
      <c r="C317" s="6" t="s">
        <v>3287</v>
      </c>
      <c r="D317" s="6">
        <v>317.0</v>
      </c>
      <c r="F317" s="6" t="s">
        <v>805</v>
      </c>
      <c r="G317" s="6" t="s">
        <v>26</v>
      </c>
      <c r="I317" s="6" t="s">
        <v>3245</v>
      </c>
      <c r="J317" s="6">
        <v>0.0</v>
      </c>
      <c r="L317" s="6">
        <v>2500.0</v>
      </c>
      <c r="M317" s="6" t="s">
        <v>3288</v>
      </c>
      <c r="N317" s="6" t="s">
        <v>2626</v>
      </c>
      <c r="O317" s="6" t="s">
        <v>2626</v>
      </c>
    </row>
    <row r="318">
      <c r="A318" s="6" t="s">
        <v>810</v>
      </c>
      <c r="B318" s="6" t="s">
        <v>810</v>
      </c>
      <c r="C318" s="6" t="s">
        <v>3289</v>
      </c>
      <c r="D318" s="6">
        <v>318.0</v>
      </c>
      <c r="E318" s="6">
        <v>3.53730795949093E14</v>
      </c>
      <c r="F318" s="6" t="s">
        <v>3290</v>
      </c>
      <c r="G318" s="6" t="s">
        <v>26</v>
      </c>
      <c r="I318" s="6" t="s">
        <v>3245</v>
      </c>
      <c r="J318" s="6">
        <v>0.0</v>
      </c>
      <c r="L318" s="6">
        <v>610000.0</v>
      </c>
      <c r="M318" s="6" t="s">
        <v>3291</v>
      </c>
      <c r="N318" s="6" t="s">
        <v>2626</v>
      </c>
      <c r="O318" s="6" t="s">
        <v>2626</v>
      </c>
    </row>
    <row r="319">
      <c r="A319" s="6" t="s">
        <v>812</v>
      </c>
      <c r="B319" s="6" t="s">
        <v>812</v>
      </c>
      <c r="C319" s="6" t="s">
        <v>3292</v>
      </c>
      <c r="D319" s="6">
        <v>319.0</v>
      </c>
      <c r="F319" s="6" t="s">
        <v>664</v>
      </c>
      <c r="G319" s="6" t="s">
        <v>26</v>
      </c>
      <c r="I319" s="6" t="s">
        <v>3245</v>
      </c>
      <c r="J319" s="6">
        <v>0.0</v>
      </c>
      <c r="L319" s="6">
        <v>2500.0</v>
      </c>
      <c r="M319" s="6" t="s">
        <v>3293</v>
      </c>
      <c r="N319" s="6" t="s">
        <v>2626</v>
      </c>
      <c r="O319" s="6" t="s">
        <v>2626</v>
      </c>
    </row>
    <row r="320">
      <c r="A320" s="6" t="s">
        <v>816</v>
      </c>
      <c r="B320" s="6" t="s">
        <v>816</v>
      </c>
      <c r="C320" s="6" t="s">
        <v>3294</v>
      </c>
      <c r="D320" s="6">
        <v>320.0</v>
      </c>
      <c r="E320" s="6">
        <v>3.5383508371055E14</v>
      </c>
      <c r="F320" s="6" t="s">
        <v>813</v>
      </c>
      <c r="G320" s="6" t="s">
        <v>26</v>
      </c>
      <c r="I320" s="6" t="s">
        <v>3245</v>
      </c>
      <c r="J320" s="6">
        <v>0.0</v>
      </c>
      <c r="L320" s="6">
        <v>70000.0</v>
      </c>
      <c r="M320" s="6" t="s">
        <v>3295</v>
      </c>
      <c r="N320" s="6" t="s">
        <v>2626</v>
      </c>
      <c r="O320" s="6" t="s">
        <v>2626</v>
      </c>
    </row>
    <row r="321">
      <c r="A321" s="6" t="s">
        <v>819</v>
      </c>
      <c r="B321" s="6" t="s">
        <v>819</v>
      </c>
      <c r="C321" s="6" t="s">
        <v>3296</v>
      </c>
      <c r="D321" s="6">
        <v>321.0</v>
      </c>
      <c r="E321" s="6">
        <v>3.51582379112024E14</v>
      </c>
      <c r="F321" s="6" t="s">
        <v>105</v>
      </c>
      <c r="G321" s="6" t="s">
        <v>103</v>
      </c>
      <c r="J321" s="6">
        <v>0.0</v>
      </c>
      <c r="L321" s="6">
        <v>0.0</v>
      </c>
      <c r="M321" s="6" t="s">
        <v>3297</v>
      </c>
      <c r="N321" s="6" t="s">
        <v>2626</v>
      </c>
      <c r="O321" s="6" t="s">
        <v>2626</v>
      </c>
    </row>
    <row r="322">
      <c r="A322" s="6" t="s">
        <v>823</v>
      </c>
      <c r="B322" s="6" t="s">
        <v>823</v>
      </c>
      <c r="C322" s="6" t="s">
        <v>3298</v>
      </c>
      <c r="D322" s="6">
        <v>322.0</v>
      </c>
      <c r="E322" s="6">
        <v>3.55660520873581E14</v>
      </c>
      <c r="F322" s="6" t="s">
        <v>820</v>
      </c>
      <c r="G322" s="6" t="s">
        <v>26</v>
      </c>
      <c r="I322" s="6" t="s">
        <v>3245</v>
      </c>
      <c r="J322" s="6">
        <v>0.0</v>
      </c>
      <c r="L322" s="6">
        <v>465000.0</v>
      </c>
      <c r="M322" s="6" t="s">
        <v>3299</v>
      </c>
      <c r="N322" s="6" t="s">
        <v>2626</v>
      </c>
      <c r="O322" s="6" t="s">
        <v>2626</v>
      </c>
    </row>
    <row r="323">
      <c r="A323" s="6" t="s">
        <v>825</v>
      </c>
      <c r="B323" s="6" t="s">
        <v>825</v>
      </c>
      <c r="C323" s="6" t="s">
        <v>3300</v>
      </c>
      <c r="D323" s="6">
        <v>323.0</v>
      </c>
      <c r="F323" s="6" t="s">
        <v>60</v>
      </c>
      <c r="G323" s="6" t="s">
        <v>26</v>
      </c>
      <c r="I323" s="6" t="s">
        <v>3245</v>
      </c>
      <c r="J323" s="6">
        <v>0.0</v>
      </c>
      <c r="L323" s="6">
        <v>2500.0</v>
      </c>
      <c r="M323" s="6" t="s">
        <v>3301</v>
      </c>
      <c r="N323" s="6" t="s">
        <v>2626</v>
      </c>
      <c r="O323" s="6" t="s">
        <v>2626</v>
      </c>
    </row>
    <row r="324">
      <c r="A324" s="6" t="s">
        <v>827</v>
      </c>
      <c r="B324" s="6" t="s">
        <v>827</v>
      </c>
      <c r="C324" s="6" t="s">
        <v>3302</v>
      </c>
      <c r="D324" s="6">
        <v>324.0</v>
      </c>
      <c r="F324" s="6" t="s">
        <v>473</v>
      </c>
      <c r="G324" s="6" t="s">
        <v>103</v>
      </c>
      <c r="J324" s="6">
        <v>0.0</v>
      </c>
      <c r="L324" s="6">
        <v>0.0</v>
      </c>
      <c r="M324" s="6" t="s">
        <v>3303</v>
      </c>
      <c r="N324" s="6" t="s">
        <v>2626</v>
      </c>
      <c r="O324" s="6" t="s">
        <v>2626</v>
      </c>
    </row>
    <row r="325">
      <c r="A325" s="6" t="s">
        <v>831</v>
      </c>
      <c r="B325" s="6" t="s">
        <v>831</v>
      </c>
      <c r="C325" s="6" t="s">
        <v>3304</v>
      </c>
      <c r="D325" s="6">
        <v>325.0</v>
      </c>
      <c r="F325" s="6" t="s">
        <v>828</v>
      </c>
      <c r="G325" s="6" t="s">
        <v>103</v>
      </c>
      <c r="J325" s="6">
        <v>0.0</v>
      </c>
      <c r="L325" s="6">
        <v>0.0</v>
      </c>
      <c r="M325" s="6" t="s">
        <v>3305</v>
      </c>
      <c r="N325" s="6" t="s">
        <v>2626</v>
      </c>
      <c r="O325" s="6" t="s">
        <v>2626</v>
      </c>
    </row>
    <row r="326">
      <c r="A326" s="6" t="s">
        <v>832</v>
      </c>
      <c r="B326" s="6" t="s">
        <v>832</v>
      </c>
      <c r="C326" s="6" t="s">
        <v>3306</v>
      </c>
      <c r="D326" s="6">
        <v>326.0</v>
      </c>
      <c r="E326" s="6" t="s">
        <v>195</v>
      </c>
      <c r="F326" s="6" t="s">
        <v>508</v>
      </c>
      <c r="G326" s="6" t="s">
        <v>140</v>
      </c>
      <c r="J326" s="6">
        <v>0.0</v>
      </c>
      <c r="L326" s="6">
        <v>0.0</v>
      </c>
      <c r="M326" s="6" t="s">
        <v>3307</v>
      </c>
      <c r="N326" s="6" t="s">
        <v>2626</v>
      </c>
      <c r="O326" s="6" t="s">
        <v>2626</v>
      </c>
    </row>
    <row r="327">
      <c r="A327" s="6" t="s">
        <v>833</v>
      </c>
      <c r="B327" s="6" t="s">
        <v>833</v>
      </c>
      <c r="C327" s="6" t="s">
        <v>3308</v>
      </c>
      <c r="D327" s="6">
        <v>327.0</v>
      </c>
      <c r="E327" s="6" t="s">
        <v>195</v>
      </c>
      <c r="F327" s="6" t="s">
        <v>508</v>
      </c>
      <c r="G327" s="6" t="s">
        <v>140</v>
      </c>
      <c r="J327" s="6">
        <v>0.0</v>
      </c>
      <c r="L327" s="6">
        <v>0.0</v>
      </c>
      <c r="M327" s="6" t="s">
        <v>3309</v>
      </c>
      <c r="N327" s="6" t="s">
        <v>2626</v>
      </c>
      <c r="O327" s="6" t="s">
        <v>2626</v>
      </c>
    </row>
    <row r="328">
      <c r="A328" s="6" t="s">
        <v>834</v>
      </c>
      <c r="B328" s="6" t="s">
        <v>834</v>
      </c>
      <c r="C328" s="6" t="s">
        <v>3310</v>
      </c>
      <c r="D328" s="6">
        <v>328.0</v>
      </c>
      <c r="E328" s="6" t="s">
        <v>195</v>
      </c>
      <c r="F328" s="6" t="s">
        <v>508</v>
      </c>
      <c r="G328" s="6" t="s">
        <v>140</v>
      </c>
      <c r="J328" s="6">
        <v>0.0</v>
      </c>
      <c r="L328" s="6">
        <v>0.0</v>
      </c>
      <c r="M328" s="6" t="s">
        <v>3311</v>
      </c>
      <c r="N328" s="6" t="s">
        <v>2626</v>
      </c>
      <c r="O328" s="6" t="s">
        <v>2626</v>
      </c>
    </row>
    <row r="329">
      <c r="A329" s="6" t="s">
        <v>835</v>
      </c>
      <c r="B329" s="6" t="s">
        <v>835</v>
      </c>
      <c r="C329" s="6" t="s">
        <v>3312</v>
      </c>
      <c r="D329" s="6">
        <v>329.0</v>
      </c>
      <c r="E329" s="6" t="s">
        <v>195</v>
      </c>
      <c r="F329" s="6" t="s">
        <v>508</v>
      </c>
      <c r="G329" s="6" t="s">
        <v>140</v>
      </c>
      <c r="J329" s="6">
        <v>0.0</v>
      </c>
      <c r="L329" s="6">
        <v>0.0</v>
      </c>
      <c r="M329" s="6" t="s">
        <v>3313</v>
      </c>
      <c r="N329" s="6" t="s">
        <v>2626</v>
      </c>
      <c r="O329" s="6" t="s">
        <v>2626</v>
      </c>
    </row>
    <row r="330">
      <c r="A330" s="6" t="s">
        <v>837</v>
      </c>
      <c r="B330" s="6" t="s">
        <v>837</v>
      </c>
      <c r="C330" s="6" t="s">
        <v>3314</v>
      </c>
      <c r="D330" s="6">
        <v>330.0</v>
      </c>
      <c r="F330" s="6" t="s">
        <v>741</v>
      </c>
      <c r="G330" s="6" t="s">
        <v>103</v>
      </c>
      <c r="J330" s="6">
        <v>0.0</v>
      </c>
      <c r="L330" s="6">
        <v>0.0</v>
      </c>
      <c r="M330" s="6" t="s">
        <v>3315</v>
      </c>
      <c r="N330" s="6" t="s">
        <v>2626</v>
      </c>
      <c r="O330" s="6" t="s">
        <v>2626</v>
      </c>
    </row>
    <row r="331">
      <c r="A331" s="6" t="s">
        <v>839</v>
      </c>
      <c r="B331" s="6" t="s">
        <v>839</v>
      </c>
      <c r="C331" s="6" t="s">
        <v>3316</v>
      </c>
      <c r="D331" s="6">
        <v>331.0</v>
      </c>
      <c r="F331" s="6" t="s">
        <v>23</v>
      </c>
      <c r="G331" s="6" t="s">
        <v>26</v>
      </c>
      <c r="I331" s="6" t="s">
        <v>3317</v>
      </c>
      <c r="J331" s="6">
        <v>0.0</v>
      </c>
      <c r="L331" s="6">
        <v>2500.0</v>
      </c>
      <c r="M331" s="6" t="s">
        <v>3318</v>
      </c>
      <c r="N331" s="6" t="s">
        <v>2626</v>
      </c>
      <c r="O331" s="6" t="s">
        <v>2626</v>
      </c>
    </row>
    <row r="332">
      <c r="A332" s="6" t="s">
        <v>841</v>
      </c>
      <c r="B332" s="6" t="s">
        <v>841</v>
      </c>
      <c r="C332" s="6" t="s">
        <v>3319</v>
      </c>
      <c r="D332" s="6">
        <v>332.0</v>
      </c>
      <c r="F332" s="6" t="s">
        <v>54</v>
      </c>
      <c r="G332" s="6" t="s">
        <v>103</v>
      </c>
      <c r="J332" s="6">
        <v>0.0</v>
      </c>
      <c r="L332" s="6">
        <v>0.0</v>
      </c>
      <c r="M332" s="6" t="s">
        <v>3320</v>
      </c>
      <c r="N332" s="6" t="s">
        <v>2626</v>
      </c>
      <c r="O332" s="6" t="s">
        <v>2626</v>
      </c>
    </row>
    <row r="333">
      <c r="A333" s="6" t="s">
        <v>843</v>
      </c>
      <c r="B333" s="6" t="s">
        <v>843</v>
      </c>
      <c r="C333" s="6" t="s">
        <v>3321</v>
      </c>
      <c r="D333" s="6">
        <v>333.0</v>
      </c>
      <c r="F333" s="6" t="s">
        <v>248</v>
      </c>
      <c r="G333" s="6" t="s">
        <v>26</v>
      </c>
      <c r="I333" s="6" t="s">
        <v>3317</v>
      </c>
      <c r="J333" s="6">
        <v>0.0</v>
      </c>
      <c r="L333" s="6">
        <v>2500.0</v>
      </c>
      <c r="M333" s="6" t="s">
        <v>3322</v>
      </c>
      <c r="N333" s="6" t="s">
        <v>2626</v>
      </c>
      <c r="O333" s="6" t="s">
        <v>2626</v>
      </c>
    </row>
    <row r="334">
      <c r="A334" s="6" t="s">
        <v>845</v>
      </c>
      <c r="B334" s="6" t="s">
        <v>845</v>
      </c>
      <c r="C334" s="6" t="s">
        <v>3323</v>
      </c>
      <c r="D334" s="6">
        <v>334.0</v>
      </c>
      <c r="F334" s="6" t="s">
        <v>605</v>
      </c>
      <c r="G334" s="6" t="s">
        <v>26</v>
      </c>
      <c r="I334" s="6" t="s">
        <v>3317</v>
      </c>
      <c r="J334" s="6">
        <v>0.0</v>
      </c>
      <c r="L334" s="6">
        <v>10000.0</v>
      </c>
      <c r="M334" s="6" t="s">
        <v>3324</v>
      </c>
      <c r="N334" s="6" t="s">
        <v>2626</v>
      </c>
      <c r="O334" s="6" t="s">
        <v>2626</v>
      </c>
    </row>
    <row r="335">
      <c r="A335" s="6" t="s">
        <v>847</v>
      </c>
      <c r="B335" s="6" t="s">
        <v>847</v>
      </c>
      <c r="C335" s="6" t="s">
        <v>3325</v>
      </c>
      <c r="D335" s="6">
        <v>335.0</v>
      </c>
      <c r="F335" s="6" t="s">
        <v>445</v>
      </c>
      <c r="G335" s="6" t="s">
        <v>26</v>
      </c>
      <c r="I335" s="6" t="s">
        <v>3317</v>
      </c>
      <c r="J335" s="6">
        <v>0.0</v>
      </c>
      <c r="L335" s="6">
        <v>2500.0</v>
      </c>
      <c r="M335" s="6" t="s">
        <v>3326</v>
      </c>
      <c r="N335" s="6" t="s">
        <v>2626</v>
      </c>
      <c r="O335" s="6" t="s">
        <v>2626</v>
      </c>
    </row>
    <row r="336">
      <c r="A336" s="6" t="s">
        <v>848</v>
      </c>
      <c r="B336" s="6" t="s">
        <v>848</v>
      </c>
      <c r="C336" s="6" t="s">
        <v>3327</v>
      </c>
      <c r="D336" s="6">
        <v>336.0</v>
      </c>
      <c r="E336" s="6">
        <v>3.51582379112024E14</v>
      </c>
      <c r="F336" s="6" t="s">
        <v>105</v>
      </c>
      <c r="G336" s="6" t="s">
        <v>26</v>
      </c>
      <c r="I336" s="6" t="s">
        <v>3317</v>
      </c>
      <c r="J336" s="6">
        <v>0.0</v>
      </c>
      <c r="L336" s="6">
        <v>760000.0</v>
      </c>
      <c r="M336" s="6" t="s">
        <v>3328</v>
      </c>
      <c r="N336" s="6" t="s">
        <v>2626</v>
      </c>
      <c r="O336" s="6" t="s">
        <v>2626</v>
      </c>
    </row>
    <row r="337">
      <c r="A337" s="6" t="s">
        <v>850</v>
      </c>
      <c r="B337" s="6" t="s">
        <v>850</v>
      </c>
      <c r="C337" s="6" t="s">
        <v>3329</v>
      </c>
      <c r="D337" s="6">
        <v>337.0</v>
      </c>
      <c r="F337" s="6" t="s">
        <v>719</v>
      </c>
      <c r="G337" s="6" t="s">
        <v>26</v>
      </c>
      <c r="I337" s="6" t="s">
        <v>3317</v>
      </c>
      <c r="J337" s="6">
        <v>0.0</v>
      </c>
      <c r="L337" s="6">
        <v>3000.0</v>
      </c>
      <c r="M337" s="6" t="s">
        <v>3330</v>
      </c>
      <c r="N337" s="6" t="s">
        <v>2626</v>
      </c>
      <c r="O337" s="6" t="s">
        <v>2626</v>
      </c>
    </row>
    <row r="338">
      <c r="A338" s="6" t="s">
        <v>854</v>
      </c>
      <c r="B338" s="6" t="s">
        <v>854</v>
      </c>
      <c r="C338" s="6" t="s">
        <v>3331</v>
      </c>
      <c r="D338" s="6">
        <v>338.0</v>
      </c>
      <c r="F338" s="6" t="s">
        <v>851</v>
      </c>
      <c r="G338" s="6" t="s">
        <v>26</v>
      </c>
      <c r="I338" s="6" t="s">
        <v>3317</v>
      </c>
      <c r="J338" s="6">
        <v>0.0</v>
      </c>
      <c r="L338" s="6">
        <v>3000.0</v>
      </c>
      <c r="M338" s="6" t="s">
        <v>3332</v>
      </c>
      <c r="N338" s="6" t="s">
        <v>2626</v>
      </c>
      <c r="O338" s="6" t="s">
        <v>2626</v>
      </c>
    </row>
    <row r="339">
      <c r="A339" s="6" t="s">
        <v>858</v>
      </c>
      <c r="B339" s="6" t="s">
        <v>858</v>
      </c>
      <c r="C339" s="6" t="s">
        <v>3333</v>
      </c>
      <c r="D339" s="6">
        <v>339.0</v>
      </c>
      <c r="F339" s="6" t="s">
        <v>855</v>
      </c>
      <c r="G339" s="6" t="s">
        <v>26</v>
      </c>
      <c r="I339" s="6" t="s">
        <v>3317</v>
      </c>
      <c r="J339" s="6">
        <v>0.0</v>
      </c>
      <c r="L339" s="6">
        <v>340000.0</v>
      </c>
      <c r="M339" s="6" t="s">
        <v>3334</v>
      </c>
      <c r="N339" s="6" t="s">
        <v>2626</v>
      </c>
      <c r="O339" s="6" t="s">
        <v>2626</v>
      </c>
    </row>
    <row r="340">
      <c r="A340" s="6" t="s">
        <v>860</v>
      </c>
      <c r="B340" s="6" t="s">
        <v>860</v>
      </c>
      <c r="C340" s="6" t="s">
        <v>3335</v>
      </c>
      <c r="D340" s="6">
        <v>340.0</v>
      </c>
      <c r="F340" s="6" t="s">
        <v>46</v>
      </c>
      <c r="G340" s="6" t="s">
        <v>26</v>
      </c>
      <c r="I340" s="6" t="s">
        <v>3317</v>
      </c>
      <c r="J340" s="6">
        <v>0.0</v>
      </c>
      <c r="L340" s="6">
        <v>2500.0</v>
      </c>
      <c r="M340" s="6" t="s">
        <v>3336</v>
      </c>
      <c r="N340" s="6" t="s">
        <v>2626</v>
      </c>
      <c r="O340" s="6" t="s">
        <v>2626</v>
      </c>
    </row>
    <row r="341">
      <c r="A341" s="6" t="s">
        <v>865</v>
      </c>
      <c r="B341" s="6" t="s">
        <v>865</v>
      </c>
      <c r="C341" s="6" t="s">
        <v>3337</v>
      </c>
      <c r="D341" s="6">
        <v>341.0</v>
      </c>
      <c r="E341" s="6" t="s">
        <v>863</v>
      </c>
      <c r="F341" s="6" t="s">
        <v>861</v>
      </c>
      <c r="G341" s="6" t="s">
        <v>864</v>
      </c>
      <c r="J341" s="6">
        <v>0.0</v>
      </c>
      <c r="L341" s="6">
        <v>0.0</v>
      </c>
      <c r="M341" s="6" t="s">
        <v>3338</v>
      </c>
      <c r="N341" s="6" t="s">
        <v>2626</v>
      </c>
      <c r="O341" s="6" t="s">
        <v>2626</v>
      </c>
    </row>
    <row r="342">
      <c r="A342" s="6" t="s">
        <v>866</v>
      </c>
      <c r="B342" s="6" t="s">
        <v>866</v>
      </c>
      <c r="C342" s="6" t="s">
        <v>3339</v>
      </c>
      <c r="D342" s="6">
        <v>342.0</v>
      </c>
      <c r="E342" s="6" t="s">
        <v>863</v>
      </c>
      <c r="F342" s="6" t="s">
        <v>863</v>
      </c>
      <c r="G342" s="6" t="s">
        <v>864</v>
      </c>
      <c r="J342" s="6">
        <v>0.0</v>
      </c>
      <c r="L342" s="6">
        <v>0.0</v>
      </c>
      <c r="M342" s="6" t="s">
        <v>3340</v>
      </c>
      <c r="N342" s="6" t="s">
        <v>2626</v>
      </c>
      <c r="O342" s="6" t="s">
        <v>2626</v>
      </c>
    </row>
    <row r="343">
      <c r="A343" s="6" t="s">
        <v>867</v>
      </c>
      <c r="B343" s="6" t="s">
        <v>867</v>
      </c>
      <c r="C343" s="6" t="s">
        <v>3341</v>
      </c>
      <c r="D343" s="6">
        <v>343.0</v>
      </c>
      <c r="E343" s="6" t="s">
        <v>195</v>
      </c>
      <c r="F343" s="6" t="s">
        <v>508</v>
      </c>
      <c r="G343" s="6" t="s">
        <v>140</v>
      </c>
      <c r="J343" s="6">
        <v>0.0</v>
      </c>
      <c r="L343" s="6">
        <v>0.0</v>
      </c>
      <c r="M343" s="6" t="s">
        <v>3342</v>
      </c>
      <c r="N343" s="6" t="s">
        <v>2626</v>
      </c>
      <c r="O343" s="6" t="s">
        <v>2626</v>
      </c>
    </row>
    <row r="344">
      <c r="A344" s="6" t="s">
        <v>868</v>
      </c>
      <c r="B344" s="6" t="s">
        <v>868</v>
      </c>
      <c r="C344" s="6" t="s">
        <v>3343</v>
      </c>
      <c r="D344" s="6">
        <v>344.0</v>
      </c>
      <c r="E344" s="6" t="s">
        <v>195</v>
      </c>
      <c r="F344" s="6" t="s">
        <v>508</v>
      </c>
      <c r="G344" s="6" t="s">
        <v>140</v>
      </c>
      <c r="J344" s="6">
        <v>0.0</v>
      </c>
      <c r="L344" s="6">
        <v>0.0</v>
      </c>
      <c r="M344" s="6" t="s">
        <v>3344</v>
      </c>
      <c r="N344" s="6" t="s">
        <v>2626</v>
      </c>
      <c r="O344" s="6" t="s">
        <v>2626</v>
      </c>
    </row>
    <row r="345">
      <c r="A345" s="6" t="s">
        <v>869</v>
      </c>
      <c r="B345" s="6" t="s">
        <v>869</v>
      </c>
      <c r="C345" s="6" t="s">
        <v>3345</v>
      </c>
      <c r="D345" s="6">
        <v>345.0</v>
      </c>
      <c r="E345" s="6" t="s">
        <v>195</v>
      </c>
      <c r="F345" s="6" t="s">
        <v>508</v>
      </c>
      <c r="G345" s="6" t="s">
        <v>140</v>
      </c>
      <c r="J345" s="6">
        <v>0.0</v>
      </c>
      <c r="L345" s="6">
        <v>0.0</v>
      </c>
      <c r="M345" s="6" t="s">
        <v>3346</v>
      </c>
      <c r="N345" s="6" t="s">
        <v>2626</v>
      </c>
      <c r="O345" s="6" t="s">
        <v>2626</v>
      </c>
    </row>
    <row r="346">
      <c r="A346" s="6" t="s">
        <v>870</v>
      </c>
      <c r="B346" s="6" t="s">
        <v>870</v>
      </c>
      <c r="C346" s="6" t="s">
        <v>3347</v>
      </c>
      <c r="D346" s="6">
        <v>346.0</v>
      </c>
      <c r="E346" s="6" t="s">
        <v>195</v>
      </c>
      <c r="F346" s="6" t="s">
        <v>508</v>
      </c>
      <c r="G346" s="6" t="s">
        <v>140</v>
      </c>
      <c r="J346" s="6">
        <v>0.0</v>
      </c>
      <c r="L346" s="6">
        <v>0.0</v>
      </c>
      <c r="M346" s="6" t="s">
        <v>3348</v>
      </c>
      <c r="N346" s="6" t="s">
        <v>2626</v>
      </c>
      <c r="O346" s="6" t="s">
        <v>2626</v>
      </c>
    </row>
    <row r="347">
      <c r="A347" s="6" t="s">
        <v>872</v>
      </c>
      <c r="B347" s="6" t="s">
        <v>872</v>
      </c>
      <c r="C347" s="6" t="s">
        <v>3349</v>
      </c>
      <c r="D347" s="6">
        <v>347.0</v>
      </c>
      <c r="F347" s="6" t="s">
        <v>871</v>
      </c>
      <c r="G347" s="6" t="s">
        <v>26</v>
      </c>
      <c r="I347" s="6" t="s">
        <v>3350</v>
      </c>
      <c r="J347" s="6">
        <v>0.0</v>
      </c>
      <c r="L347" s="6">
        <v>2500.0</v>
      </c>
      <c r="M347" s="6" t="s">
        <v>3351</v>
      </c>
      <c r="N347" s="6" t="s">
        <v>2626</v>
      </c>
      <c r="O347" s="6" t="s">
        <v>2626</v>
      </c>
    </row>
    <row r="348">
      <c r="A348" s="6" t="s">
        <v>873</v>
      </c>
      <c r="B348" s="6" t="s">
        <v>873</v>
      </c>
      <c r="C348" s="6" t="s">
        <v>3352</v>
      </c>
      <c r="D348" s="6">
        <v>348.0</v>
      </c>
      <c r="F348" s="6" t="s">
        <v>473</v>
      </c>
      <c r="G348" s="6" t="s">
        <v>26</v>
      </c>
      <c r="I348" s="6" t="s">
        <v>3350</v>
      </c>
      <c r="J348" s="6">
        <v>0.0</v>
      </c>
      <c r="L348" s="6">
        <v>2500.0</v>
      </c>
      <c r="M348" s="6" t="s">
        <v>3353</v>
      </c>
      <c r="N348" s="6" t="s">
        <v>2626</v>
      </c>
      <c r="O348" s="6" t="s">
        <v>2626</v>
      </c>
    </row>
    <row r="349">
      <c r="A349" s="6" t="s">
        <v>877</v>
      </c>
      <c r="B349" s="6" t="s">
        <v>877</v>
      </c>
      <c r="C349" s="6" t="s">
        <v>3354</v>
      </c>
      <c r="D349" s="6">
        <v>349.0</v>
      </c>
      <c r="F349" s="6" t="s">
        <v>874</v>
      </c>
      <c r="G349" s="6" t="s">
        <v>103</v>
      </c>
      <c r="J349" s="6">
        <v>0.0</v>
      </c>
      <c r="L349" s="6">
        <v>0.0</v>
      </c>
      <c r="M349" s="6" t="s">
        <v>3355</v>
      </c>
      <c r="N349" s="6" t="s">
        <v>2626</v>
      </c>
      <c r="O349" s="6" t="s">
        <v>2626</v>
      </c>
    </row>
    <row r="350">
      <c r="A350" s="6" t="s">
        <v>881</v>
      </c>
      <c r="B350" s="6" t="s">
        <v>881</v>
      </c>
      <c r="C350" s="6" t="s">
        <v>3356</v>
      </c>
      <c r="D350" s="6">
        <v>350.0</v>
      </c>
      <c r="F350" s="6" t="s">
        <v>878</v>
      </c>
      <c r="G350" s="6" t="s">
        <v>26</v>
      </c>
      <c r="I350" s="6" t="s">
        <v>3350</v>
      </c>
      <c r="J350" s="6">
        <v>0.0</v>
      </c>
      <c r="L350" s="6">
        <v>2500.0</v>
      </c>
      <c r="M350" s="6" t="s">
        <v>3357</v>
      </c>
      <c r="N350" s="6" t="s">
        <v>2626</v>
      </c>
      <c r="O350" s="6" t="s">
        <v>2626</v>
      </c>
    </row>
    <row r="351">
      <c r="A351" s="6" t="s">
        <v>884</v>
      </c>
      <c r="B351" s="6" t="s">
        <v>884</v>
      </c>
      <c r="C351" s="6" t="s">
        <v>3358</v>
      </c>
      <c r="D351" s="6">
        <v>351.0</v>
      </c>
      <c r="E351" s="6">
        <v>3.50340252616483E14</v>
      </c>
      <c r="F351" s="6" t="s">
        <v>874</v>
      </c>
      <c r="G351" s="6" t="s">
        <v>103</v>
      </c>
      <c r="J351" s="6">
        <v>0.0</v>
      </c>
      <c r="L351" s="6">
        <v>0.0</v>
      </c>
      <c r="M351" s="6" t="s">
        <v>3359</v>
      </c>
      <c r="N351" s="6" t="s">
        <v>2626</v>
      </c>
      <c r="O351" s="6" t="s">
        <v>2626</v>
      </c>
    </row>
    <row r="352">
      <c r="A352" s="6" t="s">
        <v>886</v>
      </c>
      <c r="B352" s="6" t="s">
        <v>886</v>
      </c>
      <c r="C352" s="6" t="s">
        <v>3360</v>
      </c>
      <c r="D352" s="6">
        <v>352.0</v>
      </c>
      <c r="F352" s="6" t="s">
        <v>54</v>
      </c>
      <c r="G352" s="6" t="s">
        <v>26</v>
      </c>
      <c r="I352" s="6" t="s">
        <v>3350</v>
      </c>
      <c r="J352" s="6">
        <v>0.0</v>
      </c>
      <c r="L352" s="6">
        <v>2500.0</v>
      </c>
      <c r="M352" s="6" t="s">
        <v>3361</v>
      </c>
      <c r="N352" s="6" t="s">
        <v>2626</v>
      </c>
      <c r="O352" s="6" t="s">
        <v>2626</v>
      </c>
    </row>
    <row r="353">
      <c r="A353" s="6" t="s">
        <v>890</v>
      </c>
      <c r="B353" s="6" t="s">
        <v>890</v>
      </c>
      <c r="C353" s="6" t="s">
        <v>3362</v>
      </c>
      <c r="D353" s="6">
        <v>353.0</v>
      </c>
      <c r="F353" s="6" t="s">
        <v>887</v>
      </c>
      <c r="G353" s="6" t="s">
        <v>26</v>
      </c>
      <c r="I353" s="6" t="s">
        <v>3350</v>
      </c>
      <c r="J353" s="6">
        <v>0.0</v>
      </c>
      <c r="L353" s="6">
        <v>2500.0</v>
      </c>
      <c r="M353" s="6" t="s">
        <v>3363</v>
      </c>
      <c r="N353" s="6" t="s">
        <v>2626</v>
      </c>
      <c r="O353" s="6" t="s">
        <v>2626</v>
      </c>
    </row>
    <row r="354">
      <c r="A354" s="6" t="s">
        <v>893</v>
      </c>
      <c r="B354" s="6" t="s">
        <v>893</v>
      </c>
      <c r="C354" s="6" t="s">
        <v>3364</v>
      </c>
      <c r="D354" s="6">
        <v>354.0</v>
      </c>
      <c r="F354" s="6" t="s">
        <v>891</v>
      </c>
      <c r="G354" s="6" t="s">
        <v>26</v>
      </c>
      <c r="I354" s="6" t="s">
        <v>3350</v>
      </c>
      <c r="J354" s="6">
        <v>0.0</v>
      </c>
      <c r="L354" s="6">
        <v>5000.0</v>
      </c>
      <c r="M354" s="6" t="s">
        <v>3365</v>
      </c>
      <c r="N354" s="6" t="s">
        <v>2626</v>
      </c>
      <c r="O354" s="6" t="s">
        <v>2626</v>
      </c>
    </row>
    <row r="355">
      <c r="A355" s="6" t="s">
        <v>895</v>
      </c>
      <c r="B355" s="6" t="s">
        <v>895</v>
      </c>
      <c r="C355" s="6" t="s">
        <v>3366</v>
      </c>
      <c r="D355" s="6">
        <v>355.0</v>
      </c>
      <c r="F355" s="6" t="s">
        <v>887</v>
      </c>
      <c r="G355" s="6" t="s">
        <v>26</v>
      </c>
      <c r="I355" s="6" t="s">
        <v>3350</v>
      </c>
      <c r="J355" s="6">
        <v>0.0</v>
      </c>
      <c r="L355" s="6">
        <v>2500.0</v>
      </c>
      <c r="M355" s="6" t="s">
        <v>3367</v>
      </c>
      <c r="N355" s="6" t="s">
        <v>2626</v>
      </c>
      <c r="O355" s="6" t="s">
        <v>2626</v>
      </c>
    </row>
    <row r="356">
      <c r="A356" s="6" t="s">
        <v>898</v>
      </c>
      <c r="B356" s="6" t="s">
        <v>898</v>
      </c>
      <c r="C356" s="6" t="s">
        <v>3368</v>
      </c>
      <c r="D356" s="6">
        <v>356.0</v>
      </c>
      <c r="E356" s="6">
        <v>3.50636270816918E14</v>
      </c>
      <c r="F356" s="6" t="s">
        <v>89</v>
      </c>
      <c r="G356" s="6" t="s">
        <v>103</v>
      </c>
      <c r="J356" s="6">
        <v>0.0</v>
      </c>
      <c r="L356" s="6">
        <v>0.0</v>
      </c>
      <c r="M356" s="6" t="s">
        <v>3369</v>
      </c>
      <c r="N356" s="6" t="s">
        <v>2626</v>
      </c>
      <c r="O356" s="6" t="s">
        <v>2626</v>
      </c>
    </row>
    <row r="357">
      <c r="A357" s="6" t="s">
        <v>901</v>
      </c>
      <c r="B357" s="6" t="s">
        <v>901</v>
      </c>
      <c r="C357" s="6" t="s">
        <v>3370</v>
      </c>
      <c r="D357" s="6">
        <v>357.0</v>
      </c>
      <c r="E357" s="6">
        <v>3.50340252616483E14</v>
      </c>
      <c r="F357" s="6" t="s">
        <v>23</v>
      </c>
      <c r="G357" s="6" t="s">
        <v>103</v>
      </c>
      <c r="J357" s="6">
        <v>0.0</v>
      </c>
      <c r="L357" s="6">
        <v>0.0</v>
      </c>
      <c r="M357" s="6" t="s">
        <v>3371</v>
      </c>
      <c r="N357" s="6" t="s">
        <v>2626</v>
      </c>
      <c r="O357" s="6" t="s">
        <v>2626</v>
      </c>
    </row>
    <row r="358">
      <c r="A358" s="6" t="s">
        <v>903</v>
      </c>
      <c r="B358" s="6" t="s">
        <v>903</v>
      </c>
      <c r="C358" s="6" t="s">
        <v>3372</v>
      </c>
      <c r="D358" s="6">
        <v>358.0</v>
      </c>
      <c r="F358" s="6" t="s">
        <v>173</v>
      </c>
      <c r="G358" s="6" t="s">
        <v>121</v>
      </c>
      <c r="J358" s="6">
        <v>0.0</v>
      </c>
      <c r="L358" s="6">
        <v>0.0</v>
      </c>
      <c r="M358" s="6" t="s">
        <v>3373</v>
      </c>
      <c r="N358" s="6" t="s">
        <v>2626</v>
      </c>
      <c r="O358" s="6" t="s">
        <v>2626</v>
      </c>
    </row>
    <row r="359">
      <c r="A359" s="6" t="s">
        <v>905</v>
      </c>
      <c r="B359" s="6" t="s">
        <v>905</v>
      </c>
      <c r="C359" s="6" t="s">
        <v>3374</v>
      </c>
      <c r="D359" s="6">
        <v>359.0</v>
      </c>
      <c r="F359" s="6" t="s">
        <v>904</v>
      </c>
      <c r="G359" s="6" t="s">
        <v>26</v>
      </c>
      <c r="I359" s="6" t="s">
        <v>3350</v>
      </c>
      <c r="J359" s="6">
        <v>0.0</v>
      </c>
      <c r="L359" s="6">
        <v>2500.0</v>
      </c>
      <c r="M359" s="6" t="s">
        <v>3375</v>
      </c>
      <c r="N359" s="6" t="s">
        <v>2626</v>
      </c>
      <c r="O359" s="6" t="s">
        <v>2626</v>
      </c>
    </row>
    <row r="360">
      <c r="A360" s="6" t="s">
        <v>906</v>
      </c>
      <c r="B360" s="6" t="s">
        <v>906</v>
      </c>
      <c r="C360" s="6" t="s">
        <v>3376</v>
      </c>
      <c r="D360" s="6">
        <v>360.0</v>
      </c>
      <c r="E360" s="6" t="s">
        <v>195</v>
      </c>
      <c r="F360" s="6" t="s">
        <v>508</v>
      </c>
      <c r="G360" s="6" t="s">
        <v>140</v>
      </c>
      <c r="J360" s="6">
        <v>0.0</v>
      </c>
      <c r="L360" s="6">
        <v>0.0</v>
      </c>
      <c r="M360" s="6" t="s">
        <v>3377</v>
      </c>
      <c r="N360" s="6" t="s">
        <v>2626</v>
      </c>
      <c r="O360" s="6" t="s">
        <v>2626</v>
      </c>
    </row>
    <row r="361">
      <c r="A361" s="6" t="s">
        <v>907</v>
      </c>
      <c r="B361" s="6" t="s">
        <v>907</v>
      </c>
      <c r="C361" s="6" t="s">
        <v>3378</v>
      </c>
      <c r="D361" s="6">
        <v>361.0</v>
      </c>
      <c r="E361" s="6" t="s">
        <v>195</v>
      </c>
      <c r="F361" s="6" t="s">
        <v>508</v>
      </c>
      <c r="G361" s="6" t="s">
        <v>140</v>
      </c>
      <c r="J361" s="6">
        <v>0.0</v>
      </c>
      <c r="L361" s="6">
        <v>0.0</v>
      </c>
      <c r="M361" s="6" t="s">
        <v>3379</v>
      </c>
      <c r="N361" s="6" t="s">
        <v>2626</v>
      </c>
      <c r="O361" s="6" t="s">
        <v>2626</v>
      </c>
    </row>
    <row r="362">
      <c r="A362" s="6" t="s">
        <v>908</v>
      </c>
      <c r="B362" s="6" t="s">
        <v>908</v>
      </c>
      <c r="C362" s="6" t="s">
        <v>3380</v>
      </c>
      <c r="D362" s="6">
        <v>362.0</v>
      </c>
      <c r="E362" s="6" t="s">
        <v>195</v>
      </c>
      <c r="F362" s="6" t="s">
        <v>508</v>
      </c>
      <c r="G362" s="6" t="s">
        <v>140</v>
      </c>
      <c r="J362" s="6">
        <v>0.0</v>
      </c>
      <c r="L362" s="6">
        <v>0.0</v>
      </c>
      <c r="M362" s="6" t="s">
        <v>3381</v>
      </c>
      <c r="N362" s="6" t="s">
        <v>2626</v>
      </c>
      <c r="O362" s="6" t="s">
        <v>2626</v>
      </c>
    </row>
    <row r="363">
      <c r="A363" s="6" t="s">
        <v>909</v>
      </c>
      <c r="B363" s="6" t="s">
        <v>909</v>
      </c>
      <c r="C363" s="6" t="s">
        <v>3382</v>
      </c>
      <c r="D363" s="6">
        <v>363.0</v>
      </c>
      <c r="E363" s="6" t="s">
        <v>195</v>
      </c>
      <c r="F363" s="6" t="s">
        <v>508</v>
      </c>
      <c r="G363" s="6" t="s">
        <v>140</v>
      </c>
      <c r="J363" s="6">
        <v>0.0</v>
      </c>
      <c r="L363" s="6">
        <v>0.0</v>
      </c>
      <c r="M363" s="6" t="s">
        <v>3383</v>
      </c>
      <c r="N363" s="6" t="s">
        <v>2626</v>
      </c>
      <c r="O363" s="6" t="s">
        <v>2626</v>
      </c>
    </row>
    <row r="364">
      <c r="A364" s="6" t="s">
        <v>912</v>
      </c>
      <c r="B364" s="6" t="s">
        <v>912</v>
      </c>
      <c r="C364" s="6" t="s">
        <v>3384</v>
      </c>
      <c r="D364" s="6">
        <v>364.0</v>
      </c>
      <c r="E364" s="6">
        <v>3.50636270816918E14</v>
      </c>
      <c r="F364" s="6" t="s">
        <v>911</v>
      </c>
      <c r="G364" s="6" t="s">
        <v>26</v>
      </c>
      <c r="J364" s="6">
        <v>0.0</v>
      </c>
      <c r="L364" s="6">
        <v>700000.0</v>
      </c>
      <c r="M364" s="6" t="s">
        <v>3385</v>
      </c>
      <c r="N364" s="6" t="s">
        <v>2626</v>
      </c>
      <c r="O364" s="6" t="s">
        <v>2626</v>
      </c>
    </row>
    <row r="365">
      <c r="A365" s="6" t="s">
        <v>914</v>
      </c>
      <c r="B365" s="6" t="s">
        <v>914</v>
      </c>
      <c r="C365" s="6" t="s">
        <v>3386</v>
      </c>
      <c r="D365" s="6">
        <v>365.0</v>
      </c>
      <c r="F365" s="6" t="s">
        <v>70</v>
      </c>
      <c r="G365" s="6" t="s">
        <v>26</v>
      </c>
      <c r="I365" s="6" t="s">
        <v>3387</v>
      </c>
      <c r="J365" s="6">
        <v>0.0</v>
      </c>
      <c r="L365" s="6">
        <v>2500.0</v>
      </c>
      <c r="M365" s="6" t="s">
        <v>3388</v>
      </c>
      <c r="N365" s="6" t="s">
        <v>2626</v>
      </c>
      <c r="O365" s="6" t="s">
        <v>2626</v>
      </c>
    </row>
    <row r="366">
      <c r="A366" s="6" t="s">
        <v>916</v>
      </c>
      <c r="B366" s="6" t="s">
        <v>916</v>
      </c>
      <c r="C366" s="6" t="s">
        <v>3389</v>
      </c>
      <c r="D366" s="6">
        <v>366.0</v>
      </c>
      <c r="F366" s="6" t="s">
        <v>358</v>
      </c>
      <c r="G366" s="6" t="s">
        <v>26</v>
      </c>
      <c r="I366" s="6" t="s">
        <v>3387</v>
      </c>
      <c r="J366" s="6">
        <v>0.0</v>
      </c>
      <c r="L366" s="6">
        <v>2500.0</v>
      </c>
      <c r="M366" s="6" t="s">
        <v>3390</v>
      </c>
      <c r="N366" s="6" t="s">
        <v>2626</v>
      </c>
      <c r="O366" s="6" t="s">
        <v>2626</v>
      </c>
    </row>
    <row r="367">
      <c r="A367" s="6" t="s">
        <v>918</v>
      </c>
      <c r="B367" s="6" t="s">
        <v>918</v>
      </c>
      <c r="C367" s="6" t="s">
        <v>3391</v>
      </c>
      <c r="D367" s="6">
        <v>367.0</v>
      </c>
      <c r="F367" s="6" t="s">
        <v>788</v>
      </c>
      <c r="G367" s="6" t="s">
        <v>26</v>
      </c>
      <c r="I367" s="6" t="s">
        <v>3387</v>
      </c>
      <c r="J367" s="6">
        <v>0.0</v>
      </c>
      <c r="L367" s="6">
        <v>3000.0</v>
      </c>
      <c r="M367" s="6" t="s">
        <v>3392</v>
      </c>
      <c r="N367" s="6" t="s">
        <v>2626</v>
      </c>
      <c r="O367" s="6" t="s">
        <v>2626</v>
      </c>
    </row>
    <row r="368">
      <c r="A368" s="6" t="s">
        <v>920</v>
      </c>
      <c r="B368" s="6" t="s">
        <v>920</v>
      </c>
      <c r="C368" s="6" t="s">
        <v>3393</v>
      </c>
      <c r="D368" s="6">
        <v>368.0</v>
      </c>
      <c r="F368" s="6" t="s">
        <v>473</v>
      </c>
      <c r="G368" s="6" t="s">
        <v>26</v>
      </c>
      <c r="I368" s="6" t="s">
        <v>3387</v>
      </c>
      <c r="J368" s="6">
        <v>0.0</v>
      </c>
      <c r="L368" s="6">
        <v>2500.0</v>
      </c>
      <c r="M368" s="6" t="s">
        <v>3394</v>
      </c>
      <c r="N368" s="6" t="s">
        <v>2626</v>
      </c>
      <c r="O368" s="6" t="s">
        <v>2626</v>
      </c>
    </row>
    <row r="369">
      <c r="A369" s="6" t="s">
        <v>922</v>
      </c>
      <c r="B369" s="6" t="s">
        <v>922</v>
      </c>
      <c r="C369" s="6" t="s">
        <v>3395</v>
      </c>
      <c r="D369" s="6">
        <v>369.0</v>
      </c>
      <c r="F369" s="6" t="s">
        <v>74</v>
      </c>
      <c r="G369" s="6" t="s">
        <v>26</v>
      </c>
      <c r="I369" s="6" t="s">
        <v>3387</v>
      </c>
      <c r="J369" s="6">
        <v>0.0</v>
      </c>
      <c r="L369" s="6">
        <v>5000.0</v>
      </c>
      <c r="M369" s="6" t="s">
        <v>3396</v>
      </c>
      <c r="N369" s="6" t="s">
        <v>2626</v>
      </c>
      <c r="O369" s="6" t="s">
        <v>2626</v>
      </c>
    </row>
    <row r="370">
      <c r="A370" s="6" t="s">
        <v>925</v>
      </c>
      <c r="B370" s="6" t="s">
        <v>925</v>
      </c>
      <c r="C370" s="6" t="s">
        <v>3397</v>
      </c>
      <c r="D370" s="6">
        <v>370.0</v>
      </c>
      <c r="E370" s="6">
        <v>3.5533808473146E13</v>
      </c>
      <c r="F370" s="6" t="s">
        <v>686</v>
      </c>
      <c r="G370" s="6" t="s">
        <v>26</v>
      </c>
      <c r="I370" s="6" t="s">
        <v>3387</v>
      </c>
      <c r="J370" s="6">
        <v>0.0</v>
      </c>
      <c r="L370" s="6">
        <v>68000.0</v>
      </c>
      <c r="M370" s="6" t="s">
        <v>3398</v>
      </c>
      <c r="N370" s="6" t="s">
        <v>2626</v>
      </c>
      <c r="O370" s="6" t="s">
        <v>2626</v>
      </c>
    </row>
    <row r="371">
      <c r="A371" s="6" t="s">
        <v>928</v>
      </c>
      <c r="B371" s="6" t="s">
        <v>928</v>
      </c>
      <c r="C371" s="6" t="s">
        <v>3399</v>
      </c>
      <c r="D371" s="6">
        <v>371.0</v>
      </c>
      <c r="E371" s="6">
        <v>3.56845113678534E14</v>
      </c>
      <c r="F371" s="6" t="s">
        <v>741</v>
      </c>
      <c r="G371" s="6" t="s">
        <v>26</v>
      </c>
      <c r="I371" s="6" t="s">
        <v>3387</v>
      </c>
      <c r="J371" s="6">
        <v>0.0</v>
      </c>
      <c r="L371" s="6">
        <v>140000.0</v>
      </c>
      <c r="M371" s="6" t="s">
        <v>3400</v>
      </c>
      <c r="N371" s="6" t="s">
        <v>2626</v>
      </c>
      <c r="O371" s="6" t="s">
        <v>2626</v>
      </c>
    </row>
    <row r="372">
      <c r="A372" s="6" t="s">
        <v>930</v>
      </c>
      <c r="B372" s="6" t="s">
        <v>930</v>
      </c>
      <c r="C372" s="6" t="s">
        <v>3401</v>
      </c>
      <c r="D372" s="6">
        <v>372.0</v>
      </c>
      <c r="E372" s="6">
        <v>3.57247590767121E14</v>
      </c>
      <c r="F372" s="6" t="s">
        <v>442</v>
      </c>
      <c r="G372" s="6" t="s">
        <v>26</v>
      </c>
      <c r="I372" s="6" t="s">
        <v>3387</v>
      </c>
      <c r="J372" s="6">
        <v>0.0</v>
      </c>
      <c r="L372" s="6">
        <v>950000.0</v>
      </c>
      <c r="M372" s="6" t="s">
        <v>3402</v>
      </c>
      <c r="N372" s="6" t="s">
        <v>2626</v>
      </c>
      <c r="O372" s="6" t="s">
        <v>2626</v>
      </c>
    </row>
    <row r="373">
      <c r="A373" s="6" t="s">
        <v>932</v>
      </c>
      <c r="B373" s="6" t="s">
        <v>932</v>
      </c>
      <c r="C373" s="6" t="s">
        <v>3403</v>
      </c>
      <c r="D373" s="6">
        <v>373.0</v>
      </c>
      <c r="F373" s="6" t="s">
        <v>54</v>
      </c>
      <c r="G373" s="6" t="s">
        <v>26</v>
      </c>
      <c r="I373" s="6" t="s">
        <v>3387</v>
      </c>
      <c r="J373" s="6">
        <v>0.0</v>
      </c>
      <c r="L373" s="6">
        <v>2500.0</v>
      </c>
      <c r="M373" s="6" t="s">
        <v>3404</v>
      </c>
      <c r="N373" s="6" t="s">
        <v>2626</v>
      </c>
      <c r="O373" s="6" t="s">
        <v>2626</v>
      </c>
    </row>
    <row r="374">
      <c r="A374" s="6" t="s">
        <v>934</v>
      </c>
      <c r="B374" s="6" t="s">
        <v>934</v>
      </c>
      <c r="C374" s="6" t="s">
        <v>3405</v>
      </c>
      <c r="D374" s="6">
        <v>374.0</v>
      </c>
      <c r="F374" s="6" t="s">
        <v>442</v>
      </c>
      <c r="G374" s="6" t="s">
        <v>26</v>
      </c>
      <c r="I374" s="6" t="s">
        <v>3387</v>
      </c>
      <c r="J374" s="6">
        <v>0.0</v>
      </c>
      <c r="L374" s="6">
        <v>8000.0</v>
      </c>
      <c r="M374" s="6" t="s">
        <v>3406</v>
      </c>
      <c r="N374" s="6" t="s">
        <v>2626</v>
      </c>
      <c r="O374" s="6" t="s">
        <v>2626</v>
      </c>
    </row>
    <row r="375">
      <c r="A375" s="6" t="s">
        <v>935</v>
      </c>
      <c r="B375" s="6" t="s">
        <v>935</v>
      </c>
      <c r="C375" s="6" t="s">
        <v>3407</v>
      </c>
      <c r="D375" s="6">
        <v>375.0</v>
      </c>
      <c r="E375" s="6" t="s">
        <v>195</v>
      </c>
      <c r="F375" s="6" t="s">
        <v>508</v>
      </c>
      <c r="G375" s="6" t="s">
        <v>140</v>
      </c>
      <c r="J375" s="6">
        <v>0.0</v>
      </c>
      <c r="L375" s="6">
        <v>0.0</v>
      </c>
      <c r="M375" s="6" t="s">
        <v>3408</v>
      </c>
      <c r="N375" s="6" t="s">
        <v>2626</v>
      </c>
      <c r="O375" s="6" t="s">
        <v>2626</v>
      </c>
    </row>
    <row r="376">
      <c r="A376" s="6" t="s">
        <v>936</v>
      </c>
      <c r="B376" s="6" t="s">
        <v>936</v>
      </c>
      <c r="C376" s="6" t="s">
        <v>3409</v>
      </c>
      <c r="D376" s="6">
        <v>376.0</v>
      </c>
      <c r="E376" s="6" t="s">
        <v>195</v>
      </c>
      <c r="F376" s="6" t="s">
        <v>508</v>
      </c>
      <c r="G376" s="6" t="s">
        <v>140</v>
      </c>
      <c r="J376" s="6">
        <v>0.0</v>
      </c>
      <c r="L376" s="6">
        <v>0.0</v>
      </c>
      <c r="M376" s="6" t="s">
        <v>3410</v>
      </c>
      <c r="N376" s="6" t="s">
        <v>2626</v>
      </c>
      <c r="O376" s="6" t="s">
        <v>2626</v>
      </c>
    </row>
    <row r="377">
      <c r="A377" s="6" t="s">
        <v>937</v>
      </c>
      <c r="B377" s="6" t="s">
        <v>937</v>
      </c>
      <c r="C377" s="6" t="s">
        <v>3411</v>
      </c>
      <c r="D377" s="6">
        <v>377.0</v>
      </c>
      <c r="E377" s="6" t="s">
        <v>195</v>
      </c>
      <c r="F377" s="6" t="s">
        <v>508</v>
      </c>
      <c r="G377" s="6" t="s">
        <v>140</v>
      </c>
      <c r="J377" s="6">
        <v>0.0</v>
      </c>
      <c r="L377" s="6">
        <v>0.0</v>
      </c>
      <c r="M377" s="6" t="s">
        <v>3412</v>
      </c>
      <c r="N377" s="6" t="s">
        <v>2626</v>
      </c>
      <c r="O377" s="6" t="s">
        <v>2626</v>
      </c>
    </row>
    <row r="378">
      <c r="A378" s="6" t="s">
        <v>938</v>
      </c>
      <c r="B378" s="6" t="s">
        <v>938</v>
      </c>
      <c r="C378" s="6" t="s">
        <v>3413</v>
      </c>
      <c r="D378" s="6">
        <v>378.0</v>
      </c>
      <c r="E378" s="6" t="s">
        <v>195</v>
      </c>
      <c r="F378" s="6" t="s">
        <v>508</v>
      </c>
      <c r="G378" s="6" t="s">
        <v>140</v>
      </c>
      <c r="J378" s="6">
        <v>0.0</v>
      </c>
      <c r="L378" s="6">
        <v>0.0</v>
      </c>
      <c r="M378" s="6" t="s">
        <v>3414</v>
      </c>
      <c r="N378" s="6" t="s">
        <v>2626</v>
      </c>
      <c r="O378" s="6" t="s">
        <v>2626</v>
      </c>
    </row>
    <row r="379">
      <c r="A379" s="6" t="s">
        <v>941</v>
      </c>
      <c r="B379" s="6" t="s">
        <v>941</v>
      </c>
      <c r="C379" s="6" t="s">
        <v>3415</v>
      </c>
      <c r="D379" s="6">
        <v>379.0</v>
      </c>
      <c r="E379" s="6">
        <v>3.54004395226065E14</v>
      </c>
      <c r="F379" s="6" t="s">
        <v>70</v>
      </c>
      <c r="G379" s="6" t="s">
        <v>26</v>
      </c>
      <c r="I379" s="6" t="s">
        <v>3416</v>
      </c>
      <c r="J379" s="6">
        <v>0.0</v>
      </c>
      <c r="L379" s="6">
        <v>600000.0</v>
      </c>
      <c r="M379" s="6" t="s">
        <v>3417</v>
      </c>
      <c r="N379" s="6" t="s">
        <v>2626</v>
      </c>
      <c r="O379" s="6" t="s">
        <v>2626</v>
      </c>
    </row>
    <row r="380">
      <c r="A380" s="6" t="s">
        <v>943</v>
      </c>
      <c r="B380" s="6" t="s">
        <v>943</v>
      </c>
      <c r="C380" s="6" t="s">
        <v>3418</v>
      </c>
      <c r="D380" s="6">
        <v>380.0</v>
      </c>
      <c r="E380" s="6">
        <v>3.50517923261142E14</v>
      </c>
      <c r="F380" s="6" t="s">
        <v>54</v>
      </c>
      <c r="G380" s="6" t="s">
        <v>26</v>
      </c>
      <c r="I380" s="6" t="s">
        <v>3419</v>
      </c>
      <c r="J380" s="6">
        <v>0.0</v>
      </c>
      <c r="L380" s="6">
        <v>195000.0</v>
      </c>
      <c r="M380" s="6" t="s">
        <v>3420</v>
      </c>
      <c r="N380" s="6" t="s">
        <v>2626</v>
      </c>
      <c r="O380" s="6" t="s">
        <v>2626</v>
      </c>
    </row>
    <row r="381">
      <c r="A381" s="6" t="s">
        <v>945</v>
      </c>
      <c r="B381" s="6" t="s">
        <v>945</v>
      </c>
      <c r="C381" s="6" t="s">
        <v>3421</v>
      </c>
      <c r="D381" s="6">
        <v>381.0</v>
      </c>
      <c r="F381" s="6" t="s">
        <v>89</v>
      </c>
      <c r="G381" s="6" t="s">
        <v>26</v>
      </c>
      <c r="I381" s="6" t="s">
        <v>3422</v>
      </c>
      <c r="J381" s="6">
        <v>0.0</v>
      </c>
      <c r="L381" s="6">
        <v>2500.0</v>
      </c>
      <c r="M381" s="6" t="s">
        <v>3423</v>
      </c>
      <c r="N381" s="6" t="s">
        <v>2626</v>
      </c>
      <c r="O381" s="6" t="s">
        <v>2626</v>
      </c>
    </row>
    <row r="382">
      <c r="A382" s="6" t="s">
        <v>947</v>
      </c>
      <c r="B382" s="6" t="s">
        <v>947</v>
      </c>
      <c r="C382" s="6" t="s">
        <v>3424</v>
      </c>
      <c r="D382" s="6">
        <v>382.0</v>
      </c>
      <c r="F382" s="6" t="s">
        <v>18</v>
      </c>
      <c r="G382" s="6" t="s">
        <v>26</v>
      </c>
      <c r="I382" s="6" t="s">
        <v>3425</v>
      </c>
      <c r="J382" s="6">
        <v>0.0</v>
      </c>
      <c r="L382" s="6">
        <v>2500.0</v>
      </c>
      <c r="M382" s="6" t="s">
        <v>3426</v>
      </c>
      <c r="N382" s="6" t="s">
        <v>2626</v>
      </c>
      <c r="O382" s="6" t="s">
        <v>2626</v>
      </c>
    </row>
    <row r="383">
      <c r="A383" s="6" t="s">
        <v>950</v>
      </c>
      <c r="B383" s="6" t="s">
        <v>950</v>
      </c>
      <c r="C383" s="6" t="s">
        <v>3427</v>
      </c>
      <c r="D383" s="6">
        <v>383.0</v>
      </c>
      <c r="E383" s="6">
        <v>3.50340252616483E14</v>
      </c>
      <c r="F383" s="6" t="s">
        <v>948</v>
      </c>
      <c r="G383" s="6" t="s">
        <v>26</v>
      </c>
      <c r="I383" s="6" t="s">
        <v>3428</v>
      </c>
      <c r="J383" s="6">
        <v>0.0</v>
      </c>
      <c r="L383" s="6">
        <v>810000.0</v>
      </c>
      <c r="M383" s="6" t="s">
        <v>3429</v>
      </c>
      <c r="N383" s="6" t="s">
        <v>2626</v>
      </c>
      <c r="O383" s="6" t="s">
        <v>2626</v>
      </c>
    </row>
    <row r="384">
      <c r="A384" s="6" t="s">
        <v>953</v>
      </c>
      <c r="B384" s="6" t="s">
        <v>953</v>
      </c>
      <c r="C384" s="6" t="s">
        <v>3430</v>
      </c>
      <c r="D384" s="6">
        <v>384.0</v>
      </c>
      <c r="E384" s="6">
        <v>3.53075116116653E14</v>
      </c>
      <c r="F384" s="6" t="s">
        <v>358</v>
      </c>
      <c r="G384" s="6" t="s">
        <v>26</v>
      </c>
      <c r="I384" s="6" t="s">
        <v>3428</v>
      </c>
      <c r="J384" s="6">
        <v>0.0</v>
      </c>
      <c r="L384" s="6">
        <v>330000.0</v>
      </c>
      <c r="M384" s="6" t="s">
        <v>3431</v>
      </c>
      <c r="N384" s="6" t="s">
        <v>2626</v>
      </c>
      <c r="O384" s="6" t="s">
        <v>2626</v>
      </c>
    </row>
    <row r="385">
      <c r="A385" s="6" t="s">
        <v>955</v>
      </c>
      <c r="B385" s="6" t="s">
        <v>955</v>
      </c>
      <c r="C385" s="6" t="s">
        <v>3432</v>
      </c>
      <c r="D385" s="6">
        <v>385.0</v>
      </c>
      <c r="F385" s="6" t="s">
        <v>358</v>
      </c>
      <c r="G385" s="6" t="s">
        <v>26</v>
      </c>
      <c r="I385" s="6" t="s">
        <v>3428</v>
      </c>
      <c r="J385" s="6">
        <v>0.0</v>
      </c>
      <c r="L385" s="6">
        <v>2500.0</v>
      </c>
      <c r="M385" s="6" t="s">
        <v>3433</v>
      </c>
      <c r="N385" s="6" t="s">
        <v>2626</v>
      </c>
      <c r="O385" s="6" t="s">
        <v>2626</v>
      </c>
    </row>
    <row r="386">
      <c r="A386" s="6" t="s">
        <v>957</v>
      </c>
      <c r="B386" s="6" t="s">
        <v>957</v>
      </c>
      <c r="C386" s="6" t="s">
        <v>3434</v>
      </c>
      <c r="D386" s="6">
        <v>386.0</v>
      </c>
      <c r="F386" s="6" t="s">
        <v>89</v>
      </c>
      <c r="G386" s="6" t="s">
        <v>26</v>
      </c>
      <c r="I386" s="6" t="s">
        <v>3428</v>
      </c>
      <c r="J386" s="6">
        <v>0.0</v>
      </c>
      <c r="L386" s="6">
        <v>2500.0</v>
      </c>
      <c r="M386" s="6" t="s">
        <v>3435</v>
      </c>
      <c r="N386" s="6" t="s">
        <v>2626</v>
      </c>
      <c r="O386" s="6" t="s">
        <v>2626</v>
      </c>
    </row>
    <row r="387">
      <c r="A387" s="6" t="s">
        <v>958</v>
      </c>
      <c r="B387" s="6" t="s">
        <v>958</v>
      </c>
      <c r="C387" s="6" t="s">
        <v>3436</v>
      </c>
      <c r="D387" s="6">
        <v>387.0</v>
      </c>
      <c r="E387" s="6" t="s">
        <v>195</v>
      </c>
      <c r="F387" s="6" t="s">
        <v>508</v>
      </c>
      <c r="G387" s="6" t="s">
        <v>140</v>
      </c>
      <c r="J387" s="6">
        <v>0.0</v>
      </c>
      <c r="L387" s="6">
        <v>0.0</v>
      </c>
      <c r="M387" s="6" t="s">
        <v>3437</v>
      </c>
      <c r="N387" s="6" t="s">
        <v>2626</v>
      </c>
      <c r="O387" s="6" t="s">
        <v>2626</v>
      </c>
    </row>
    <row r="388">
      <c r="A388" s="6" t="s">
        <v>959</v>
      </c>
      <c r="B388" s="6" t="s">
        <v>959</v>
      </c>
      <c r="C388" s="6" t="s">
        <v>3438</v>
      </c>
      <c r="D388" s="6">
        <v>388.0</v>
      </c>
      <c r="E388" s="6" t="s">
        <v>195</v>
      </c>
      <c r="F388" s="6" t="s">
        <v>508</v>
      </c>
      <c r="G388" s="6" t="s">
        <v>140</v>
      </c>
      <c r="J388" s="6">
        <v>0.0</v>
      </c>
      <c r="L388" s="6">
        <v>0.0</v>
      </c>
      <c r="M388" s="6" t="s">
        <v>3439</v>
      </c>
      <c r="N388" s="6" t="s">
        <v>2626</v>
      </c>
      <c r="O388" s="6" t="s">
        <v>2626</v>
      </c>
    </row>
    <row r="389">
      <c r="A389" s="6" t="s">
        <v>960</v>
      </c>
      <c r="B389" s="6" t="s">
        <v>960</v>
      </c>
      <c r="C389" s="6" t="s">
        <v>3440</v>
      </c>
      <c r="D389" s="6">
        <v>389.0</v>
      </c>
      <c r="E389" s="6" t="s">
        <v>195</v>
      </c>
      <c r="F389" s="6" t="s">
        <v>508</v>
      </c>
      <c r="G389" s="6" t="s">
        <v>140</v>
      </c>
      <c r="J389" s="6">
        <v>0.0</v>
      </c>
      <c r="L389" s="6">
        <v>0.0</v>
      </c>
      <c r="M389" s="6" t="s">
        <v>3441</v>
      </c>
      <c r="N389" s="6" t="s">
        <v>2626</v>
      </c>
      <c r="O389" s="6" t="s">
        <v>2626</v>
      </c>
    </row>
    <row r="390">
      <c r="A390" s="6" t="s">
        <v>961</v>
      </c>
      <c r="B390" s="6" t="s">
        <v>961</v>
      </c>
      <c r="C390" s="6" t="s">
        <v>3442</v>
      </c>
      <c r="D390" s="6">
        <v>390.0</v>
      </c>
      <c r="E390" s="6" t="s">
        <v>195</v>
      </c>
      <c r="F390" s="6" t="s">
        <v>508</v>
      </c>
      <c r="G390" s="6" t="s">
        <v>140</v>
      </c>
      <c r="J390" s="6">
        <v>0.0</v>
      </c>
      <c r="L390" s="6">
        <v>0.0</v>
      </c>
      <c r="M390" s="6" t="s">
        <v>3443</v>
      </c>
      <c r="N390" s="6" t="s">
        <v>2626</v>
      </c>
      <c r="O390" s="6" t="s">
        <v>2626</v>
      </c>
    </row>
    <row r="391">
      <c r="A391" s="6" t="s">
        <v>963</v>
      </c>
      <c r="B391" s="6" t="s">
        <v>963</v>
      </c>
      <c r="C391" s="6" t="s">
        <v>3444</v>
      </c>
      <c r="D391" s="6">
        <v>391.0</v>
      </c>
      <c r="F391" s="6" t="s">
        <v>871</v>
      </c>
      <c r="G391" s="6" t="s">
        <v>26</v>
      </c>
      <c r="I391" s="6" t="s">
        <v>3416</v>
      </c>
      <c r="J391" s="6">
        <v>0.0</v>
      </c>
      <c r="L391" s="6">
        <v>2000.0</v>
      </c>
      <c r="M391" s="6" t="s">
        <v>3445</v>
      </c>
      <c r="N391" s="6" t="s">
        <v>2626</v>
      </c>
      <c r="O391" s="6" t="s">
        <v>2626</v>
      </c>
    </row>
    <row r="392">
      <c r="A392" s="6" t="s">
        <v>965</v>
      </c>
      <c r="B392" s="6" t="s">
        <v>965</v>
      </c>
      <c r="C392" s="6" t="s">
        <v>3446</v>
      </c>
      <c r="D392" s="6">
        <v>392.0</v>
      </c>
      <c r="F392" s="6" t="s">
        <v>54</v>
      </c>
      <c r="G392" s="6" t="s">
        <v>26</v>
      </c>
      <c r="I392" s="6" t="s">
        <v>3416</v>
      </c>
      <c r="J392" s="6">
        <v>0.0</v>
      </c>
      <c r="L392" s="6">
        <v>2500.0</v>
      </c>
      <c r="M392" s="6" t="s">
        <v>3447</v>
      </c>
      <c r="N392" s="6" t="s">
        <v>2626</v>
      </c>
      <c r="O392" s="6" t="s">
        <v>2626</v>
      </c>
    </row>
    <row r="393">
      <c r="A393" s="6" t="s">
        <v>966</v>
      </c>
      <c r="B393" s="6" t="s">
        <v>966</v>
      </c>
      <c r="C393" s="6" t="s">
        <v>3448</v>
      </c>
      <c r="D393" s="6">
        <v>393.0</v>
      </c>
      <c r="F393" s="6" t="s">
        <v>442</v>
      </c>
      <c r="G393" s="6" t="s">
        <v>26</v>
      </c>
      <c r="I393" s="6" t="s">
        <v>3416</v>
      </c>
      <c r="J393" s="6">
        <v>0.0</v>
      </c>
      <c r="L393" s="6">
        <v>2500.0</v>
      </c>
      <c r="M393" s="6" t="s">
        <v>3449</v>
      </c>
      <c r="N393" s="6" t="s">
        <v>2626</v>
      </c>
      <c r="O393" s="6" t="s">
        <v>2626</v>
      </c>
    </row>
    <row r="394">
      <c r="A394" s="6" t="s">
        <v>968</v>
      </c>
      <c r="B394" s="6" t="s">
        <v>968</v>
      </c>
      <c r="C394" s="6" t="s">
        <v>3450</v>
      </c>
      <c r="D394" s="6">
        <v>394.0</v>
      </c>
      <c r="F394" s="6" t="s">
        <v>424</v>
      </c>
      <c r="G394" s="6" t="s">
        <v>26</v>
      </c>
      <c r="I394" s="6" t="s">
        <v>3416</v>
      </c>
      <c r="J394" s="6">
        <v>0.0</v>
      </c>
      <c r="L394" s="6">
        <v>3500.0</v>
      </c>
      <c r="M394" s="6" t="s">
        <v>3451</v>
      </c>
      <c r="N394" s="6" t="s">
        <v>2626</v>
      </c>
      <c r="O394" s="6" t="s">
        <v>2626</v>
      </c>
    </row>
    <row r="395">
      <c r="A395" s="6" t="s">
        <v>971</v>
      </c>
      <c r="B395" s="6" t="s">
        <v>971</v>
      </c>
      <c r="C395" s="6" t="s">
        <v>3452</v>
      </c>
      <c r="D395" s="6">
        <v>395.0</v>
      </c>
      <c r="F395" s="6" t="s">
        <v>969</v>
      </c>
      <c r="G395" s="6" t="s">
        <v>26</v>
      </c>
      <c r="I395" s="6" t="s">
        <v>3416</v>
      </c>
      <c r="J395" s="6">
        <v>0.0</v>
      </c>
      <c r="L395" s="6">
        <v>25000.0</v>
      </c>
      <c r="M395" s="6" t="s">
        <v>3453</v>
      </c>
      <c r="N395" s="6" t="s">
        <v>2626</v>
      </c>
      <c r="O395" s="6" t="s">
        <v>2626</v>
      </c>
    </row>
    <row r="396">
      <c r="A396" s="6" t="s">
        <v>973</v>
      </c>
      <c r="B396" s="6" t="s">
        <v>973</v>
      </c>
      <c r="C396" s="6" t="s">
        <v>3454</v>
      </c>
      <c r="D396" s="6">
        <v>396.0</v>
      </c>
      <c r="F396" s="6" t="s">
        <v>485</v>
      </c>
      <c r="G396" s="6" t="s">
        <v>26</v>
      </c>
      <c r="I396" s="6" t="s">
        <v>3416</v>
      </c>
      <c r="J396" s="6">
        <v>0.0</v>
      </c>
      <c r="L396" s="6">
        <v>5000.0</v>
      </c>
      <c r="M396" s="6" t="s">
        <v>3455</v>
      </c>
      <c r="N396" s="6" t="s">
        <v>2626</v>
      </c>
      <c r="O396" s="6" t="s">
        <v>2626</v>
      </c>
    </row>
    <row r="397">
      <c r="A397" s="6" t="s">
        <v>976</v>
      </c>
      <c r="B397" s="6" t="s">
        <v>976</v>
      </c>
      <c r="C397" s="6" t="s">
        <v>3456</v>
      </c>
      <c r="D397" s="6">
        <v>397.0</v>
      </c>
      <c r="F397" s="6" t="s">
        <v>974</v>
      </c>
      <c r="G397" s="6" t="s">
        <v>26</v>
      </c>
      <c r="I397" s="6" t="s">
        <v>3416</v>
      </c>
      <c r="J397" s="6">
        <v>0.0</v>
      </c>
      <c r="L397" s="6">
        <v>2500.0</v>
      </c>
      <c r="M397" s="6" t="s">
        <v>3457</v>
      </c>
      <c r="N397" s="6" t="s">
        <v>2626</v>
      </c>
      <c r="O397" s="6" t="s">
        <v>2626</v>
      </c>
    </row>
    <row r="398">
      <c r="A398" s="6" t="s">
        <v>979</v>
      </c>
      <c r="B398" s="6" t="s">
        <v>979</v>
      </c>
      <c r="C398" s="6" t="s">
        <v>3458</v>
      </c>
      <c r="D398" s="6">
        <v>398.0</v>
      </c>
      <c r="E398" s="6">
        <v>3.55300183605562E14</v>
      </c>
      <c r="F398" s="6" t="s">
        <v>18</v>
      </c>
      <c r="G398" s="6" t="s">
        <v>103</v>
      </c>
      <c r="J398" s="6">
        <v>0.0</v>
      </c>
      <c r="L398" s="6">
        <v>0.0</v>
      </c>
      <c r="M398" s="6" t="s">
        <v>3459</v>
      </c>
      <c r="N398" s="6" t="s">
        <v>2626</v>
      </c>
      <c r="O398" s="6" t="s">
        <v>2626</v>
      </c>
    </row>
    <row r="399">
      <c r="A399" s="6" t="s">
        <v>980</v>
      </c>
      <c r="B399" s="6" t="s">
        <v>980</v>
      </c>
      <c r="C399" s="6" t="s">
        <v>3460</v>
      </c>
      <c r="D399" s="6">
        <v>399.0</v>
      </c>
      <c r="E399" s="6" t="s">
        <v>195</v>
      </c>
      <c r="F399" s="6" t="s">
        <v>508</v>
      </c>
      <c r="G399" s="6" t="s">
        <v>140</v>
      </c>
      <c r="J399" s="6">
        <v>0.0</v>
      </c>
      <c r="L399" s="6">
        <v>0.0</v>
      </c>
      <c r="M399" s="6" t="s">
        <v>3461</v>
      </c>
      <c r="N399" s="6" t="s">
        <v>2626</v>
      </c>
      <c r="O399" s="6" t="s">
        <v>2626</v>
      </c>
    </row>
    <row r="400">
      <c r="A400" s="6" t="s">
        <v>981</v>
      </c>
      <c r="B400" s="6" t="s">
        <v>981</v>
      </c>
      <c r="C400" s="6" t="s">
        <v>3462</v>
      </c>
      <c r="D400" s="6">
        <v>400.0</v>
      </c>
      <c r="E400" s="6" t="s">
        <v>195</v>
      </c>
      <c r="F400" s="6" t="s">
        <v>508</v>
      </c>
      <c r="G400" s="6" t="s">
        <v>140</v>
      </c>
      <c r="J400" s="6">
        <v>0.0</v>
      </c>
      <c r="L400" s="6">
        <v>0.0</v>
      </c>
      <c r="M400" s="6" t="s">
        <v>3463</v>
      </c>
      <c r="N400" s="6" t="s">
        <v>2626</v>
      </c>
      <c r="O400" s="6" t="s">
        <v>2626</v>
      </c>
    </row>
    <row r="401">
      <c r="A401" s="6" t="s">
        <v>982</v>
      </c>
      <c r="B401" s="6" t="s">
        <v>982</v>
      </c>
      <c r="C401" s="6" t="s">
        <v>3464</v>
      </c>
      <c r="D401" s="6">
        <v>401.0</v>
      </c>
      <c r="E401" s="6" t="s">
        <v>195</v>
      </c>
      <c r="F401" s="6" t="s">
        <v>508</v>
      </c>
      <c r="G401" s="6" t="s">
        <v>140</v>
      </c>
      <c r="J401" s="6">
        <v>0.0</v>
      </c>
      <c r="L401" s="6">
        <v>0.0</v>
      </c>
      <c r="M401" s="6" t="s">
        <v>3465</v>
      </c>
      <c r="N401" s="6" t="s">
        <v>2626</v>
      </c>
      <c r="O401" s="6" t="s">
        <v>2626</v>
      </c>
    </row>
    <row r="402">
      <c r="A402" s="6" t="s">
        <v>983</v>
      </c>
      <c r="B402" s="6" t="s">
        <v>983</v>
      </c>
      <c r="C402" s="6" t="s">
        <v>3466</v>
      </c>
      <c r="D402" s="6">
        <v>402.0</v>
      </c>
      <c r="E402" s="6" t="s">
        <v>195</v>
      </c>
      <c r="F402" s="6" t="s">
        <v>508</v>
      </c>
      <c r="G402" s="6" t="s">
        <v>140</v>
      </c>
      <c r="J402" s="6">
        <v>0.0</v>
      </c>
      <c r="L402" s="6">
        <v>0.0</v>
      </c>
      <c r="M402" s="6" t="s">
        <v>3467</v>
      </c>
      <c r="N402" s="6" t="s">
        <v>2626</v>
      </c>
      <c r="O402" s="6" t="s">
        <v>2626</v>
      </c>
    </row>
    <row r="403">
      <c r="A403" s="6" t="s">
        <v>989</v>
      </c>
      <c r="B403" s="6" t="s">
        <v>989</v>
      </c>
      <c r="C403" s="6" t="s">
        <v>3468</v>
      </c>
      <c r="D403" s="6">
        <v>403.0</v>
      </c>
      <c r="E403" s="6">
        <v>3.5417850788467E14</v>
      </c>
      <c r="F403" s="6" t="s">
        <v>984</v>
      </c>
      <c r="G403" s="6" t="s">
        <v>103</v>
      </c>
      <c r="J403" s="6">
        <v>0.0</v>
      </c>
      <c r="L403" s="6">
        <v>0.0</v>
      </c>
      <c r="M403" s="6" t="s">
        <v>3469</v>
      </c>
      <c r="N403" s="6" t="s">
        <v>2626</v>
      </c>
      <c r="O403" s="6" t="s">
        <v>2626</v>
      </c>
    </row>
    <row r="404">
      <c r="A404" s="6" t="s">
        <v>992</v>
      </c>
      <c r="B404" s="6" t="s">
        <v>992</v>
      </c>
      <c r="C404" s="6" t="s">
        <v>3470</v>
      </c>
      <c r="D404" s="6">
        <v>404.0</v>
      </c>
      <c r="F404" s="6" t="s">
        <v>990</v>
      </c>
      <c r="G404" s="6" t="s">
        <v>26</v>
      </c>
      <c r="I404" s="6" t="s">
        <v>3422</v>
      </c>
      <c r="J404" s="6">
        <v>0.0</v>
      </c>
      <c r="L404" s="6">
        <v>2500.0</v>
      </c>
      <c r="M404" s="6" t="s">
        <v>3471</v>
      </c>
      <c r="N404" s="6" t="s">
        <v>2626</v>
      </c>
      <c r="O404" s="6" t="s">
        <v>2626</v>
      </c>
    </row>
    <row r="405">
      <c r="A405" s="6" t="s">
        <v>996</v>
      </c>
      <c r="B405" s="6" t="s">
        <v>996</v>
      </c>
      <c r="C405" s="6" t="s">
        <v>3472</v>
      </c>
      <c r="D405" s="6">
        <v>405.0</v>
      </c>
      <c r="F405" s="6" t="s">
        <v>993</v>
      </c>
      <c r="G405" s="6" t="s">
        <v>26</v>
      </c>
      <c r="I405" s="6" t="s">
        <v>3419</v>
      </c>
      <c r="J405" s="6">
        <v>0.0</v>
      </c>
      <c r="L405" s="6">
        <v>2500.0</v>
      </c>
      <c r="M405" s="6" t="s">
        <v>3473</v>
      </c>
      <c r="N405" s="6" t="s">
        <v>2626</v>
      </c>
      <c r="O405" s="6" t="s">
        <v>2626</v>
      </c>
    </row>
    <row r="406">
      <c r="A406" s="6" t="s">
        <v>1000</v>
      </c>
      <c r="B406" s="6" t="s">
        <v>1000</v>
      </c>
      <c r="C406" s="6" t="s">
        <v>3474</v>
      </c>
      <c r="D406" s="6">
        <v>406.0</v>
      </c>
      <c r="E406" s="6">
        <v>3.5970237250843E14</v>
      </c>
      <c r="F406" s="6" t="s">
        <v>997</v>
      </c>
      <c r="G406" s="6" t="s">
        <v>26</v>
      </c>
      <c r="I406" s="6" t="s">
        <v>3419</v>
      </c>
      <c r="J406" s="6">
        <v>0.0</v>
      </c>
      <c r="L406" s="6">
        <v>700000.0</v>
      </c>
      <c r="M406" s="6" t="s">
        <v>3475</v>
      </c>
      <c r="N406" s="6" t="s">
        <v>2626</v>
      </c>
      <c r="O406" s="6" t="s">
        <v>2626</v>
      </c>
    </row>
    <row r="407">
      <c r="A407" s="6" t="s">
        <v>1001</v>
      </c>
      <c r="B407" s="6" t="s">
        <v>1001</v>
      </c>
      <c r="C407" s="6" t="s">
        <v>3476</v>
      </c>
      <c r="D407" s="6">
        <v>407.0</v>
      </c>
      <c r="E407" s="6" t="s">
        <v>140</v>
      </c>
      <c r="F407" s="6" t="s">
        <v>140</v>
      </c>
      <c r="G407" s="6" t="s">
        <v>140</v>
      </c>
      <c r="J407" s="6">
        <v>0.0</v>
      </c>
      <c r="L407" s="6">
        <v>0.0</v>
      </c>
      <c r="M407" s="6" t="s">
        <v>3477</v>
      </c>
      <c r="N407" s="6" t="s">
        <v>2626</v>
      </c>
      <c r="O407" s="6" t="s">
        <v>2626</v>
      </c>
    </row>
    <row r="408">
      <c r="A408" s="6" t="s">
        <v>1002</v>
      </c>
      <c r="B408" s="6" t="s">
        <v>1002</v>
      </c>
      <c r="C408" s="6" t="s">
        <v>3478</v>
      </c>
      <c r="D408" s="6">
        <v>408.0</v>
      </c>
      <c r="E408" s="6" t="s">
        <v>140</v>
      </c>
      <c r="F408" s="6" t="s">
        <v>140</v>
      </c>
      <c r="G408" s="6" t="s">
        <v>140</v>
      </c>
      <c r="J408" s="6">
        <v>0.0</v>
      </c>
      <c r="L408" s="6">
        <v>0.0</v>
      </c>
      <c r="M408" s="6" t="s">
        <v>3479</v>
      </c>
      <c r="N408" s="6" t="s">
        <v>2626</v>
      </c>
      <c r="O408" s="6" t="s">
        <v>2626</v>
      </c>
    </row>
    <row r="409">
      <c r="A409" s="6" t="s">
        <v>1003</v>
      </c>
      <c r="B409" s="6" t="s">
        <v>1003</v>
      </c>
      <c r="C409" s="6" t="s">
        <v>3480</v>
      </c>
      <c r="D409" s="6">
        <v>409.0</v>
      </c>
      <c r="E409" s="6" t="s">
        <v>140</v>
      </c>
      <c r="F409" s="6" t="s">
        <v>140</v>
      </c>
      <c r="G409" s="6" t="s">
        <v>140</v>
      </c>
      <c r="J409" s="6">
        <v>0.0</v>
      </c>
      <c r="L409" s="6">
        <v>0.0</v>
      </c>
      <c r="M409" s="6" t="s">
        <v>3481</v>
      </c>
      <c r="N409" s="6" t="s">
        <v>2626</v>
      </c>
      <c r="O409" s="6" t="s">
        <v>2626</v>
      </c>
    </row>
    <row r="410">
      <c r="A410" s="6" t="s">
        <v>1004</v>
      </c>
      <c r="B410" s="6" t="s">
        <v>1004</v>
      </c>
      <c r="C410" s="6" t="s">
        <v>3482</v>
      </c>
      <c r="D410" s="6">
        <v>410.0</v>
      </c>
      <c r="E410" s="6" t="s">
        <v>140</v>
      </c>
      <c r="F410" s="6" t="s">
        <v>140</v>
      </c>
      <c r="G410" s="6" t="s">
        <v>140</v>
      </c>
      <c r="J410" s="6">
        <v>0.0</v>
      </c>
      <c r="L410" s="6">
        <v>0.0</v>
      </c>
      <c r="M410" s="6" t="s">
        <v>3483</v>
      </c>
      <c r="N410" s="6" t="s">
        <v>2626</v>
      </c>
      <c r="O410" s="6" t="s">
        <v>2626</v>
      </c>
    </row>
    <row r="411">
      <c r="A411" s="6" t="s">
        <v>1005</v>
      </c>
      <c r="B411" s="6" t="s">
        <v>1005</v>
      </c>
      <c r="C411" s="6" t="s">
        <v>3484</v>
      </c>
      <c r="D411" s="6">
        <v>411.0</v>
      </c>
      <c r="E411" s="6" t="s">
        <v>140</v>
      </c>
      <c r="F411" s="6" t="s">
        <v>140</v>
      </c>
      <c r="G411" s="6" t="s">
        <v>140</v>
      </c>
      <c r="J411" s="6">
        <v>0.0</v>
      </c>
      <c r="L411" s="6">
        <v>0.0</v>
      </c>
      <c r="M411" s="6" t="s">
        <v>3485</v>
      </c>
      <c r="N411" s="6" t="s">
        <v>2626</v>
      </c>
      <c r="O411" s="6" t="s">
        <v>2626</v>
      </c>
    </row>
    <row r="412">
      <c r="A412" s="6" t="s">
        <v>1006</v>
      </c>
      <c r="B412" s="6" t="s">
        <v>1006</v>
      </c>
      <c r="C412" s="6" t="s">
        <v>3486</v>
      </c>
      <c r="D412" s="6">
        <v>412.0</v>
      </c>
      <c r="E412" s="6" t="s">
        <v>140</v>
      </c>
      <c r="F412" s="6" t="s">
        <v>140</v>
      </c>
      <c r="G412" s="6" t="s">
        <v>140</v>
      </c>
      <c r="J412" s="6">
        <v>0.0</v>
      </c>
      <c r="L412" s="6">
        <v>0.0</v>
      </c>
      <c r="M412" s="6" t="s">
        <v>3487</v>
      </c>
      <c r="N412" s="6" t="s">
        <v>2626</v>
      </c>
      <c r="O412" s="6" t="s">
        <v>2626</v>
      </c>
    </row>
    <row r="413">
      <c r="A413" s="6" t="s">
        <v>1008</v>
      </c>
      <c r="B413" s="6" t="s">
        <v>1008</v>
      </c>
      <c r="C413" s="6" t="s">
        <v>3488</v>
      </c>
      <c r="D413" s="6">
        <v>413.0</v>
      </c>
      <c r="F413" s="6" t="s">
        <v>445</v>
      </c>
      <c r="G413" s="6" t="s">
        <v>26</v>
      </c>
      <c r="I413" s="6" t="s">
        <v>3419</v>
      </c>
      <c r="J413" s="6">
        <v>0.0</v>
      </c>
      <c r="L413" s="6">
        <v>2500.0</v>
      </c>
      <c r="M413" s="6" t="s">
        <v>3489</v>
      </c>
      <c r="N413" s="6" t="s">
        <v>2626</v>
      </c>
      <c r="O413" s="6" t="s">
        <v>2626</v>
      </c>
    </row>
    <row r="414">
      <c r="A414" s="6" t="s">
        <v>1010</v>
      </c>
      <c r="B414" s="6" t="s">
        <v>1010</v>
      </c>
      <c r="C414" s="6" t="s">
        <v>3490</v>
      </c>
      <c r="D414" s="6">
        <v>414.0</v>
      </c>
      <c r="F414" s="6" t="s">
        <v>54</v>
      </c>
      <c r="G414" s="6" t="s">
        <v>26</v>
      </c>
      <c r="I414" s="6" t="s">
        <v>3422</v>
      </c>
      <c r="J414" s="6">
        <v>0.0</v>
      </c>
      <c r="L414" s="6">
        <v>2500.0</v>
      </c>
      <c r="M414" s="6" t="s">
        <v>3491</v>
      </c>
      <c r="N414" s="6" t="s">
        <v>2626</v>
      </c>
      <c r="O414" s="6" t="s">
        <v>2626</v>
      </c>
    </row>
    <row r="415">
      <c r="A415" s="6" t="s">
        <v>1011</v>
      </c>
      <c r="B415" s="6" t="s">
        <v>1011</v>
      </c>
      <c r="C415" s="6" t="s">
        <v>3492</v>
      </c>
      <c r="D415" s="6">
        <v>415.0</v>
      </c>
      <c r="F415" s="6" t="s">
        <v>54</v>
      </c>
      <c r="G415" s="6" t="s">
        <v>26</v>
      </c>
      <c r="I415" s="6" t="s">
        <v>3422</v>
      </c>
      <c r="J415" s="6">
        <v>0.0</v>
      </c>
      <c r="L415" s="6">
        <v>2500.0</v>
      </c>
      <c r="M415" s="6" t="s">
        <v>3493</v>
      </c>
      <c r="N415" s="6" t="s">
        <v>2626</v>
      </c>
      <c r="O415" s="6" t="s">
        <v>2626</v>
      </c>
    </row>
    <row r="416">
      <c r="A416" s="6" t="s">
        <v>1013</v>
      </c>
      <c r="B416" s="6" t="s">
        <v>1013</v>
      </c>
      <c r="C416" s="6" t="s">
        <v>3494</v>
      </c>
      <c r="D416" s="6">
        <v>416.0</v>
      </c>
      <c r="F416" s="6" t="s">
        <v>70</v>
      </c>
      <c r="G416" s="6" t="s">
        <v>26</v>
      </c>
      <c r="I416" s="6" t="s">
        <v>3422</v>
      </c>
      <c r="J416" s="6">
        <v>0.0</v>
      </c>
      <c r="L416" s="6">
        <v>5000.0</v>
      </c>
      <c r="M416" s="6" t="s">
        <v>3495</v>
      </c>
      <c r="N416" s="6" t="s">
        <v>2626</v>
      </c>
      <c r="O416" s="6" t="s">
        <v>2626</v>
      </c>
    </row>
    <row r="417">
      <c r="A417" s="6" t="s">
        <v>1015</v>
      </c>
      <c r="B417" s="6" t="s">
        <v>1015</v>
      </c>
      <c r="C417" s="6" t="s">
        <v>3496</v>
      </c>
      <c r="D417" s="6">
        <v>417.0</v>
      </c>
      <c r="F417" s="6" t="s">
        <v>306</v>
      </c>
      <c r="G417" s="6" t="s">
        <v>26</v>
      </c>
      <c r="I417" s="6" t="s">
        <v>3422</v>
      </c>
      <c r="J417" s="6">
        <v>0.0</v>
      </c>
      <c r="L417" s="6">
        <v>200001.0</v>
      </c>
      <c r="M417" s="6" t="s">
        <v>3497</v>
      </c>
      <c r="N417" s="6" t="s">
        <v>2626</v>
      </c>
      <c r="O417" s="6" t="s">
        <v>2626</v>
      </c>
    </row>
    <row r="418">
      <c r="A418" s="6" t="s">
        <v>1017</v>
      </c>
      <c r="B418" s="6" t="s">
        <v>1017</v>
      </c>
      <c r="C418" s="6" t="s">
        <v>3498</v>
      </c>
      <c r="D418" s="6">
        <v>418.0</v>
      </c>
      <c r="F418" s="6" t="s">
        <v>855</v>
      </c>
      <c r="G418" s="6" t="s">
        <v>26</v>
      </c>
      <c r="I418" s="6" t="s">
        <v>3422</v>
      </c>
      <c r="J418" s="6">
        <v>0.0</v>
      </c>
      <c r="L418" s="6">
        <v>100000.0</v>
      </c>
      <c r="M418" s="6" t="s">
        <v>3499</v>
      </c>
      <c r="N418" s="6" t="s">
        <v>2626</v>
      </c>
      <c r="O418" s="6" t="s">
        <v>2626</v>
      </c>
    </row>
    <row r="419">
      <c r="A419" s="6" t="s">
        <v>1020</v>
      </c>
      <c r="B419" s="6" t="s">
        <v>1020</v>
      </c>
      <c r="C419" s="6" t="s">
        <v>3500</v>
      </c>
      <c r="D419" s="6">
        <v>419.0</v>
      </c>
      <c r="E419" s="6">
        <v>3.59811263248244E14</v>
      </c>
      <c r="F419" s="6" t="s">
        <v>855</v>
      </c>
      <c r="G419" s="6" t="s">
        <v>26</v>
      </c>
      <c r="I419" s="6" t="s">
        <v>3422</v>
      </c>
      <c r="J419" s="6">
        <v>0.0</v>
      </c>
      <c r="L419" s="6">
        <v>400000.0</v>
      </c>
      <c r="M419" s="6" t="s">
        <v>3501</v>
      </c>
      <c r="N419" s="6" t="s">
        <v>2626</v>
      </c>
      <c r="O419" s="6" t="s">
        <v>2626</v>
      </c>
    </row>
    <row r="420">
      <c r="A420" s="6" t="s">
        <v>1021</v>
      </c>
      <c r="B420" s="6" t="s">
        <v>1021</v>
      </c>
      <c r="C420" s="6" t="s">
        <v>3502</v>
      </c>
      <c r="D420" s="6">
        <v>420.0</v>
      </c>
      <c r="F420" s="6" t="s">
        <v>715</v>
      </c>
      <c r="G420" s="6" t="s">
        <v>26</v>
      </c>
      <c r="I420" s="6" t="s">
        <v>3422</v>
      </c>
      <c r="J420" s="6">
        <v>0.0</v>
      </c>
      <c r="L420" s="6">
        <v>3000.0</v>
      </c>
      <c r="M420" s="6" t="s">
        <v>3503</v>
      </c>
      <c r="N420" s="6" t="s">
        <v>2626</v>
      </c>
      <c r="O420" s="6" t="s">
        <v>2626</v>
      </c>
    </row>
    <row r="421">
      <c r="A421" s="6" t="s">
        <v>1022</v>
      </c>
      <c r="B421" s="6" t="s">
        <v>1022</v>
      </c>
      <c r="C421" s="6" t="s">
        <v>3504</v>
      </c>
      <c r="D421" s="6">
        <v>421.0</v>
      </c>
      <c r="E421" s="6" t="s">
        <v>195</v>
      </c>
      <c r="F421" s="6" t="s">
        <v>508</v>
      </c>
      <c r="G421" s="6" t="s">
        <v>140</v>
      </c>
      <c r="J421" s="6">
        <v>0.0</v>
      </c>
      <c r="L421" s="6">
        <v>0.0</v>
      </c>
      <c r="M421" s="6" t="s">
        <v>3505</v>
      </c>
      <c r="N421" s="6" t="s">
        <v>2626</v>
      </c>
      <c r="O421" s="6" t="s">
        <v>2626</v>
      </c>
    </row>
    <row r="422">
      <c r="A422" s="6" t="s">
        <v>1023</v>
      </c>
      <c r="B422" s="6" t="s">
        <v>1023</v>
      </c>
      <c r="C422" s="6" t="s">
        <v>3506</v>
      </c>
      <c r="D422" s="6">
        <v>422.0</v>
      </c>
      <c r="E422" s="6" t="s">
        <v>195</v>
      </c>
      <c r="F422" s="6" t="s">
        <v>508</v>
      </c>
      <c r="G422" s="6" t="s">
        <v>140</v>
      </c>
      <c r="J422" s="6">
        <v>0.0</v>
      </c>
      <c r="L422" s="6">
        <v>0.0</v>
      </c>
      <c r="M422" s="6" t="s">
        <v>3507</v>
      </c>
      <c r="N422" s="6" t="s">
        <v>2626</v>
      </c>
      <c r="O422" s="6" t="s">
        <v>2626</v>
      </c>
    </row>
    <row r="423">
      <c r="A423" s="6" t="s">
        <v>1024</v>
      </c>
      <c r="B423" s="6" t="s">
        <v>1024</v>
      </c>
      <c r="C423" s="6" t="s">
        <v>3508</v>
      </c>
      <c r="D423" s="6">
        <v>423.0</v>
      </c>
      <c r="E423" s="6" t="s">
        <v>195</v>
      </c>
      <c r="F423" s="6" t="s">
        <v>508</v>
      </c>
      <c r="G423" s="6" t="s">
        <v>140</v>
      </c>
      <c r="J423" s="6">
        <v>0.0</v>
      </c>
      <c r="L423" s="6">
        <v>0.0</v>
      </c>
      <c r="M423" s="6" t="s">
        <v>3509</v>
      </c>
      <c r="N423" s="6" t="s">
        <v>2626</v>
      </c>
      <c r="O423" s="6" t="s">
        <v>2626</v>
      </c>
    </row>
    <row r="424">
      <c r="A424" s="6" t="s">
        <v>1025</v>
      </c>
      <c r="B424" s="6" t="s">
        <v>1025</v>
      </c>
      <c r="C424" s="6" t="s">
        <v>3510</v>
      </c>
      <c r="D424" s="6">
        <v>424.0</v>
      </c>
      <c r="E424" s="6" t="s">
        <v>195</v>
      </c>
      <c r="F424" s="6" t="s">
        <v>508</v>
      </c>
      <c r="G424" s="6" t="s">
        <v>140</v>
      </c>
      <c r="J424" s="6">
        <v>0.0</v>
      </c>
      <c r="L424" s="6">
        <v>0.0</v>
      </c>
      <c r="M424" s="6" t="s">
        <v>3511</v>
      </c>
      <c r="N424" s="6" t="s">
        <v>2626</v>
      </c>
      <c r="O424" s="6" t="s">
        <v>2626</v>
      </c>
    </row>
    <row r="425">
      <c r="A425" s="6" t="s">
        <v>1028</v>
      </c>
      <c r="B425" s="6" t="s">
        <v>1028</v>
      </c>
      <c r="C425" s="6" t="s">
        <v>3512</v>
      </c>
      <c r="D425" s="6">
        <v>425.0</v>
      </c>
      <c r="E425" s="6">
        <v>3.53249104500786E14</v>
      </c>
      <c r="F425" s="6" t="s">
        <v>70</v>
      </c>
      <c r="G425" s="6" t="s">
        <v>26</v>
      </c>
      <c r="I425" s="6" t="s">
        <v>3425</v>
      </c>
      <c r="J425" s="6">
        <v>0.0</v>
      </c>
      <c r="L425" s="6">
        <v>280000.0</v>
      </c>
      <c r="M425" s="6" t="s">
        <v>3513</v>
      </c>
      <c r="N425" s="6" t="s">
        <v>2626</v>
      </c>
      <c r="O425" s="6" t="s">
        <v>2626</v>
      </c>
    </row>
    <row r="426">
      <c r="A426" s="6" t="s">
        <v>1030</v>
      </c>
      <c r="B426" s="6" t="s">
        <v>1030</v>
      </c>
      <c r="C426" s="6" t="s">
        <v>3514</v>
      </c>
      <c r="D426" s="6">
        <v>426.0</v>
      </c>
      <c r="F426" s="6" t="s">
        <v>855</v>
      </c>
      <c r="G426" s="6" t="s">
        <v>26</v>
      </c>
      <c r="I426" s="6" t="s">
        <v>3425</v>
      </c>
      <c r="J426" s="6">
        <v>0.0</v>
      </c>
      <c r="L426" s="6">
        <v>500000.0</v>
      </c>
      <c r="M426" s="6" t="s">
        <v>3515</v>
      </c>
      <c r="N426" s="6" t="s">
        <v>2626</v>
      </c>
      <c r="O426" s="6" t="s">
        <v>2626</v>
      </c>
    </row>
    <row r="427">
      <c r="A427" s="6" t="s">
        <v>1032</v>
      </c>
      <c r="B427" s="6" t="s">
        <v>1032</v>
      </c>
      <c r="C427" s="6" t="s">
        <v>3516</v>
      </c>
      <c r="D427" s="6">
        <v>427.0</v>
      </c>
      <c r="F427" s="6" t="s">
        <v>1031</v>
      </c>
      <c r="G427" s="6" t="s">
        <v>26</v>
      </c>
      <c r="I427" s="6" t="s">
        <v>3425</v>
      </c>
      <c r="J427" s="6">
        <v>0.0</v>
      </c>
      <c r="L427" s="6">
        <v>2500.0</v>
      </c>
      <c r="M427" s="6" t="s">
        <v>3517</v>
      </c>
      <c r="N427" s="6" t="s">
        <v>2626</v>
      </c>
      <c r="O427" s="6" t="s">
        <v>2626</v>
      </c>
    </row>
    <row r="428">
      <c r="A428" s="6" t="s">
        <v>1033</v>
      </c>
      <c r="B428" s="6" t="s">
        <v>1033</v>
      </c>
      <c r="C428" s="6" t="s">
        <v>3518</v>
      </c>
      <c r="D428" s="6">
        <v>428.0</v>
      </c>
      <c r="E428" s="6" t="s">
        <v>140</v>
      </c>
      <c r="F428" s="6" t="s">
        <v>508</v>
      </c>
      <c r="G428" s="6" t="s">
        <v>285</v>
      </c>
      <c r="J428" s="6">
        <v>0.0</v>
      </c>
      <c r="L428" s="6">
        <v>0.0</v>
      </c>
      <c r="M428" s="6" t="s">
        <v>3519</v>
      </c>
      <c r="N428" s="6" t="s">
        <v>2626</v>
      </c>
      <c r="O428" s="6" t="s">
        <v>2626</v>
      </c>
    </row>
    <row r="429">
      <c r="A429" s="6" t="s">
        <v>1034</v>
      </c>
      <c r="B429" s="6" t="s">
        <v>1034</v>
      </c>
      <c r="C429" s="6" t="s">
        <v>3520</v>
      </c>
      <c r="D429" s="6">
        <v>429.0</v>
      </c>
      <c r="E429" s="6" t="s">
        <v>140</v>
      </c>
      <c r="F429" s="6" t="s">
        <v>508</v>
      </c>
      <c r="G429" s="6" t="s">
        <v>285</v>
      </c>
      <c r="J429" s="6">
        <v>0.0</v>
      </c>
      <c r="L429" s="6">
        <v>0.0</v>
      </c>
      <c r="M429" s="6" t="s">
        <v>3521</v>
      </c>
      <c r="N429" s="6" t="s">
        <v>2626</v>
      </c>
      <c r="O429" s="6" t="s">
        <v>2626</v>
      </c>
    </row>
    <row r="430">
      <c r="A430" s="6" t="s">
        <v>1035</v>
      </c>
      <c r="B430" s="6" t="s">
        <v>1035</v>
      </c>
      <c r="C430" s="6" t="s">
        <v>3522</v>
      </c>
      <c r="D430" s="6">
        <v>430.0</v>
      </c>
      <c r="E430" s="6" t="s">
        <v>140</v>
      </c>
      <c r="F430" s="6" t="s">
        <v>508</v>
      </c>
      <c r="G430" s="6" t="s">
        <v>285</v>
      </c>
      <c r="J430" s="6">
        <v>0.0</v>
      </c>
      <c r="L430" s="6">
        <v>0.0</v>
      </c>
      <c r="M430" s="6" t="s">
        <v>3523</v>
      </c>
      <c r="N430" s="6" t="s">
        <v>2626</v>
      </c>
      <c r="O430" s="6" t="s">
        <v>2626</v>
      </c>
    </row>
    <row r="431">
      <c r="A431" s="6" t="s">
        <v>1037</v>
      </c>
      <c r="B431" s="6" t="s">
        <v>1037</v>
      </c>
      <c r="C431" s="6" t="s">
        <v>3524</v>
      </c>
      <c r="D431" s="6">
        <v>431.0</v>
      </c>
      <c r="F431" s="6" t="s">
        <v>64</v>
      </c>
      <c r="G431" s="6" t="s">
        <v>26</v>
      </c>
      <c r="I431" s="6" t="s">
        <v>3525</v>
      </c>
      <c r="J431" s="6">
        <v>0.0</v>
      </c>
      <c r="L431" s="6">
        <v>2500.0</v>
      </c>
      <c r="M431" s="6" t="s">
        <v>3526</v>
      </c>
      <c r="N431" s="6" t="s">
        <v>2626</v>
      </c>
      <c r="O431" s="6" t="s">
        <v>2626</v>
      </c>
    </row>
    <row r="432">
      <c r="A432" s="6" t="s">
        <v>1039</v>
      </c>
      <c r="B432" s="6" t="s">
        <v>1039</v>
      </c>
      <c r="C432" s="6" t="s">
        <v>3527</v>
      </c>
      <c r="D432" s="6">
        <v>432.0</v>
      </c>
      <c r="F432" s="6" t="s">
        <v>78</v>
      </c>
      <c r="G432" s="6" t="s">
        <v>26</v>
      </c>
      <c r="I432" s="6" t="s">
        <v>3528</v>
      </c>
      <c r="J432" s="6">
        <v>0.0</v>
      </c>
      <c r="L432" s="6">
        <v>2500.0</v>
      </c>
      <c r="M432" s="6" t="s">
        <v>3529</v>
      </c>
      <c r="N432" s="6" t="s">
        <v>2626</v>
      </c>
      <c r="O432" s="6" t="s">
        <v>2626</v>
      </c>
    </row>
    <row r="433">
      <c r="A433" s="6" t="s">
        <v>1043</v>
      </c>
      <c r="B433" s="6" t="s">
        <v>1043</v>
      </c>
      <c r="C433" s="6" t="s">
        <v>3530</v>
      </c>
      <c r="D433" s="6">
        <v>433.0</v>
      </c>
      <c r="E433" s="6">
        <v>3.5417850788467E14</v>
      </c>
      <c r="F433" s="6" t="s">
        <v>1040</v>
      </c>
      <c r="G433" s="6" t="s">
        <v>26</v>
      </c>
      <c r="I433" s="6" t="s">
        <v>3525</v>
      </c>
      <c r="J433" s="6">
        <v>0.0</v>
      </c>
      <c r="L433" s="6">
        <v>830000.0</v>
      </c>
      <c r="M433" s="6" t="s">
        <v>3531</v>
      </c>
      <c r="N433" s="6" t="s">
        <v>2626</v>
      </c>
      <c r="O433" s="6" t="s">
        <v>2626</v>
      </c>
    </row>
    <row r="434">
      <c r="A434" s="6" t="s">
        <v>1046</v>
      </c>
      <c r="B434" s="6" t="s">
        <v>1046</v>
      </c>
      <c r="C434" s="6" t="s">
        <v>3532</v>
      </c>
      <c r="D434" s="6">
        <v>434.0</v>
      </c>
      <c r="F434" s="6" t="s">
        <v>1044</v>
      </c>
      <c r="G434" s="6" t="s">
        <v>26</v>
      </c>
      <c r="I434" s="6" t="s">
        <v>3525</v>
      </c>
      <c r="J434" s="6">
        <v>0.0</v>
      </c>
      <c r="L434" s="6">
        <v>15000.0</v>
      </c>
      <c r="M434" s="6" t="s">
        <v>3533</v>
      </c>
      <c r="N434" s="6" t="s">
        <v>2626</v>
      </c>
      <c r="O434" s="6" t="s">
        <v>2626</v>
      </c>
    </row>
    <row r="435">
      <c r="A435" s="6" t="s">
        <v>1049</v>
      </c>
      <c r="B435" s="6" t="s">
        <v>1049</v>
      </c>
      <c r="C435" s="6" t="s">
        <v>3534</v>
      </c>
      <c r="D435" s="6">
        <v>435.0</v>
      </c>
      <c r="F435" s="6" t="s">
        <v>1047</v>
      </c>
      <c r="G435" s="6" t="s">
        <v>26</v>
      </c>
      <c r="I435" s="6" t="s">
        <v>3525</v>
      </c>
      <c r="J435" s="6">
        <v>0.0</v>
      </c>
      <c r="L435" s="6">
        <v>200000.0</v>
      </c>
      <c r="M435" s="6" t="s">
        <v>3535</v>
      </c>
      <c r="N435" s="6" t="s">
        <v>2626</v>
      </c>
      <c r="O435" s="6" t="s">
        <v>2626</v>
      </c>
    </row>
    <row r="436">
      <c r="A436" s="6" t="s">
        <v>1052</v>
      </c>
      <c r="B436" s="6" t="s">
        <v>1052</v>
      </c>
      <c r="C436" s="6" t="s">
        <v>3536</v>
      </c>
      <c r="D436" s="6">
        <v>436.0</v>
      </c>
      <c r="F436" s="6" t="s">
        <v>1050</v>
      </c>
      <c r="G436" s="6" t="s">
        <v>26</v>
      </c>
      <c r="I436" s="6" t="s">
        <v>3525</v>
      </c>
      <c r="J436" s="6">
        <v>0.0</v>
      </c>
      <c r="L436" s="6">
        <v>8000.0</v>
      </c>
      <c r="M436" s="6" t="s">
        <v>3537</v>
      </c>
      <c r="N436" s="6" t="s">
        <v>2626</v>
      </c>
      <c r="O436" s="6" t="s">
        <v>2626</v>
      </c>
    </row>
    <row r="437">
      <c r="A437" s="6" t="s">
        <v>1055</v>
      </c>
      <c r="B437" s="6" t="s">
        <v>1055</v>
      </c>
      <c r="C437" s="6" t="s">
        <v>3538</v>
      </c>
      <c r="D437" s="6">
        <v>437.0</v>
      </c>
      <c r="F437" s="6" t="s">
        <v>1053</v>
      </c>
      <c r="G437" s="6" t="s">
        <v>26</v>
      </c>
      <c r="I437" s="6" t="s">
        <v>3525</v>
      </c>
      <c r="J437" s="6">
        <v>0.0</v>
      </c>
      <c r="L437" s="6">
        <v>15000.0</v>
      </c>
      <c r="M437" s="6" t="s">
        <v>3539</v>
      </c>
      <c r="N437" s="6" t="s">
        <v>2626</v>
      </c>
      <c r="O437" s="6" t="s">
        <v>2626</v>
      </c>
    </row>
    <row r="438">
      <c r="A438" s="6" t="s">
        <v>1058</v>
      </c>
      <c r="B438" s="6" t="s">
        <v>1058</v>
      </c>
      <c r="C438" s="6" t="s">
        <v>3540</v>
      </c>
      <c r="D438" s="6">
        <v>438.0</v>
      </c>
      <c r="F438" s="6" t="s">
        <v>1056</v>
      </c>
      <c r="G438" s="6" t="s">
        <v>26</v>
      </c>
      <c r="I438" s="6" t="s">
        <v>3525</v>
      </c>
      <c r="J438" s="6">
        <v>0.0</v>
      </c>
      <c r="L438" s="6">
        <v>10000.0</v>
      </c>
      <c r="M438" s="6" t="s">
        <v>3541</v>
      </c>
      <c r="N438" s="6" t="s">
        <v>2626</v>
      </c>
      <c r="O438" s="6" t="s">
        <v>2626</v>
      </c>
    </row>
    <row r="439">
      <c r="A439" s="6" t="s">
        <v>1060</v>
      </c>
      <c r="B439" s="6" t="s">
        <v>1060</v>
      </c>
      <c r="C439" s="6" t="s">
        <v>3542</v>
      </c>
      <c r="D439" s="6">
        <v>439.0</v>
      </c>
      <c r="F439" s="6" t="s">
        <v>364</v>
      </c>
      <c r="G439" s="6" t="s">
        <v>26</v>
      </c>
      <c r="I439" s="6" t="s">
        <v>3525</v>
      </c>
      <c r="J439" s="6">
        <v>0.0</v>
      </c>
      <c r="L439" s="6">
        <v>2500.0</v>
      </c>
      <c r="M439" s="6" t="s">
        <v>3543</v>
      </c>
      <c r="N439" s="6" t="s">
        <v>2626</v>
      </c>
      <c r="O439" s="6" t="s">
        <v>2626</v>
      </c>
    </row>
    <row r="440">
      <c r="A440" s="6" t="s">
        <v>1061</v>
      </c>
      <c r="B440" s="6" t="s">
        <v>1061</v>
      </c>
      <c r="C440" s="6" t="s">
        <v>3544</v>
      </c>
      <c r="D440" s="6">
        <v>440.0</v>
      </c>
      <c r="E440" s="6" t="s">
        <v>195</v>
      </c>
      <c r="F440" s="6" t="s">
        <v>508</v>
      </c>
      <c r="G440" s="6" t="s">
        <v>140</v>
      </c>
      <c r="J440" s="6">
        <v>0.0</v>
      </c>
      <c r="L440" s="6">
        <v>0.0</v>
      </c>
      <c r="M440" s="6" t="s">
        <v>3545</v>
      </c>
      <c r="N440" s="6" t="s">
        <v>2626</v>
      </c>
      <c r="O440" s="6" t="s">
        <v>2626</v>
      </c>
    </row>
    <row r="441">
      <c r="A441" s="6" t="s">
        <v>1062</v>
      </c>
      <c r="B441" s="6" t="s">
        <v>1062</v>
      </c>
      <c r="C441" s="6" t="s">
        <v>3546</v>
      </c>
      <c r="D441" s="6">
        <v>441.0</v>
      </c>
      <c r="E441" s="6" t="s">
        <v>195</v>
      </c>
      <c r="F441" s="6" t="s">
        <v>508</v>
      </c>
      <c r="G441" s="6" t="s">
        <v>140</v>
      </c>
      <c r="J441" s="6">
        <v>0.0</v>
      </c>
      <c r="L441" s="6">
        <v>0.0</v>
      </c>
      <c r="M441" s="6" t="s">
        <v>3547</v>
      </c>
      <c r="N441" s="6" t="s">
        <v>2626</v>
      </c>
      <c r="O441" s="6" t="s">
        <v>2626</v>
      </c>
    </row>
    <row r="442">
      <c r="A442" s="6" t="s">
        <v>1063</v>
      </c>
      <c r="B442" s="6" t="s">
        <v>1063</v>
      </c>
      <c r="C442" s="6" t="s">
        <v>3548</v>
      </c>
      <c r="D442" s="6">
        <v>442.0</v>
      </c>
      <c r="E442" s="6" t="s">
        <v>195</v>
      </c>
      <c r="F442" s="6" t="s">
        <v>508</v>
      </c>
      <c r="G442" s="6" t="s">
        <v>140</v>
      </c>
      <c r="J442" s="6">
        <v>0.0</v>
      </c>
      <c r="L442" s="6">
        <v>0.0</v>
      </c>
      <c r="M442" s="6" t="s">
        <v>3549</v>
      </c>
      <c r="N442" s="6" t="s">
        <v>2626</v>
      </c>
      <c r="O442" s="6" t="s">
        <v>2626</v>
      </c>
    </row>
    <row r="443">
      <c r="A443" s="6" t="s">
        <v>1065</v>
      </c>
      <c r="B443" s="6" t="s">
        <v>1065</v>
      </c>
      <c r="C443" s="6" t="s">
        <v>3550</v>
      </c>
      <c r="D443" s="6">
        <v>443.0</v>
      </c>
      <c r="F443" s="6" t="s">
        <v>23</v>
      </c>
      <c r="G443" s="6" t="s">
        <v>26</v>
      </c>
      <c r="I443" s="6" t="s">
        <v>3551</v>
      </c>
      <c r="J443" s="6">
        <v>0.0</v>
      </c>
      <c r="L443" s="6">
        <v>2500.0</v>
      </c>
      <c r="M443" s="6" t="s">
        <v>3552</v>
      </c>
      <c r="N443" s="6" t="s">
        <v>2626</v>
      </c>
      <c r="O443" s="6" t="s">
        <v>2626</v>
      </c>
    </row>
    <row r="444">
      <c r="A444" s="6" t="s">
        <v>1067</v>
      </c>
      <c r="B444" s="6" t="s">
        <v>1067</v>
      </c>
      <c r="C444" s="6" t="s">
        <v>3553</v>
      </c>
      <c r="D444" s="6">
        <v>444.0</v>
      </c>
      <c r="F444" s="6" t="s">
        <v>248</v>
      </c>
      <c r="G444" s="6" t="s">
        <v>26</v>
      </c>
      <c r="I444" s="6" t="s">
        <v>3554</v>
      </c>
      <c r="J444" s="6">
        <v>0.0</v>
      </c>
      <c r="L444" s="6">
        <v>5000.0</v>
      </c>
      <c r="M444" s="6" t="s">
        <v>3555</v>
      </c>
      <c r="N444" s="6" t="s">
        <v>2626</v>
      </c>
      <c r="O444" s="6" t="s">
        <v>2626</v>
      </c>
    </row>
    <row r="445">
      <c r="A445" s="6" t="s">
        <v>1069</v>
      </c>
      <c r="B445" s="6" t="s">
        <v>1069</v>
      </c>
      <c r="C445" s="6" t="s">
        <v>3556</v>
      </c>
      <c r="D445" s="6">
        <v>445.0</v>
      </c>
      <c r="F445" s="6" t="s">
        <v>306</v>
      </c>
      <c r="G445" s="6" t="s">
        <v>26</v>
      </c>
      <c r="I445" s="6" t="s">
        <v>3551</v>
      </c>
      <c r="J445" s="6">
        <v>0.0</v>
      </c>
      <c r="L445" s="6">
        <v>300000.0</v>
      </c>
      <c r="M445" s="6" t="s">
        <v>3557</v>
      </c>
      <c r="N445" s="6" t="s">
        <v>2626</v>
      </c>
      <c r="O445" s="6" t="s">
        <v>2626</v>
      </c>
    </row>
    <row r="446">
      <c r="A446" s="6" t="s">
        <v>1071</v>
      </c>
      <c r="B446" s="6" t="s">
        <v>1071</v>
      </c>
      <c r="C446" s="6" t="s">
        <v>3558</v>
      </c>
      <c r="D446" s="6">
        <v>446.0</v>
      </c>
      <c r="F446" s="6" t="s">
        <v>445</v>
      </c>
      <c r="G446" s="6" t="s">
        <v>26</v>
      </c>
      <c r="I446" s="6" t="s">
        <v>3551</v>
      </c>
      <c r="J446" s="6">
        <v>0.0</v>
      </c>
      <c r="L446" s="6">
        <v>2500.0</v>
      </c>
      <c r="M446" s="6" t="s">
        <v>3559</v>
      </c>
      <c r="N446" s="6" t="s">
        <v>2626</v>
      </c>
      <c r="O446" s="6" t="s">
        <v>2626</v>
      </c>
    </row>
    <row r="447">
      <c r="A447" s="6" t="s">
        <v>1074</v>
      </c>
      <c r="B447" s="6" t="s">
        <v>1074</v>
      </c>
      <c r="C447" s="6" t="s">
        <v>3560</v>
      </c>
      <c r="D447" s="6">
        <v>447.0</v>
      </c>
      <c r="E447" s="6">
        <v>3.53926106063562E14</v>
      </c>
      <c r="F447" s="6" t="s">
        <v>105</v>
      </c>
      <c r="G447" s="6" t="s">
        <v>103</v>
      </c>
      <c r="J447" s="6">
        <v>0.0</v>
      </c>
      <c r="L447" s="6">
        <v>0.0</v>
      </c>
      <c r="M447" s="6" t="s">
        <v>3561</v>
      </c>
      <c r="N447" s="6" t="s">
        <v>2626</v>
      </c>
      <c r="O447" s="6" t="s">
        <v>2626</v>
      </c>
    </row>
    <row r="448">
      <c r="A448" s="6" t="s">
        <v>1076</v>
      </c>
      <c r="B448" s="6" t="s">
        <v>1076</v>
      </c>
      <c r="C448" s="6" t="s">
        <v>3562</v>
      </c>
      <c r="D448" s="6">
        <v>448.0</v>
      </c>
      <c r="F448" s="6" t="s">
        <v>445</v>
      </c>
      <c r="G448" s="6" t="s">
        <v>26</v>
      </c>
      <c r="I448" s="6" t="s">
        <v>3551</v>
      </c>
      <c r="J448" s="6">
        <v>0.0</v>
      </c>
      <c r="L448" s="6">
        <v>5000.0</v>
      </c>
      <c r="M448" s="6" t="s">
        <v>3563</v>
      </c>
      <c r="N448" s="6" t="s">
        <v>2626</v>
      </c>
      <c r="O448" s="6" t="s">
        <v>2626</v>
      </c>
    </row>
    <row r="449">
      <c r="A449" s="6" t="s">
        <v>1079</v>
      </c>
      <c r="B449" s="6" t="s">
        <v>1079</v>
      </c>
      <c r="C449" s="6" t="s">
        <v>3564</v>
      </c>
      <c r="D449" s="6">
        <v>449.0</v>
      </c>
      <c r="E449" s="6">
        <v>3.56483109107191E14</v>
      </c>
      <c r="F449" s="6" t="s">
        <v>400</v>
      </c>
      <c r="G449" s="6" t="s">
        <v>103</v>
      </c>
      <c r="J449" s="6">
        <v>0.0</v>
      </c>
      <c r="L449" s="6">
        <v>0.0</v>
      </c>
      <c r="M449" s="6" t="s">
        <v>3565</v>
      </c>
      <c r="N449" s="6" t="s">
        <v>2626</v>
      </c>
      <c r="O449" s="6" t="s">
        <v>2626</v>
      </c>
    </row>
    <row r="450">
      <c r="A450" s="6" t="s">
        <v>1080</v>
      </c>
      <c r="B450" s="6" t="s">
        <v>1080</v>
      </c>
      <c r="C450" s="6" t="s">
        <v>3566</v>
      </c>
      <c r="D450" s="6">
        <v>450.0</v>
      </c>
      <c r="E450" s="6" t="s">
        <v>195</v>
      </c>
      <c r="F450" s="6" t="s">
        <v>508</v>
      </c>
      <c r="G450" s="6" t="s">
        <v>140</v>
      </c>
      <c r="J450" s="6">
        <v>0.0</v>
      </c>
      <c r="L450" s="6">
        <v>0.0</v>
      </c>
      <c r="M450" s="6" t="s">
        <v>3567</v>
      </c>
      <c r="N450" s="6" t="s">
        <v>2626</v>
      </c>
      <c r="O450" s="6" t="s">
        <v>2626</v>
      </c>
    </row>
    <row r="451">
      <c r="A451" s="6" t="s">
        <v>1081</v>
      </c>
      <c r="B451" s="6" t="s">
        <v>1081</v>
      </c>
      <c r="C451" s="6" t="s">
        <v>3568</v>
      </c>
      <c r="D451" s="6">
        <v>451.0</v>
      </c>
      <c r="E451" s="6" t="s">
        <v>195</v>
      </c>
      <c r="F451" s="6" t="s">
        <v>508</v>
      </c>
      <c r="G451" s="6" t="s">
        <v>140</v>
      </c>
      <c r="J451" s="6">
        <v>0.0</v>
      </c>
      <c r="L451" s="6">
        <v>0.0</v>
      </c>
      <c r="M451" s="6" t="s">
        <v>3569</v>
      </c>
      <c r="N451" s="6" t="s">
        <v>2626</v>
      </c>
      <c r="O451" s="6" t="s">
        <v>2626</v>
      </c>
    </row>
    <row r="452">
      <c r="A452" s="6" t="s">
        <v>1082</v>
      </c>
      <c r="B452" s="6" t="s">
        <v>1082</v>
      </c>
      <c r="C452" s="6" t="s">
        <v>3570</v>
      </c>
      <c r="D452" s="6">
        <v>452.0</v>
      </c>
      <c r="E452" s="6" t="s">
        <v>195</v>
      </c>
      <c r="F452" s="6" t="s">
        <v>508</v>
      </c>
      <c r="G452" s="6" t="s">
        <v>140</v>
      </c>
      <c r="J452" s="6">
        <v>0.0</v>
      </c>
      <c r="L452" s="6">
        <v>0.0</v>
      </c>
      <c r="M452" s="6" t="s">
        <v>3571</v>
      </c>
      <c r="N452" s="6" t="s">
        <v>2626</v>
      </c>
      <c r="O452" s="6" t="s">
        <v>2626</v>
      </c>
    </row>
    <row r="453">
      <c r="A453" s="6" t="s">
        <v>1084</v>
      </c>
      <c r="B453" s="6" t="s">
        <v>1084</v>
      </c>
      <c r="C453" s="6" t="s">
        <v>3572</v>
      </c>
      <c r="D453" s="6">
        <v>453.0</v>
      </c>
      <c r="F453" s="6" t="s">
        <v>319</v>
      </c>
      <c r="G453" s="6" t="s">
        <v>26</v>
      </c>
      <c r="I453" s="6" t="s">
        <v>3554</v>
      </c>
      <c r="J453" s="6">
        <v>0.0</v>
      </c>
      <c r="L453" s="6">
        <v>2500.0</v>
      </c>
      <c r="M453" s="6" t="s">
        <v>3573</v>
      </c>
      <c r="N453" s="6" t="s">
        <v>2626</v>
      </c>
      <c r="O453" s="6" t="s">
        <v>2626</v>
      </c>
    </row>
    <row r="454">
      <c r="A454" s="6" t="s">
        <v>1086</v>
      </c>
      <c r="B454" s="6" t="s">
        <v>1086</v>
      </c>
      <c r="C454" s="6" t="s">
        <v>3574</v>
      </c>
      <c r="D454" s="6">
        <v>454.0</v>
      </c>
      <c r="F454" s="6" t="s">
        <v>248</v>
      </c>
      <c r="G454" s="6" t="s">
        <v>26</v>
      </c>
      <c r="I454" s="6" t="s">
        <v>3575</v>
      </c>
      <c r="J454" s="6">
        <v>0.0</v>
      </c>
      <c r="L454" s="6">
        <v>10000.0</v>
      </c>
      <c r="M454" s="6" t="s">
        <v>3576</v>
      </c>
      <c r="N454" s="6" t="s">
        <v>2626</v>
      </c>
      <c r="O454" s="6" t="s">
        <v>2626</v>
      </c>
    </row>
    <row r="455">
      <c r="A455" s="6" t="s">
        <v>1088</v>
      </c>
      <c r="B455" s="6" t="s">
        <v>1088</v>
      </c>
      <c r="C455" s="6" t="s">
        <v>3577</v>
      </c>
      <c r="D455" s="6">
        <v>455.0</v>
      </c>
      <c r="F455" s="6" t="s">
        <v>400</v>
      </c>
      <c r="G455" s="6" t="s">
        <v>26</v>
      </c>
      <c r="I455" s="6" t="s">
        <v>3554</v>
      </c>
      <c r="J455" s="6">
        <v>0.0</v>
      </c>
      <c r="L455" s="6">
        <v>2500.0</v>
      </c>
      <c r="M455" s="6" t="s">
        <v>3578</v>
      </c>
      <c r="N455" s="6" t="s">
        <v>2626</v>
      </c>
      <c r="O455" s="6" t="s">
        <v>2626</v>
      </c>
    </row>
    <row r="456">
      <c r="A456" s="6" t="s">
        <v>1090</v>
      </c>
      <c r="B456" s="6" t="s">
        <v>1090</v>
      </c>
      <c r="C456" s="6" t="s">
        <v>3579</v>
      </c>
      <c r="D456" s="6">
        <v>456.0</v>
      </c>
      <c r="F456" s="6" t="s">
        <v>46</v>
      </c>
      <c r="G456" s="6" t="s">
        <v>26</v>
      </c>
      <c r="I456" s="6" t="s">
        <v>3554</v>
      </c>
      <c r="J456" s="6">
        <v>0.0</v>
      </c>
      <c r="L456" s="6">
        <v>5000.0</v>
      </c>
      <c r="M456" s="6" t="s">
        <v>3580</v>
      </c>
      <c r="N456" s="6" t="s">
        <v>2626</v>
      </c>
      <c r="O456" s="6" t="s">
        <v>2626</v>
      </c>
    </row>
    <row r="457">
      <c r="A457" s="6" t="s">
        <v>1092</v>
      </c>
      <c r="B457" s="6" t="s">
        <v>1092</v>
      </c>
      <c r="C457" s="6" t="s">
        <v>3581</v>
      </c>
      <c r="D457" s="6">
        <v>457.0</v>
      </c>
      <c r="F457" s="6" t="s">
        <v>54</v>
      </c>
      <c r="G457" s="6" t="s">
        <v>26</v>
      </c>
      <c r="I457" s="6" t="s">
        <v>3554</v>
      </c>
      <c r="J457" s="6">
        <v>0.0</v>
      </c>
      <c r="L457" s="6">
        <v>5000.0</v>
      </c>
      <c r="M457" s="6" t="s">
        <v>3582</v>
      </c>
      <c r="N457" s="6" t="s">
        <v>2626</v>
      </c>
      <c r="O457" s="6" t="s">
        <v>2626</v>
      </c>
    </row>
    <row r="458">
      <c r="A458" s="6" t="s">
        <v>1096</v>
      </c>
      <c r="B458" s="6" t="s">
        <v>1096</v>
      </c>
      <c r="C458" s="6" t="s">
        <v>3583</v>
      </c>
      <c r="D458" s="6">
        <v>458.0</v>
      </c>
      <c r="F458" s="6" t="s">
        <v>1093</v>
      </c>
      <c r="G458" s="6" t="s">
        <v>26</v>
      </c>
      <c r="I458" s="6" t="s">
        <v>3554</v>
      </c>
      <c r="J458" s="6">
        <v>0.0</v>
      </c>
      <c r="L458" s="6">
        <v>8000.0</v>
      </c>
      <c r="M458" s="6" t="s">
        <v>3584</v>
      </c>
      <c r="N458" s="6" t="s">
        <v>2626</v>
      </c>
      <c r="O458" s="6" t="s">
        <v>2626</v>
      </c>
    </row>
    <row r="459">
      <c r="A459" s="6" t="s">
        <v>1098</v>
      </c>
      <c r="B459" s="6" t="s">
        <v>1098</v>
      </c>
      <c r="C459" s="6" t="s">
        <v>3585</v>
      </c>
      <c r="D459" s="6">
        <v>459.0</v>
      </c>
      <c r="F459" s="6" t="s">
        <v>535</v>
      </c>
      <c r="G459" s="6" t="s">
        <v>26</v>
      </c>
      <c r="I459" s="6" t="s">
        <v>3575</v>
      </c>
      <c r="J459" s="6">
        <v>0.0</v>
      </c>
      <c r="L459" s="6">
        <v>2500.0</v>
      </c>
      <c r="M459" s="6" t="s">
        <v>3586</v>
      </c>
      <c r="N459" s="6" t="s">
        <v>2626</v>
      </c>
      <c r="O459" s="6" t="s">
        <v>2626</v>
      </c>
    </row>
    <row r="460">
      <c r="A460" s="6" t="s">
        <v>1100</v>
      </c>
      <c r="B460" s="6" t="s">
        <v>1100</v>
      </c>
      <c r="C460" s="6" t="s">
        <v>3587</v>
      </c>
      <c r="D460" s="6">
        <v>460.0</v>
      </c>
      <c r="F460" s="6" t="s">
        <v>267</v>
      </c>
      <c r="G460" s="6" t="s">
        <v>26</v>
      </c>
      <c r="I460" s="6" t="s">
        <v>3588</v>
      </c>
      <c r="J460" s="6">
        <v>0.0</v>
      </c>
      <c r="L460" s="6">
        <v>2500.0</v>
      </c>
      <c r="M460" s="6" t="s">
        <v>3589</v>
      </c>
      <c r="N460" s="6" t="s">
        <v>2626</v>
      </c>
      <c r="O460" s="6" t="s">
        <v>2626</v>
      </c>
    </row>
    <row r="461">
      <c r="A461" s="6" t="s">
        <v>1102</v>
      </c>
      <c r="B461" s="6" t="s">
        <v>1102</v>
      </c>
      <c r="C461" s="6" t="s">
        <v>3590</v>
      </c>
      <c r="D461" s="6">
        <v>461.0</v>
      </c>
      <c r="E461" s="6">
        <v>3.544232352157E14</v>
      </c>
      <c r="F461" s="6" t="s">
        <v>741</v>
      </c>
      <c r="G461" s="6" t="s">
        <v>481</v>
      </c>
      <c r="J461" s="6">
        <v>0.0</v>
      </c>
      <c r="L461" s="6">
        <v>0.0</v>
      </c>
      <c r="M461" s="6" t="s">
        <v>3591</v>
      </c>
      <c r="N461" s="6" t="s">
        <v>2626</v>
      </c>
      <c r="O461" s="6" t="s">
        <v>2626</v>
      </c>
    </row>
    <row r="462">
      <c r="A462" s="6" t="s">
        <v>1103</v>
      </c>
      <c r="B462" s="6" t="s">
        <v>1103</v>
      </c>
      <c r="C462" s="6" t="s">
        <v>3592</v>
      </c>
      <c r="D462" s="6">
        <v>462.0</v>
      </c>
      <c r="F462" s="6" t="s">
        <v>874</v>
      </c>
      <c r="G462" s="6" t="s">
        <v>26</v>
      </c>
      <c r="I462" s="6" t="s">
        <v>3554</v>
      </c>
      <c r="J462" s="6">
        <v>0.0</v>
      </c>
      <c r="L462" s="6">
        <v>2000.0</v>
      </c>
      <c r="M462" s="6" t="s">
        <v>3593</v>
      </c>
      <c r="N462" s="6" t="s">
        <v>2626</v>
      </c>
      <c r="O462" s="6" t="s">
        <v>2626</v>
      </c>
    </row>
    <row r="463">
      <c r="A463" s="6" t="s">
        <v>1104</v>
      </c>
      <c r="B463" s="6" t="s">
        <v>1104</v>
      </c>
      <c r="C463" s="6" t="s">
        <v>3594</v>
      </c>
      <c r="D463" s="6">
        <v>463.0</v>
      </c>
      <c r="F463" s="6" t="s">
        <v>93</v>
      </c>
      <c r="G463" s="6" t="s">
        <v>26</v>
      </c>
      <c r="I463" s="6" t="s">
        <v>3554</v>
      </c>
      <c r="J463" s="6">
        <v>0.0</v>
      </c>
      <c r="L463" s="6">
        <v>2500.0</v>
      </c>
      <c r="M463" s="6" t="s">
        <v>3595</v>
      </c>
      <c r="N463" s="6" t="s">
        <v>2626</v>
      </c>
      <c r="O463" s="6" t="s">
        <v>2626</v>
      </c>
    </row>
    <row r="464">
      <c r="A464" s="6" t="s">
        <v>1105</v>
      </c>
      <c r="B464" s="6" t="s">
        <v>1105</v>
      </c>
      <c r="C464" s="6" t="s">
        <v>3596</v>
      </c>
      <c r="D464" s="6">
        <v>464.0</v>
      </c>
      <c r="E464" s="6" t="s">
        <v>195</v>
      </c>
      <c r="F464" s="6" t="s">
        <v>508</v>
      </c>
      <c r="G464" s="6" t="s">
        <v>140</v>
      </c>
      <c r="J464" s="6">
        <v>0.0</v>
      </c>
      <c r="L464" s="6">
        <v>0.0</v>
      </c>
      <c r="M464" s="6" t="s">
        <v>3597</v>
      </c>
      <c r="N464" s="6" t="s">
        <v>2626</v>
      </c>
      <c r="O464" s="6" t="s">
        <v>2626</v>
      </c>
    </row>
    <row r="465">
      <c r="A465" s="6" t="s">
        <v>1106</v>
      </c>
      <c r="B465" s="6" t="s">
        <v>1106</v>
      </c>
      <c r="C465" s="6" t="s">
        <v>3598</v>
      </c>
      <c r="D465" s="6">
        <v>465.0</v>
      </c>
      <c r="E465" s="6" t="s">
        <v>195</v>
      </c>
      <c r="F465" s="6" t="s">
        <v>508</v>
      </c>
      <c r="G465" s="6" t="s">
        <v>140</v>
      </c>
      <c r="J465" s="6">
        <v>0.0</v>
      </c>
      <c r="L465" s="6">
        <v>0.0</v>
      </c>
      <c r="M465" s="6" t="s">
        <v>3599</v>
      </c>
      <c r="N465" s="6" t="s">
        <v>2626</v>
      </c>
      <c r="O465" s="6" t="s">
        <v>2626</v>
      </c>
    </row>
    <row r="466">
      <c r="A466" s="6" t="s">
        <v>1107</v>
      </c>
      <c r="B466" s="6" t="s">
        <v>1107</v>
      </c>
      <c r="C466" s="6" t="s">
        <v>3600</v>
      </c>
      <c r="D466" s="6">
        <v>466.0</v>
      </c>
      <c r="E466" s="6" t="s">
        <v>195</v>
      </c>
      <c r="F466" s="6" t="s">
        <v>508</v>
      </c>
      <c r="G466" s="6" t="s">
        <v>140</v>
      </c>
      <c r="J466" s="6">
        <v>0.0</v>
      </c>
      <c r="L466" s="6">
        <v>0.0</v>
      </c>
      <c r="M466" s="6" t="s">
        <v>3601</v>
      </c>
      <c r="N466" s="6" t="s">
        <v>2626</v>
      </c>
      <c r="O466" s="6" t="s">
        <v>2626</v>
      </c>
    </row>
    <row r="467">
      <c r="A467" s="6" t="s">
        <v>1111</v>
      </c>
      <c r="B467" s="6" t="s">
        <v>1111</v>
      </c>
      <c r="C467" s="6" t="s">
        <v>3602</v>
      </c>
      <c r="D467" s="6">
        <v>467.0</v>
      </c>
      <c r="F467" s="6" t="s">
        <v>1108</v>
      </c>
      <c r="G467" s="6" t="s">
        <v>26</v>
      </c>
      <c r="I467" s="6" t="s">
        <v>3575</v>
      </c>
      <c r="J467" s="6">
        <v>0.0</v>
      </c>
      <c r="L467" s="6">
        <v>8000.0</v>
      </c>
      <c r="M467" s="6" t="s">
        <v>3603</v>
      </c>
      <c r="N467" s="6" t="s">
        <v>2626</v>
      </c>
      <c r="O467" s="6" t="s">
        <v>2626</v>
      </c>
    </row>
    <row r="468">
      <c r="A468" s="6" t="s">
        <v>1112</v>
      </c>
      <c r="B468" s="6" t="s">
        <v>1112</v>
      </c>
      <c r="C468" s="6" t="s">
        <v>3604</v>
      </c>
      <c r="D468" s="6">
        <v>468.0</v>
      </c>
      <c r="F468" s="6" t="s">
        <v>984</v>
      </c>
      <c r="G468" s="6" t="s">
        <v>26</v>
      </c>
      <c r="I468" s="6" t="s">
        <v>3575</v>
      </c>
      <c r="J468" s="6">
        <v>0.0</v>
      </c>
      <c r="L468" s="6">
        <v>2500.0</v>
      </c>
      <c r="M468" s="6" t="s">
        <v>3605</v>
      </c>
      <c r="N468" s="6" t="s">
        <v>2626</v>
      </c>
      <c r="O468" s="6" t="s">
        <v>2626</v>
      </c>
    </row>
    <row r="469">
      <c r="A469" s="6" t="s">
        <v>1113</v>
      </c>
      <c r="B469" s="6" t="s">
        <v>1113</v>
      </c>
      <c r="C469" s="6" t="s">
        <v>3606</v>
      </c>
      <c r="D469" s="6">
        <v>469.0</v>
      </c>
      <c r="F469" s="6" t="s">
        <v>851</v>
      </c>
      <c r="G469" s="6" t="s">
        <v>26</v>
      </c>
      <c r="I469" s="6" t="s">
        <v>3575</v>
      </c>
      <c r="J469" s="6">
        <v>0.0</v>
      </c>
      <c r="L469" s="6">
        <v>3000.0</v>
      </c>
      <c r="M469" s="6" t="s">
        <v>3607</v>
      </c>
      <c r="N469" s="6" t="s">
        <v>2626</v>
      </c>
      <c r="O469" s="6" t="s">
        <v>2626</v>
      </c>
    </row>
    <row r="470">
      <c r="A470" s="6" t="s">
        <v>1115</v>
      </c>
      <c r="B470" s="6" t="s">
        <v>1115</v>
      </c>
      <c r="C470" s="6" t="s">
        <v>3608</v>
      </c>
      <c r="D470" s="6">
        <v>470.0</v>
      </c>
      <c r="F470" s="6" t="s">
        <v>1093</v>
      </c>
      <c r="G470" s="6" t="s">
        <v>26</v>
      </c>
      <c r="I470" s="6" t="s">
        <v>3575</v>
      </c>
      <c r="J470" s="6">
        <v>0.0</v>
      </c>
      <c r="L470" s="6">
        <v>5000.0</v>
      </c>
      <c r="M470" s="6" t="s">
        <v>3609</v>
      </c>
      <c r="N470" s="6" t="s">
        <v>2626</v>
      </c>
      <c r="O470" s="6" t="s">
        <v>2626</v>
      </c>
    </row>
    <row r="471">
      <c r="A471" s="6" t="s">
        <v>1118</v>
      </c>
      <c r="B471" s="6" t="s">
        <v>1118</v>
      </c>
      <c r="C471" s="6" t="s">
        <v>3610</v>
      </c>
      <c r="D471" s="6">
        <v>471.0</v>
      </c>
      <c r="F471" s="6" t="s">
        <v>1116</v>
      </c>
      <c r="G471" s="6" t="s">
        <v>26</v>
      </c>
      <c r="I471" s="6" t="s">
        <v>3575</v>
      </c>
      <c r="J471" s="6">
        <v>0.0</v>
      </c>
      <c r="L471" s="6">
        <v>2500.0</v>
      </c>
      <c r="M471" s="6" t="s">
        <v>3611</v>
      </c>
      <c r="N471" s="6" t="s">
        <v>2626</v>
      </c>
      <c r="O471" s="6" t="s">
        <v>2626</v>
      </c>
    </row>
    <row r="472">
      <c r="A472" s="6" t="s">
        <v>1120</v>
      </c>
      <c r="B472" s="6" t="s">
        <v>1120</v>
      </c>
      <c r="C472" s="6" t="s">
        <v>3612</v>
      </c>
      <c r="D472" s="6">
        <v>472.0</v>
      </c>
      <c r="F472" s="6" t="s">
        <v>442</v>
      </c>
      <c r="G472" s="6" t="s">
        <v>26</v>
      </c>
      <c r="I472" s="6" t="s">
        <v>3575</v>
      </c>
      <c r="J472" s="6">
        <v>0.0</v>
      </c>
      <c r="L472" s="6">
        <v>2500.0</v>
      </c>
      <c r="M472" s="6" t="s">
        <v>3613</v>
      </c>
      <c r="N472" s="6" t="s">
        <v>2626</v>
      </c>
      <c r="O472" s="6" t="s">
        <v>2626</v>
      </c>
    </row>
    <row r="473">
      <c r="A473" s="6" t="s">
        <v>1122</v>
      </c>
      <c r="B473" s="6" t="s">
        <v>1122</v>
      </c>
      <c r="C473" s="6" t="s">
        <v>3614</v>
      </c>
      <c r="D473" s="6">
        <v>473.0</v>
      </c>
      <c r="F473" s="6" t="s">
        <v>254</v>
      </c>
      <c r="G473" s="6" t="s">
        <v>26</v>
      </c>
      <c r="I473" s="6" t="s">
        <v>3575</v>
      </c>
      <c r="J473" s="6">
        <v>0.0</v>
      </c>
      <c r="L473" s="6">
        <v>2500.0</v>
      </c>
      <c r="M473" s="6" t="s">
        <v>3615</v>
      </c>
      <c r="N473" s="6" t="s">
        <v>2626</v>
      </c>
      <c r="O473" s="6" t="s">
        <v>2626</v>
      </c>
    </row>
    <row r="474">
      <c r="A474" s="6" t="s">
        <v>1125</v>
      </c>
      <c r="B474" s="6" t="s">
        <v>1125</v>
      </c>
      <c r="C474" s="6" t="s">
        <v>3616</v>
      </c>
      <c r="D474" s="6">
        <v>474.0</v>
      </c>
      <c r="F474" s="6" t="s">
        <v>1123</v>
      </c>
      <c r="G474" s="6" t="s">
        <v>26</v>
      </c>
      <c r="I474" s="6" t="s">
        <v>3575</v>
      </c>
      <c r="J474" s="6">
        <v>0.0</v>
      </c>
      <c r="L474" s="6">
        <v>25000.0</v>
      </c>
      <c r="M474" s="6" t="s">
        <v>3617</v>
      </c>
      <c r="N474" s="6" t="s">
        <v>2626</v>
      </c>
      <c r="O474" s="6" t="s">
        <v>2626</v>
      </c>
    </row>
    <row r="475">
      <c r="A475" s="6" t="s">
        <v>1128</v>
      </c>
      <c r="B475" s="6" t="s">
        <v>1128</v>
      </c>
      <c r="C475" s="6" t="s">
        <v>3618</v>
      </c>
      <c r="D475" s="6">
        <v>475.0</v>
      </c>
      <c r="F475" s="6" t="s">
        <v>1126</v>
      </c>
      <c r="G475" s="6" t="s">
        <v>26</v>
      </c>
      <c r="I475" s="6" t="s">
        <v>3588</v>
      </c>
      <c r="J475" s="6">
        <v>0.0</v>
      </c>
      <c r="L475" s="6">
        <v>15000.0</v>
      </c>
      <c r="M475" s="6" t="s">
        <v>3619</v>
      </c>
      <c r="N475" s="6" t="s">
        <v>2626</v>
      </c>
      <c r="O475" s="6" t="s">
        <v>2626</v>
      </c>
    </row>
    <row r="476">
      <c r="A476" s="6" t="s">
        <v>1130</v>
      </c>
      <c r="B476" s="6" t="s">
        <v>1130</v>
      </c>
      <c r="C476" s="6" t="s">
        <v>3620</v>
      </c>
      <c r="D476" s="6">
        <v>476.0</v>
      </c>
      <c r="F476" s="6" t="s">
        <v>984</v>
      </c>
      <c r="G476" s="6" t="s">
        <v>26</v>
      </c>
      <c r="I476" s="6" t="s">
        <v>3575</v>
      </c>
      <c r="J476" s="6">
        <v>0.0</v>
      </c>
      <c r="L476" s="6">
        <v>5000.0</v>
      </c>
      <c r="M476" s="6" t="s">
        <v>3621</v>
      </c>
      <c r="N476" s="6" t="s">
        <v>2626</v>
      </c>
      <c r="O476" s="6" t="s">
        <v>2626</v>
      </c>
    </row>
    <row r="477">
      <c r="A477" s="6" t="s">
        <v>1131</v>
      </c>
      <c r="B477" s="6" t="s">
        <v>1131</v>
      </c>
      <c r="C477" s="6" t="s">
        <v>3622</v>
      </c>
      <c r="D477" s="6">
        <v>477.0</v>
      </c>
      <c r="F477" s="6" t="s">
        <v>97</v>
      </c>
      <c r="G477" s="6" t="s">
        <v>26</v>
      </c>
      <c r="I477" s="6" t="s">
        <v>3575</v>
      </c>
      <c r="J477" s="6">
        <v>0.0</v>
      </c>
      <c r="L477" s="6">
        <v>3000.0</v>
      </c>
      <c r="M477" s="6" t="s">
        <v>3623</v>
      </c>
      <c r="N477" s="6" t="s">
        <v>2626</v>
      </c>
      <c r="O477" s="6" t="s">
        <v>2626</v>
      </c>
    </row>
    <row r="478">
      <c r="A478" s="6" t="s">
        <v>1133</v>
      </c>
      <c r="B478" s="6" t="s">
        <v>1133</v>
      </c>
      <c r="C478" s="6" t="s">
        <v>3624</v>
      </c>
      <c r="D478" s="6">
        <v>478.0</v>
      </c>
      <c r="F478" s="6" t="s">
        <v>855</v>
      </c>
      <c r="G478" s="6" t="s">
        <v>26</v>
      </c>
      <c r="I478" s="6" t="s">
        <v>3575</v>
      </c>
      <c r="J478" s="6">
        <v>0.0</v>
      </c>
      <c r="L478" s="6">
        <v>100000.0</v>
      </c>
      <c r="M478" s="6" t="s">
        <v>3625</v>
      </c>
      <c r="N478" s="6" t="s">
        <v>2626</v>
      </c>
      <c r="O478" s="6" t="s">
        <v>2626</v>
      </c>
    </row>
    <row r="479">
      <c r="A479" s="6" t="s">
        <v>1135</v>
      </c>
      <c r="B479" s="6" t="s">
        <v>1135</v>
      </c>
      <c r="C479" s="6" t="s">
        <v>3626</v>
      </c>
      <c r="D479" s="6">
        <v>479.0</v>
      </c>
      <c r="F479" s="6" t="s">
        <v>1134</v>
      </c>
      <c r="G479" s="6" t="s">
        <v>26</v>
      </c>
      <c r="I479" s="6" t="s">
        <v>3575</v>
      </c>
      <c r="J479" s="6">
        <v>0.0</v>
      </c>
      <c r="L479" s="6">
        <v>5000.0</v>
      </c>
      <c r="M479" s="6" t="s">
        <v>3627</v>
      </c>
      <c r="N479" s="6" t="s">
        <v>2626</v>
      </c>
      <c r="O479" s="6" t="s">
        <v>2626</v>
      </c>
    </row>
    <row r="480">
      <c r="A480" s="6" t="s">
        <v>1139</v>
      </c>
      <c r="B480" s="6" t="s">
        <v>1139</v>
      </c>
      <c r="C480" s="6" t="s">
        <v>3628</v>
      </c>
      <c r="D480" s="6">
        <v>480.0</v>
      </c>
      <c r="E480" s="6">
        <v>3.51935566554418E14</v>
      </c>
      <c r="F480" s="6" t="s">
        <v>1136</v>
      </c>
      <c r="G480" s="6" t="s">
        <v>103</v>
      </c>
      <c r="J480" s="6">
        <v>0.0</v>
      </c>
      <c r="L480" s="6">
        <v>0.0</v>
      </c>
      <c r="M480" s="6" t="s">
        <v>3629</v>
      </c>
      <c r="N480" s="6" t="s">
        <v>2626</v>
      </c>
      <c r="O480" s="6" t="s">
        <v>2626</v>
      </c>
    </row>
    <row r="481">
      <c r="A481" s="6" t="s">
        <v>1140</v>
      </c>
      <c r="B481" s="6" t="s">
        <v>1140</v>
      </c>
      <c r="C481" s="6" t="s">
        <v>3630</v>
      </c>
      <c r="D481" s="6">
        <v>481.0</v>
      </c>
      <c r="E481" s="6" t="s">
        <v>195</v>
      </c>
      <c r="F481" s="6" t="s">
        <v>508</v>
      </c>
      <c r="G481" s="6" t="s">
        <v>140</v>
      </c>
      <c r="J481" s="6">
        <v>0.0</v>
      </c>
      <c r="L481" s="6">
        <v>0.0</v>
      </c>
      <c r="M481" s="6" t="s">
        <v>3631</v>
      </c>
      <c r="N481" s="6" t="s">
        <v>2626</v>
      </c>
      <c r="O481" s="6" t="s">
        <v>2626</v>
      </c>
    </row>
    <row r="482">
      <c r="A482" s="6" t="s">
        <v>1141</v>
      </c>
      <c r="B482" s="6" t="s">
        <v>1141</v>
      </c>
      <c r="C482" s="6" t="s">
        <v>3632</v>
      </c>
      <c r="D482" s="6">
        <v>482.0</v>
      </c>
      <c r="E482" s="6" t="s">
        <v>195</v>
      </c>
      <c r="F482" s="6" t="s">
        <v>508</v>
      </c>
      <c r="G482" s="6" t="s">
        <v>140</v>
      </c>
      <c r="J482" s="6">
        <v>0.0</v>
      </c>
      <c r="L482" s="6">
        <v>0.0</v>
      </c>
      <c r="M482" s="6" t="s">
        <v>3633</v>
      </c>
      <c r="N482" s="6" t="s">
        <v>2626</v>
      </c>
      <c r="O482" s="6" t="s">
        <v>2626</v>
      </c>
    </row>
    <row r="483">
      <c r="A483" s="6" t="s">
        <v>1142</v>
      </c>
      <c r="B483" s="6" t="s">
        <v>1142</v>
      </c>
      <c r="C483" s="6" t="s">
        <v>3634</v>
      </c>
      <c r="D483" s="6">
        <v>483.0</v>
      </c>
      <c r="E483" s="6" t="s">
        <v>195</v>
      </c>
      <c r="F483" s="6" t="s">
        <v>508</v>
      </c>
      <c r="G483" s="6" t="s">
        <v>140</v>
      </c>
      <c r="J483" s="6">
        <v>0.0</v>
      </c>
      <c r="L483" s="6">
        <v>0.0</v>
      </c>
      <c r="M483" s="6" t="s">
        <v>3635</v>
      </c>
      <c r="N483" s="6" t="s">
        <v>2626</v>
      </c>
      <c r="O483" s="6" t="s">
        <v>2626</v>
      </c>
    </row>
    <row r="484">
      <c r="A484" s="6" t="s">
        <v>1144</v>
      </c>
      <c r="B484" s="6" t="s">
        <v>1144</v>
      </c>
      <c r="C484" s="6" t="s">
        <v>3636</v>
      </c>
      <c r="D484" s="6">
        <v>484.0</v>
      </c>
      <c r="F484" s="6" t="s">
        <v>306</v>
      </c>
      <c r="G484" s="6" t="s">
        <v>26</v>
      </c>
      <c r="I484" s="6" t="s">
        <v>3637</v>
      </c>
      <c r="J484" s="6">
        <v>0.0</v>
      </c>
      <c r="L484" s="6">
        <v>465000.0</v>
      </c>
      <c r="M484" s="6" t="s">
        <v>3638</v>
      </c>
      <c r="N484" s="6" t="s">
        <v>2626</v>
      </c>
      <c r="O484" s="6" t="s">
        <v>2626</v>
      </c>
    </row>
    <row r="485">
      <c r="A485" s="6" t="s">
        <v>1145</v>
      </c>
      <c r="B485" s="6" t="s">
        <v>1145</v>
      </c>
      <c r="C485" s="6" t="s">
        <v>3639</v>
      </c>
      <c r="D485" s="6">
        <v>485.0</v>
      </c>
      <c r="F485" s="6" t="s">
        <v>236</v>
      </c>
      <c r="G485" s="6" t="s">
        <v>26</v>
      </c>
      <c r="I485" s="6" t="s">
        <v>3588</v>
      </c>
      <c r="J485" s="6">
        <v>0.0</v>
      </c>
      <c r="L485" s="6">
        <v>100000.0</v>
      </c>
      <c r="M485" s="6" t="s">
        <v>3640</v>
      </c>
      <c r="N485" s="6" t="s">
        <v>2626</v>
      </c>
      <c r="O485" s="6" t="s">
        <v>2626</v>
      </c>
    </row>
    <row r="486">
      <c r="A486" s="6" t="s">
        <v>1148</v>
      </c>
      <c r="B486" s="6" t="s">
        <v>1148</v>
      </c>
      <c r="C486" s="6" t="s">
        <v>3641</v>
      </c>
      <c r="D486" s="6">
        <v>486.0</v>
      </c>
      <c r="F486" s="6" t="s">
        <v>248</v>
      </c>
      <c r="G486" s="6" t="s">
        <v>1147</v>
      </c>
      <c r="J486" s="6">
        <v>0.0</v>
      </c>
      <c r="L486" s="6">
        <v>0.0</v>
      </c>
      <c r="M486" s="6" t="s">
        <v>3642</v>
      </c>
      <c r="N486" s="6" t="s">
        <v>2626</v>
      </c>
      <c r="O486" s="6" t="s">
        <v>2626</v>
      </c>
    </row>
    <row r="487">
      <c r="A487" s="6" t="s">
        <v>1151</v>
      </c>
      <c r="B487" s="6" t="s">
        <v>1151</v>
      </c>
      <c r="C487" s="6" t="s">
        <v>3643</v>
      </c>
      <c r="D487" s="6">
        <v>487.0</v>
      </c>
      <c r="E487" s="6">
        <v>3.56140776073847E14</v>
      </c>
      <c r="F487" s="6" t="s">
        <v>664</v>
      </c>
      <c r="G487" s="6" t="s">
        <v>26</v>
      </c>
      <c r="I487" s="6" t="s">
        <v>3588</v>
      </c>
      <c r="J487" s="6">
        <v>0.0</v>
      </c>
      <c r="L487" s="6">
        <v>775000.0</v>
      </c>
      <c r="M487" s="6" t="s">
        <v>3644</v>
      </c>
      <c r="N487" s="6" t="s">
        <v>2626</v>
      </c>
      <c r="O487" s="6" t="s">
        <v>2626</v>
      </c>
    </row>
    <row r="488">
      <c r="A488" s="6" t="s">
        <v>1153</v>
      </c>
      <c r="B488" s="6" t="s">
        <v>1153</v>
      </c>
      <c r="C488" s="6" t="s">
        <v>3645</v>
      </c>
      <c r="D488" s="6">
        <v>488.0</v>
      </c>
      <c r="F488" s="6" t="s">
        <v>664</v>
      </c>
      <c r="G488" s="6" t="s">
        <v>26</v>
      </c>
      <c r="I488" s="6" t="s">
        <v>3588</v>
      </c>
      <c r="J488" s="6">
        <v>0.0</v>
      </c>
      <c r="L488" s="6">
        <v>3000.0</v>
      </c>
      <c r="M488" s="6" t="s">
        <v>3646</v>
      </c>
      <c r="N488" s="6" t="s">
        <v>2626</v>
      </c>
      <c r="O488" s="6" t="s">
        <v>2626</v>
      </c>
    </row>
    <row r="489">
      <c r="A489" s="6" t="s">
        <v>1158</v>
      </c>
      <c r="B489" s="6" t="s">
        <v>1158</v>
      </c>
      <c r="C489" s="6" t="s">
        <v>3647</v>
      </c>
      <c r="D489" s="6">
        <v>489.0</v>
      </c>
      <c r="E489" s="6">
        <v>3.51194966961241E14</v>
      </c>
      <c r="F489" s="6" t="s">
        <v>1154</v>
      </c>
      <c r="G489" s="6" t="s">
        <v>26</v>
      </c>
      <c r="I489" s="6" t="s">
        <v>3588</v>
      </c>
      <c r="J489" s="6">
        <v>0.0</v>
      </c>
      <c r="L489" s="6">
        <v>340000.0</v>
      </c>
      <c r="M489" s="6" t="s">
        <v>3648</v>
      </c>
      <c r="N489" s="6" t="s">
        <v>2626</v>
      </c>
      <c r="O489" s="6" t="s">
        <v>2626</v>
      </c>
    </row>
    <row r="490">
      <c r="A490" s="6" t="s">
        <v>1162</v>
      </c>
      <c r="B490" s="6" t="s">
        <v>1162</v>
      </c>
      <c r="C490" s="6" t="s">
        <v>3649</v>
      </c>
      <c r="D490" s="6">
        <v>490.0</v>
      </c>
      <c r="F490" s="6" t="s">
        <v>1159</v>
      </c>
      <c r="G490" s="6" t="s">
        <v>26</v>
      </c>
      <c r="I490" s="6" t="s">
        <v>3588</v>
      </c>
      <c r="J490" s="6">
        <v>0.0</v>
      </c>
      <c r="L490" s="6">
        <v>15000.0</v>
      </c>
      <c r="M490" s="6" t="s">
        <v>3650</v>
      </c>
      <c r="N490" s="6" t="s">
        <v>2626</v>
      </c>
      <c r="O490" s="6" t="s">
        <v>2626</v>
      </c>
    </row>
    <row r="491">
      <c r="A491" s="6" t="s">
        <v>1165</v>
      </c>
      <c r="B491" s="6" t="s">
        <v>1165</v>
      </c>
      <c r="C491" s="6" t="s">
        <v>3651</v>
      </c>
      <c r="D491" s="6">
        <v>491.0</v>
      </c>
      <c r="F491" s="6" t="s">
        <v>1163</v>
      </c>
      <c r="G491" s="6" t="s">
        <v>26</v>
      </c>
      <c r="I491" s="6" t="s">
        <v>3588</v>
      </c>
      <c r="J491" s="6">
        <v>0.0</v>
      </c>
      <c r="L491" s="6">
        <v>3000.0</v>
      </c>
      <c r="M491" s="6" t="s">
        <v>3652</v>
      </c>
      <c r="N491" s="6" t="s">
        <v>2626</v>
      </c>
      <c r="O491" s="6" t="s">
        <v>2626</v>
      </c>
    </row>
    <row r="492">
      <c r="A492" s="6" t="s">
        <v>1168</v>
      </c>
      <c r="B492" s="6" t="s">
        <v>1168</v>
      </c>
      <c r="C492" s="6" t="s">
        <v>3653</v>
      </c>
      <c r="D492" s="6">
        <v>492.0</v>
      </c>
      <c r="E492" s="6">
        <v>3.58730091228981E14</v>
      </c>
      <c r="F492" s="6" t="s">
        <v>1136</v>
      </c>
      <c r="G492" s="6" t="s">
        <v>26</v>
      </c>
      <c r="I492" s="6" t="s">
        <v>3588</v>
      </c>
      <c r="J492" s="6">
        <v>0.0</v>
      </c>
      <c r="L492" s="6">
        <v>140000.0</v>
      </c>
      <c r="M492" s="6" t="s">
        <v>3654</v>
      </c>
      <c r="N492" s="6" t="s">
        <v>2626</v>
      </c>
      <c r="O492" s="6" t="s">
        <v>2626</v>
      </c>
    </row>
    <row r="493">
      <c r="A493" s="6" t="s">
        <v>1170</v>
      </c>
      <c r="B493" s="6" t="s">
        <v>1170</v>
      </c>
      <c r="C493" s="6" t="s">
        <v>3655</v>
      </c>
      <c r="D493" s="6">
        <v>493.0</v>
      </c>
      <c r="F493" s="6" t="s">
        <v>1154</v>
      </c>
      <c r="G493" s="6" t="s">
        <v>26</v>
      </c>
      <c r="I493" s="6" t="s">
        <v>3588</v>
      </c>
      <c r="J493" s="6">
        <v>0.0</v>
      </c>
      <c r="L493" s="6">
        <v>2500.0</v>
      </c>
      <c r="M493" s="6" t="s">
        <v>3656</v>
      </c>
      <c r="N493" s="6" t="s">
        <v>2626</v>
      </c>
      <c r="O493" s="6" t="s">
        <v>2626</v>
      </c>
    </row>
    <row r="494">
      <c r="A494" s="6" t="s">
        <v>1171</v>
      </c>
      <c r="B494" s="6" t="s">
        <v>1171</v>
      </c>
      <c r="C494" s="6" t="s">
        <v>3657</v>
      </c>
      <c r="D494" s="6">
        <v>494.0</v>
      </c>
      <c r="F494" s="6" t="s">
        <v>1163</v>
      </c>
      <c r="G494" s="6" t="s">
        <v>26</v>
      </c>
      <c r="I494" s="6" t="s">
        <v>3588</v>
      </c>
      <c r="J494" s="6">
        <v>0.0</v>
      </c>
      <c r="L494" s="6">
        <v>3000.0</v>
      </c>
      <c r="M494" s="6" t="s">
        <v>3658</v>
      </c>
      <c r="N494" s="6" t="s">
        <v>2626</v>
      </c>
      <c r="O494" s="6" t="s">
        <v>2626</v>
      </c>
    </row>
    <row r="495">
      <c r="A495" s="6" t="s">
        <v>1172</v>
      </c>
      <c r="B495" s="6" t="s">
        <v>1172</v>
      </c>
      <c r="C495" s="6" t="s">
        <v>3659</v>
      </c>
      <c r="D495" s="6">
        <v>495.0</v>
      </c>
      <c r="F495" s="6" t="s">
        <v>1163</v>
      </c>
      <c r="G495" s="6" t="s">
        <v>26</v>
      </c>
      <c r="I495" s="6" t="s">
        <v>3660</v>
      </c>
      <c r="J495" s="6">
        <v>0.0</v>
      </c>
      <c r="L495" s="6">
        <v>5000.0</v>
      </c>
      <c r="M495" s="6" t="s">
        <v>3661</v>
      </c>
      <c r="N495" s="6" t="s">
        <v>2626</v>
      </c>
      <c r="O495" s="6" t="s">
        <v>2626</v>
      </c>
    </row>
    <row r="496">
      <c r="A496" s="6" t="s">
        <v>1174</v>
      </c>
      <c r="B496" s="6" t="s">
        <v>1174</v>
      </c>
      <c r="C496" s="6" t="s">
        <v>3662</v>
      </c>
      <c r="D496" s="6">
        <v>496.0</v>
      </c>
      <c r="F496" s="6" t="s">
        <v>620</v>
      </c>
      <c r="G496" s="6" t="s">
        <v>26</v>
      </c>
      <c r="I496" s="6" t="s">
        <v>3588</v>
      </c>
      <c r="J496" s="6">
        <v>0.0</v>
      </c>
      <c r="L496" s="6">
        <v>2500.0</v>
      </c>
      <c r="M496" s="6" t="s">
        <v>3663</v>
      </c>
      <c r="N496" s="6" t="s">
        <v>2626</v>
      </c>
      <c r="O496" s="6" t="s">
        <v>2626</v>
      </c>
    </row>
    <row r="497">
      <c r="A497" s="6" t="s">
        <v>1176</v>
      </c>
      <c r="B497" s="6" t="s">
        <v>1176</v>
      </c>
      <c r="C497" s="6" t="s">
        <v>3664</v>
      </c>
      <c r="D497" s="6">
        <v>497.0</v>
      </c>
      <c r="F497" s="6" t="s">
        <v>855</v>
      </c>
      <c r="G497" s="6" t="s">
        <v>26</v>
      </c>
      <c r="I497" s="6" t="s">
        <v>3588</v>
      </c>
      <c r="J497" s="6">
        <v>0.0</v>
      </c>
      <c r="L497" s="6">
        <v>75000.0</v>
      </c>
      <c r="M497" s="6" t="s">
        <v>3665</v>
      </c>
      <c r="N497" s="6" t="s">
        <v>2626</v>
      </c>
      <c r="O497" s="6" t="s">
        <v>2626</v>
      </c>
    </row>
    <row r="498">
      <c r="A498" s="6" t="s">
        <v>1177</v>
      </c>
      <c r="B498" s="6" t="s">
        <v>1177</v>
      </c>
      <c r="C498" s="6" t="s">
        <v>3666</v>
      </c>
      <c r="D498" s="6">
        <v>498.0</v>
      </c>
      <c r="E498" s="6" t="s">
        <v>195</v>
      </c>
      <c r="F498" s="6" t="s">
        <v>508</v>
      </c>
      <c r="G498" s="6" t="s">
        <v>140</v>
      </c>
      <c r="J498" s="6">
        <v>0.0</v>
      </c>
      <c r="L498" s="6">
        <v>0.0</v>
      </c>
      <c r="M498" s="6" t="s">
        <v>3667</v>
      </c>
      <c r="N498" s="6" t="s">
        <v>2626</v>
      </c>
      <c r="O498" s="6" t="s">
        <v>2626</v>
      </c>
    </row>
    <row r="499">
      <c r="A499" s="6" t="s">
        <v>1178</v>
      </c>
      <c r="B499" s="6" t="s">
        <v>1178</v>
      </c>
      <c r="C499" s="6" t="s">
        <v>3668</v>
      </c>
      <c r="D499" s="6">
        <v>499.0</v>
      </c>
      <c r="E499" s="6" t="s">
        <v>195</v>
      </c>
      <c r="F499" s="6" t="s">
        <v>508</v>
      </c>
      <c r="G499" s="6" t="s">
        <v>140</v>
      </c>
      <c r="J499" s="6">
        <v>0.0</v>
      </c>
      <c r="L499" s="6">
        <v>0.0</v>
      </c>
      <c r="M499" s="6" t="s">
        <v>3669</v>
      </c>
      <c r="N499" s="6" t="s">
        <v>2626</v>
      </c>
      <c r="O499" s="6" t="s">
        <v>2626</v>
      </c>
    </row>
    <row r="500">
      <c r="A500" s="6" t="s">
        <v>1179</v>
      </c>
      <c r="B500" s="6" t="s">
        <v>1179</v>
      </c>
      <c r="C500" s="6" t="s">
        <v>3670</v>
      </c>
      <c r="D500" s="6">
        <v>500.0</v>
      </c>
      <c r="E500" s="6" t="s">
        <v>195</v>
      </c>
      <c r="F500" s="6" t="s">
        <v>508</v>
      </c>
      <c r="G500" s="6" t="s">
        <v>140</v>
      </c>
      <c r="J500" s="6">
        <v>0.0</v>
      </c>
      <c r="L500" s="6">
        <v>0.0</v>
      </c>
      <c r="M500" s="6" t="s">
        <v>3671</v>
      </c>
      <c r="N500" s="6" t="s">
        <v>2626</v>
      </c>
      <c r="O500" s="6" t="s">
        <v>2626</v>
      </c>
    </row>
    <row r="501">
      <c r="A501" s="6" t="s">
        <v>1182</v>
      </c>
      <c r="B501" s="6" t="s">
        <v>1182</v>
      </c>
      <c r="C501" s="6" t="s">
        <v>3672</v>
      </c>
      <c r="D501" s="6">
        <v>501.0</v>
      </c>
      <c r="E501" s="6">
        <v>3.53926106063562E14</v>
      </c>
      <c r="F501" s="6" t="s">
        <v>1180</v>
      </c>
      <c r="G501" s="6" t="s">
        <v>26</v>
      </c>
      <c r="I501" s="6" t="s">
        <v>3660</v>
      </c>
      <c r="J501" s="6">
        <v>0.0</v>
      </c>
      <c r="L501" s="6">
        <v>180000.0</v>
      </c>
      <c r="M501" s="6" t="s">
        <v>3673</v>
      </c>
      <c r="N501" s="6" t="s">
        <v>2626</v>
      </c>
      <c r="O501" s="6" t="s">
        <v>2626</v>
      </c>
    </row>
    <row r="502">
      <c r="A502" s="6" t="s">
        <v>1184</v>
      </c>
      <c r="B502" s="6" t="s">
        <v>1184</v>
      </c>
      <c r="C502" s="6" t="s">
        <v>3674</v>
      </c>
      <c r="D502" s="6">
        <v>502.0</v>
      </c>
      <c r="F502" s="6" t="s">
        <v>46</v>
      </c>
      <c r="G502" s="6" t="s">
        <v>26</v>
      </c>
      <c r="I502" s="6" t="s">
        <v>3675</v>
      </c>
      <c r="J502" s="6">
        <v>0.0</v>
      </c>
      <c r="L502" s="6">
        <v>2500.0</v>
      </c>
      <c r="M502" s="6" t="s">
        <v>3676</v>
      </c>
      <c r="N502" s="6" t="s">
        <v>2626</v>
      </c>
      <c r="O502" s="6" t="s">
        <v>2626</v>
      </c>
    </row>
    <row r="503">
      <c r="A503" s="6" t="s">
        <v>1187</v>
      </c>
      <c r="B503" s="6" t="s">
        <v>1187</v>
      </c>
      <c r="C503" s="6" t="s">
        <v>3677</v>
      </c>
      <c r="D503" s="6">
        <v>503.0</v>
      </c>
      <c r="E503" s="6">
        <v>3.54331124392649E14</v>
      </c>
      <c r="F503" s="6" t="s">
        <v>605</v>
      </c>
      <c r="G503" s="6" t="s">
        <v>26</v>
      </c>
      <c r="I503" s="6" t="s">
        <v>3660</v>
      </c>
      <c r="J503" s="6">
        <v>0.0</v>
      </c>
      <c r="L503" s="6">
        <v>1100000.0</v>
      </c>
      <c r="M503" s="6" t="s">
        <v>3678</v>
      </c>
      <c r="N503" s="6" t="s">
        <v>2626</v>
      </c>
      <c r="O503" s="6" t="s">
        <v>2626</v>
      </c>
    </row>
    <row r="504">
      <c r="A504" s="6" t="s">
        <v>1189</v>
      </c>
      <c r="B504" s="6" t="s">
        <v>1189</v>
      </c>
      <c r="C504" s="6" t="s">
        <v>3679</v>
      </c>
      <c r="D504" s="6">
        <v>504.0</v>
      </c>
      <c r="E504" s="6">
        <v>3.56483109107191E14</v>
      </c>
      <c r="F504" s="6" t="s">
        <v>741</v>
      </c>
      <c r="G504" s="6" t="s">
        <v>103</v>
      </c>
      <c r="J504" s="6">
        <v>0.0</v>
      </c>
      <c r="L504" s="6">
        <v>0.0</v>
      </c>
      <c r="M504" s="6" t="s">
        <v>3680</v>
      </c>
      <c r="N504" s="6" t="s">
        <v>2626</v>
      </c>
      <c r="O504" s="6" t="s">
        <v>2626</v>
      </c>
    </row>
    <row r="505">
      <c r="A505" s="6" t="s">
        <v>1192</v>
      </c>
      <c r="B505" s="6" t="s">
        <v>1192</v>
      </c>
      <c r="C505" s="6" t="s">
        <v>3681</v>
      </c>
      <c r="D505" s="6">
        <v>505.0</v>
      </c>
      <c r="F505" s="6" t="s">
        <v>1190</v>
      </c>
      <c r="G505" s="6" t="s">
        <v>26</v>
      </c>
      <c r="I505" s="6" t="s">
        <v>3660</v>
      </c>
      <c r="J505" s="6">
        <v>0.0</v>
      </c>
      <c r="L505" s="6">
        <v>5000.0</v>
      </c>
      <c r="M505" s="6" t="s">
        <v>3682</v>
      </c>
      <c r="N505" s="6" t="s">
        <v>2626</v>
      </c>
      <c r="O505" s="6" t="s">
        <v>2626</v>
      </c>
    </row>
    <row r="506">
      <c r="A506" s="6" t="s">
        <v>1194</v>
      </c>
      <c r="B506" s="6" t="s">
        <v>1194</v>
      </c>
      <c r="C506" s="6" t="s">
        <v>3683</v>
      </c>
      <c r="D506" s="6">
        <v>506.0</v>
      </c>
      <c r="F506" s="6" t="s">
        <v>358</v>
      </c>
      <c r="G506" s="6" t="s">
        <v>26</v>
      </c>
      <c r="I506" s="6" t="s">
        <v>3660</v>
      </c>
      <c r="J506" s="6">
        <v>0.0</v>
      </c>
      <c r="L506" s="6">
        <v>2500.0</v>
      </c>
      <c r="M506" s="6" t="s">
        <v>3684</v>
      </c>
      <c r="N506" s="6" t="s">
        <v>2626</v>
      </c>
      <c r="O506" s="6" t="s">
        <v>2626</v>
      </c>
    </row>
    <row r="507">
      <c r="A507" s="6" t="s">
        <v>1195</v>
      </c>
      <c r="B507" s="6" t="s">
        <v>1195</v>
      </c>
      <c r="C507" s="6" t="s">
        <v>3685</v>
      </c>
      <c r="D507" s="6">
        <v>507.0</v>
      </c>
      <c r="F507" s="6" t="s">
        <v>70</v>
      </c>
      <c r="G507" s="6" t="s">
        <v>26</v>
      </c>
      <c r="I507" s="6" t="s">
        <v>3660</v>
      </c>
      <c r="J507" s="6">
        <v>0.0</v>
      </c>
      <c r="L507" s="6">
        <v>5000.0</v>
      </c>
      <c r="M507" s="6" t="s">
        <v>3686</v>
      </c>
      <c r="N507" s="6" t="s">
        <v>2626</v>
      </c>
      <c r="O507" s="6" t="s">
        <v>2626</v>
      </c>
    </row>
    <row r="508">
      <c r="A508" s="6" t="s">
        <v>1199</v>
      </c>
      <c r="B508" s="6" t="s">
        <v>1199</v>
      </c>
      <c r="C508" s="6" t="s">
        <v>3687</v>
      </c>
      <c r="D508" s="6">
        <v>508.0</v>
      </c>
      <c r="E508" s="6">
        <v>3.50359740006958E14</v>
      </c>
      <c r="F508" s="6" t="s">
        <v>1196</v>
      </c>
      <c r="G508" s="6" t="s">
        <v>26</v>
      </c>
      <c r="I508" s="6" t="s">
        <v>3660</v>
      </c>
      <c r="J508" s="6">
        <v>0.0</v>
      </c>
      <c r="L508" s="6">
        <v>230000.0</v>
      </c>
      <c r="M508" s="6" t="s">
        <v>3688</v>
      </c>
      <c r="N508" s="6" t="s">
        <v>2626</v>
      </c>
      <c r="O508" s="6" t="s">
        <v>2626</v>
      </c>
    </row>
    <row r="509">
      <c r="A509" s="6" t="s">
        <v>1200</v>
      </c>
      <c r="B509" s="6" t="s">
        <v>1200</v>
      </c>
      <c r="C509" s="6" t="s">
        <v>3689</v>
      </c>
      <c r="D509" s="6">
        <v>509.0</v>
      </c>
      <c r="F509" s="6" t="s">
        <v>236</v>
      </c>
      <c r="G509" s="6" t="s">
        <v>26</v>
      </c>
      <c r="I509" s="6" t="s">
        <v>3660</v>
      </c>
      <c r="J509" s="6">
        <v>0.0</v>
      </c>
      <c r="L509" s="6">
        <v>5000.0</v>
      </c>
      <c r="M509" s="6" t="s">
        <v>3690</v>
      </c>
      <c r="N509" s="6" t="s">
        <v>2626</v>
      </c>
      <c r="O509" s="6" t="s">
        <v>2626</v>
      </c>
    </row>
    <row r="510">
      <c r="A510" s="6" t="s">
        <v>1202</v>
      </c>
      <c r="B510" s="6" t="s">
        <v>1202</v>
      </c>
      <c r="C510" s="6" t="s">
        <v>3691</v>
      </c>
      <c r="D510" s="6">
        <v>510.0</v>
      </c>
      <c r="F510" s="6" t="s">
        <v>1201</v>
      </c>
      <c r="G510" s="6" t="s">
        <v>26</v>
      </c>
      <c r="I510" s="6" t="s">
        <v>3660</v>
      </c>
      <c r="J510" s="6">
        <v>0.0</v>
      </c>
      <c r="L510" s="6">
        <v>5000.0</v>
      </c>
      <c r="M510" s="6" t="s">
        <v>3692</v>
      </c>
      <c r="N510" s="6" t="s">
        <v>2626</v>
      </c>
      <c r="O510" s="6" t="s">
        <v>2626</v>
      </c>
    </row>
    <row r="511">
      <c r="A511" s="6" t="s">
        <v>1204</v>
      </c>
      <c r="B511" s="6" t="s">
        <v>1204</v>
      </c>
      <c r="C511" s="6" t="s">
        <v>3693</v>
      </c>
      <c r="D511" s="6">
        <v>511.0</v>
      </c>
      <c r="F511" s="6" t="s">
        <v>605</v>
      </c>
      <c r="G511" s="6" t="s">
        <v>26</v>
      </c>
      <c r="I511" s="6" t="s">
        <v>3660</v>
      </c>
      <c r="J511" s="6">
        <v>0.0</v>
      </c>
      <c r="L511" s="6">
        <v>630000.0</v>
      </c>
      <c r="M511" s="6" t="s">
        <v>3694</v>
      </c>
      <c r="N511" s="6" t="s">
        <v>2626</v>
      </c>
      <c r="O511" s="6" t="s">
        <v>2626</v>
      </c>
    </row>
    <row r="512">
      <c r="A512" s="6" t="s">
        <v>1207</v>
      </c>
      <c r="B512" s="6" t="s">
        <v>1207</v>
      </c>
      <c r="C512" s="6" t="s">
        <v>3695</v>
      </c>
      <c r="D512" s="6">
        <v>512.0</v>
      </c>
      <c r="F512" s="6" t="s">
        <v>1205</v>
      </c>
      <c r="G512" s="6" t="s">
        <v>26</v>
      </c>
      <c r="I512" s="6" t="s">
        <v>3660</v>
      </c>
      <c r="J512" s="6">
        <v>0.0</v>
      </c>
      <c r="L512" s="6">
        <v>18000.0</v>
      </c>
      <c r="M512" s="6" t="s">
        <v>3696</v>
      </c>
      <c r="N512" s="6" t="s">
        <v>2626</v>
      </c>
      <c r="O512" s="6" t="s">
        <v>2626</v>
      </c>
    </row>
    <row r="513">
      <c r="A513" s="6" t="s">
        <v>1208</v>
      </c>
      <c r="B513" s="6" t="s">
        <v>1208</v>
      </c>
      <c r="C513" s="6" t="s">
        <v>3697</v>
      </c>
      <c r="D513" s="6">
        <v>513.0</v>
      </c>
      <c r="E513" s="6" t="s">
        <v>195</v>
      </c>
      <c r="F513" s="6" t="s">
        <v>508</v>
      </c>
      <c r="G513" s="6" t="s">
        <v>140</v>
      </c>
      <c r="J513" s="6">
        <v>0.0</v>
      </c>
      <c r="L513" s="6">
        <v>0.0</v>
      </c>
      <c r="M513" s="6" t="s">
        <v>3698</v>
      </c>
      <c r="N513" s="6" t="s">
        <v>2626</v>
      </c>
      <c r="O513" s="6" t="s">
        <v>2626</v>
      </c>
    </row>
    <row r="514">
      <c r="A514" s="6" t="s">
        <v>1209</v>
      </c>
      <c r="B514" s="6" t="s">
        <v>1209</v>
      </c>
      <c r="C514" s="6" t="s">
        <v>3699</v>
      </c>
      <c r="D514" s="6">
        <v>514.0</v>
      </c>
      <c r="E514" s="6" t="s">
        <v>195</v>
      </c>
      <c r="F514" s="6" t="s">
        <v>508</v>
      </c>
      <c r="G514" s="6" t="s">
        <v>140</v>
      </c>
      <c r="J514" s="6">
        <v>0.0</v>
      </c>
      <c r="L514" s="6">
        <v>0.0</v>
      </c>
      <c r="M514" s="6" t="s">
        <v>3700</v>
      </c>
      <c r="N514" s="6" t="s">
        <v>2626</v>
      </c>
      <c r="O514" s="6" t="s">
        <v>2626</v>
      </c>
    </row>
    <row r="515">
      <c r="A515" s="6" t="s">
        <v>1210</v>
      </c>
      <c r="B515" s="6" t="s">
        <v>1210</v>
      </c>
      <c r="C515" s="6" t="s">
        <v>3701</v>
      </c>
      <c r="D515" s="6">
        <v>515.0</v>
      </c>
      <c r="E515" s="6" t="s">
        <v>195</v>
      </c>
      <c r="F515" s="6" t="s">
        <v>508</v>
      </c>
      <c r="G515" s="6" t="s">
        <v>140</v>
      </c>
      <c r="J515" s="6">
        <v>0.0</v>
      </c>
      <c r="L515" s="6">
        <v>0.0</v>
      </c>
      <c r="M515" s="6" t="s">
        <v>3702</v>
      </c>
      <c r="N515" s="6" t="s">
        <v>2626</v>
      </c>
      <c r="O515" s="6" t="s">
        <v>2626</v>
      </c>
    </row>
    <row r="516">
      <c r="A516" s="6" t="s">
        <v>1212</v>
      </c>
      <c r="B516" s="6" t="s">
        <v>1212</v>
      </c>
      <c r="C516" s="6" t="s">
        <v>3703</v>
      </c>
      <c r="D516" s="6">
        <v>516.0</v>
      </c>
      <c r="F516" s="6" t="s">
        <v>93</v>
      </c>
      <c r="G516" s="6" t="s">
        <v>26</v>
      </c>
      <c r="I516" s="6" t="s">
        <v>3675</v>
      </c>
      <c r="J516" s="6">
        <v>0.0</v>
      </c>
      <c r="L516" s="6">
        <v>2500.0</v>
      </c>
      <c r="M516" s="6" t="s">
        <v>3704</v>
      </c>
      <c r="N516" s="6" t="s">
        <v>2626</v>
      </c>
      <c r="O516" s="6" t="s">
        <v>2626</v>
      </c>
    </row>
    <row r="517">
      <c r="A517" s="6" t="s">
        <v>1216</v>
      </c>
      <c r="B517" s="6" t="s">
        <v>1216</v>
      </c>
      <c r="C517" s="6" t="s">
        <v>3705</v>
      </c>
      <c r="D517" s="6">
        <v>517.0</v>
      </c>
      <c r="E517" s="6" t="s">
        <v>1215</v>
      </c>
      <c r="F517" s="6" t="s">
        <v>1213</v>
      </c>
      <c r="G517" s="6" t="s">
        <v>26</v>
      </c>
      <c r="I517" s="6" t="s">
        <v>3706</v>
      </c>
      <c r="J517" s="6">
        <v>0.0</v>
      </c>
      <c r="L517" s="6">
        <v>170000.0</v>
      </c>
      <c r="M517" s="6" t="s">
        <v>3707</v>
      </c>
      <c r="N517" s="6" t="s">
        <v>2626</v>
      </c>
      <c r="O517" s="6" t="s">
        <v>2626</v>
      </c>
    </row>
    <row r="518">
      <c r="A518" s="6" t="s">
        <v>1218</v>
      </c>
      <c r="B518" s="6" t="s">
        <v>1218</v>
      </c>
      <c r="C518" s="6" t="s">
        <v>3708</v>
      </c>
      <c r="D518" s="6">
        <v>518.0</v>
      </c>
      <c r="F518" s="6" t="s">
        <v>23</v>
      </c>
      <c r="G518" s="6" t="s">
        <v>26</v>
      </c>
      <c r="I518" s="6" t="s">
        <v>3675</v>
      </c>
      <c r="J518" s="6">
        <v>0.0</v>
      </c>
      <c r="L518" s="6">
        <v>2500.0</v>
      </c>
      <c r="M518" s="6" t="s">
        <v>3709</v>
      </c>
      <c r="N518" s="6" t="s">
        <v>2626</v>
      </c>
      <c r="O518" s="6" t="s">
        <v>2626</v>
      </c>
    </row>
    <row r="519">
      <c r="A519" s="6" t="s">
        <v>1220</v>
      </c>
      <c r="B519" s="6" t="s">
        <v>1220</v>
      </c>
      <c r="C519" s="6" t="s">
        <v>3710</v>
      </c>
      <c r="D519" s="6">
        <v>519.0</v>
      </c>
      <c r="F519" s="6" t="s">
        <v>93</v>
      </c>
      <c r="G519" s="6" t="s">
        <v>26</v>
      </c>
      <c r="I519" s="6" t="s">
        <v>3675</v>
      </c>
      <c r="J519" s="6">
        <v>0.0</v>
      </c>
      <c r="L519" s="6">
        <v>2500.0</v>
      </c>
      <c r="M519" s="6" t="s">
        <v>3711</v>
      </c>
      <c r="N519" s="6" t="s">
        <v>2626</v>
      </c>
      <c r="O519" s="6" t="s">
        <v>2626</v>
      </c>
    </row>
    <row r="520">
      <c r="A520" s="6" t="s">
        <v>1223</v>
      </c>
      <c r="B520" s="6" t="s">
        <v>1223</v>
      </c>
      <c r="C520" s="6" t="s">
        <v>3712</v>
      </c>
      <c r="D520" s="6">
        <v>520.0</v>
      </c>
      <c r="F520" s="6" t="s">
        <v>1221</v>
      </c>
      <c r="G520" s="6" t="s">
        <v>26</v>
      </c>
      <c r="I520" s="6" t="s">
        <v>3675</v>
      </c>
      <c r="J520" s="6">
        <v>0.0</v>
      </c>
      <c r="L520" s="6">
        <v>80000.0</v>
      </c>
      <c r="M520" s="6" t="s">
        <v>3713</v>
      </c>
      <c r="N520" s="6" t="s">
        <v>2626</v>
      </c>
      <c r="O520" s="6" t="s">
        <v>2626</v>
      </c>
    </row>
    <row r="521">
      <c r="A521" s="6" t="s">
        <v>1225</v>
      </c>
      <c r="B521" s="6" t="s">
        <v>1225</v>
      </c>
      <c r="C521" s="6" t="s">
        <v>3714</v>
      </c>
      <c r="D521" s="6">
        <v>521.0</v>
      </c>
      <c r="F521" s="6" t="s">
        <v>693</v>
      </c>
      <c r="G521" s="6" t="s">
        <v>26</v>
      </c>
      <c r="I521" s="6" t="s">
        <v>3675</v>
      </c>
      <c r="J521" s="6">
        <v>0.0</v>
      </c>
      <c r="L521" s="6">
        <v>140000.0</v>
      </c>
      <c r="M521" s="6" t="s">
        <v>3715</v>
      </c>
      <c r="N521" s="6" t="s">
        <v>2626</v>
      </c>
      <c r="O521" s="6" t="s">
        <v>2626</v>
      </c>
    </row>
    <row r="522">
      <c r="A522" s="6" t="s">
        <v>1227</v>
      </c>
      <c r="B522" s="6" t="s">
        <v>1227</v>
      </c>
      <c r="C522" s="6" t="s">
        <v>3716</v>
      </c>
      <c r="D522" s="6">
        <v>522.0</v>
      </c>
      <c r="F522" s="6" t="s">
        <v>78</v>
      </c>
      <c r="G522" s="6" t="s">
        <v>26</v>
      </c>
      <c r="I522" s="6" t="s">
        <v>3706</v>
      </c>
      <c r="J522" s="6">
        <v>0.0</v>
      </c>
      <c r="L522" s="6">
        <v>2500.0</v>
      </c>
      <c r="M522" s="6" t="s">
        <v>3717</v>
      </c>
      <c r="N522" s="6" t="s">
        <v>2626</v>
      </c>
      <c r="O522" s="6" t="s">
        <v>2626</v>
      </c>
    </row>
    <row r="523">
      <c r="A523" s="6" t="s">
        <v>1229</v>
      </c>
      <c r="B523" s="6" t="s">
        <v>1229</v>
      </c>
      <c r="C523" s="6" t="s">
        <v>3718</v>
      </c>
      <c r="D523" s="6">
        <v>523.0</v>
      </c>
      <c r="F523" s="6" t="s">
        <v>400</v>
      </c>
      <c r="G523" s="6" t="s">
        <v>26</v>
      </c>
      <c r="I523" s="6" t="s">
        <v>3675</v>
      </c>
      <c r="J523" s="6">
        <v>0.0</v>
      </c>
      <c r="L523" s="6">
        <v>2500.0</v>
      </c>
      <c r="M523" s="6" t="s">
        <v>3719</v>
      </c>
      <c r="N523" s="6" t="s">
        <v>2626</v>
      </c>
      <c r="O523" s="6" t="s">
        <v>2626</v>
      </c>
    </row>
    <row r="524">
      <c r="A524" s="6" t="s">
        <v>1231</v>
      </c>
      <c r="B524" s="6" t="s">
        <v>1231</v>
      </c>
      <c r="C524" s="6" t="s">
        <v>3720</v>
      </c>
      <c r="D524" s="6">
        <v>524.0</v>
      </c>
      <c r="F524" s="6" t="s">
        <v>18</v>
      </c>
      <c r="G524" s="6" t="s">
        <v>121</v>
      </c>
      <c r="J524" s="6">
        <v>0.0</v>
      </c>
      <c r="L524" s="6">
        <v>0.0</v>
      </c>
      <c r="M524" s="6" t="s">
        <v>3721</v>
      </c>
      <c r="N524" s="6" t="s">
        <v>2626</v>
      </c>
      <c r="O524" s="6" t="s">
        <v>2626</v>
      </c>
    </row>
    <row r="525">
      <c r="A525" s="6" t="s">
        <v>1232</v>
      </c>
      <c r="B525" s="6" t="s">
        <v>1232</v>
      </c>
      <c r="C525" s="6" t="s">
        <v>3722</v>
      </c>
      <c r="D525" s="6">
        <v>525.0</v>
      </c>
      <c r="F525" s="6" t="s">
        <v>306</v>
      </c>
      <c r="G525" s="6" t="s">
        <v>26</v>
      </c>
      <c r="I525" s="6" t="s">
        <v>3706</v>
      </c>
      <c r="J525" s="6">
        <v>0.0</v>
      </c>
      <c r="L525" s="6">
        <v>2500.0</v>
      </c>
      <c r="M525" s="6" t="s">
        <v>3723</v>
      </c>
      <c r="N525" s="6" t="s">
        <v>2626</v>
      </c>
      <c r="O525" s="6" t="s">
        <v>2626</v>
      </c>
    </row>
    <row r="526">
      <c r="A526" s="6" t="s">
        <v>1234</v>
      </c>
      <c r="B526" s="6" t="s">
        <v>1234</v>
      </c>
      <c r="C526" s="6" t="s">
        <v>3724</v>
      </c>
      <c r="D526" s="6">
        <v>526.0</v>
      </c>
      <c r="F526" s="6" t="s">
        <v>221</v>
      </c>
      <c r="G526" s="6" t="s">
        <v>26</v>
      </c>
      <c r="I526" s="6" t="s">
        <v>3706</v>
      </c>
      <c r="J526" s="6">
        <v>0.0</v>
      </c>
      <c r="L526" s="6">
        <v>750000.0</v>
      </c>
      <c r="M526" s="6" t="s">
        <v>3725</v>
      </c>
      <c r="N526" s="6" t="s">
        <v>2626</v>
      </c>
      <c r="O526" s="6" t="s">
        <v>2626</v>
      </c>
    </row>
    <row r="527">
      <c r="A527" s="6" t="s">
        <v>1236</v>
      </c>
      <c r="B527" s="6" t="s">
        <v>1236</v>
      </c>
      <c r="C527" s="6" t="s">
        <v>3726</v>
      </c>
      <c r="D527" s="6">
        <v>527.0</v>
      </c>
      <c r="F527" s="6" t="s">
        <v>605</v>
      </c>
      <c r="G527" s="6" t="s">
        <v>26</v>
      </c>
      <c r="I527" s="6" t="s">
        <v>3675</v>
      </c>
      <c r="J527" s="6">
        <v>0.0</v>
      </c>
      <c r="L527" s="6">
        <v>10000.0</v>
      </c>
      <c r="M527" s="6" t="s">
        <v>3727</v>
      </c>
      <c r="N527" s="6" t="s">
        <v>2626</v>
      </c>
      <c r="O527" s="6" t="s">
        <v>2626</v>
      </c>
    </row>
    <row r="528">
      <c r="A528" s="6" t="s">
        <v>1237</v>
      </c>
      <c r="B528" s="6" t="s">
        <v>1237</v>
      </c>
      <c r="C528" s="6" t="s">
        <v>3728</v>
      </c>
      <c r="D528" s="6">
        <v>528.0</v>
      </c>
      <c r="E528" s="6" t="s">
        <v>195</v>
      </c>
      <c r="F528" s="6" t="s">
        <v>508</v>
      </c>
      <c r="G528" s="6" t="s">
        <v>140</v>
      </c>
      <c r="J528" s="6">
        <v>0.0</v>
      </c>
      <c r="L528" s="6">
        <v>0.0</v>
      </c>
      <c r="M528" s="6" t="s">
        <v>3729</v>
      </c>
      <c r="N528" s="6" t="s">
        <v>2626</v>
      </c>
      <c r="O528" s="6" t="s">
        <v>2626</v>
      </c>
    </row>
    <row r="529">
      <c r="A529" s="6" t="s">
        <v>1238</v>
      </c>
      <c r="B529" s="6" t="s">
        <v>1238</v>
      </c>
      <c r="C529" s="6" t="s">
        <v>3730</v>
      </c>
      <c r="D529" s="6">
        <v>529.0</v>
      </c>
      <c r="E529" s="6" t="s">
        <v>195</v>
      </c>
      <c r="F529" s="6" t="s">
        <v>508</v>
      </c>
      <c r="G529" s="6" t="s">
        <v>140</v>
      </c>
      <c r="J529" s="6">
        <v>0.0</v>
      </c>
      <c r="L529" s="6">
        <v>0.0</v>
      </c>
      <c r="M529" s="6" t="s">
        <v>3731</v>
      </c>
      <c r="N529" s="6" t="s">
        <v>2626</v>
      </c>
      <c r="O529" s="6" t="s">
        <v>2626</v>
      </c>
    </row>
    <row r="530">
      <c r="A530" s="6" t="s">
        <v>1239</v>
      </c>
      <c r="B530" s="6" t="s">
        <v>1239</v>
      </c>
      <c r="C530" s="6" t="s">
        <v>3732</v>
      </c>
      <c r="D530" s="6">
        <v>530.0</v>
      </c>
      <c r="E530" s="6" t="s">
        <v>195</v>
      </c>
      <c r="F530" s="6" t="s">
        <v>508</v>
      </c>
      <c r="G530" s="6" t="s">
        <v>140</v>
      </c>
      <c r="J530" s="6">
        <v>0.0</v>
      </c>
      <c r="L530" s="6">
        <v>0.0</v>
      </c>
      <c r="M530" s="6" t="s">
        <v>3733</v>
      </c>
      <c r="N530" s="6" t="s">
        <v>2626</v>
      </c>
      <c r="O530" s="6" t="s">
        <v>2626</v>
      </c>
    </row>
    <row r="531">
      <c r="A531" s="6" t="s">
        <v>1241</v>
      </c>
      <c r="B531" s="6" t="s">
        <v>1241</v>
      </c>
      <c r="C531" s="6" t="s">
        <v>3734</v>
      </c>
      <c r="D531" s="6">
        <v>531.0</v>
      </c>
      <c r="E531" s="6">
        <v>3.51935566554418E14</v>
      </c>
      <c r="F531" s="6" t="s">
        <v>151</v>
      </c>
      <c r="G531" s="6" t="s">
        <v>26</v>
      </c>
      <c r="I531" s="6" t="s">
        <v>3706</v>
      </c>
      <c r="J531" s="6">
        <v>0.0</v>
      </c>
      <c r="L531" s="6">
        <v>760000.0</v>
      </c>
      <c r="M531" s="6" t="s">
        <v>3735</v>
      </c>
      <c r="N531" s="6" t="s">
        <v>2626</v>
      </c>
      <c r="O531" s="6" t="s">
        <v>2626</v>
      </c>
    </row>
    <row r="532">
      <c r="A532" s="6" t="s">
        <v>1242</v>
      </c>
      <c r="B532" s="6" t="s">
        <v>1242</v>
      </c>
      <c r="C532" s="6" t="s">
        <v>3736</v>
      </c>
      <c r="D532" s="6">
        <v>532.0</v>
      </c>
      <c r="E532" s="6" t="s">
        <v>195</v>
      </c>
      <c r="F532" s="6" t="s">
        <v>508</v>
      </c>
      <c r="G532" s="6" t="s">
        <v>140</v>
      </c>
      <c r="J532" s="6">
        <v>0.0</v>
      </c>
      <c r="L532" s="6">
        <v>0.0</v>
      </c>
      <c r="M532" s="6" t="s">
        <v>3737</v>
      </c>
      <c r="N532" s="6" t="s">
        <v>2626</v>
      </c>
      <c r="O532" s="6" t="s">
        <v>2626</v>
      </c>
    </row>
    <row r="533">
      <c r="A533" s="6" t="s">
        <v>1243</v>
      </c>
      <c r="B533" s="6" t="s">
        <v>1243</v>
      </c>
      <c r="C533" s="6" t="s">
        <v>3738</v>
      </c>
      <c r="D533" s="6">
        <v>533.0</v>
      </c>
      <c r="E533" s="6" t="s">
        <v>195</v>
      </c>
      <c r="F533" s="6" t="s">
        <v>508</v>
      </c>
      <c r="G533" s="6" t="s">
        <v>140</v>
      </c>
      <c r="J533" s="6">
        <v>0.0</v>
      </c>
      <c r="L533" s="6">
        <v>0.0</v>
      </c>
      <c r="M533" s="6" t="s">
        <v>3739</v>
      </c>
      <c r="N533" s="6" t="s">
        <v>2626</v>
      </c>
      <c r="O533" s="6" t="s">
        <v>2626</v>
      </c>
    </row>
    <row r="534">
      <c r="A534" s="6" t="s">
        <v>1244</v>
      </c>
      <c r="B534" s="6" t="s">
        <v>1244</v>
      </c>
      <c r="C534" s="6" t="s">
        <v>3740</v>
      </c>
      <c r="D534" s="6">
        <v>534.0</v>
      </c>
      <c r="E534" s="6" t="s">
        <v>195</v>
      </c>
      <c r="F534" s="6" t="s">
        <v>508</v>
      </c>
      <c r="G534" s="6" t="s">
        <v>140</v>
      </c>
      <c r="J534" s="6">
        <v>0.0</v>
      </c>
      <c r="L534" s="6">
        <v>0.0</v>
      </c>
      <c r="M534" s="6" t="s">
        <v>3741</v>
      </c>
      <c r="N534" s="6" t="s">
        <v>2626</v>
      </c>
      <c r="O534" s="6" t="s">
        <v>2626</v>
      </c>
    </row>
    <row r="535">
      <c r="A535" s="6" t="s">
        <v>1245</v>
      </c>
      <c r="B535" s="6" t="s">
        <v>1245</v>
      </c>
      <c r="C535" s="6" t="s">
        <v>3742</v>
      </c>
      <c r="D535" s="6">
        <v>535.0</v>
      </c>
      <c r="E535" s="6" t="s">
        <v>195</v>
      </c>
      <c r="F535" s="6" t="s">
        <v>508</v>
      </c>
      <c r="G535" s="6" t="s">
        <v>140</v>
      </c>
      <c r="J535" s="6">
        <v>0.0</v>
      </c>
      <c r="L535" s="6">
        <v>0.0</v>
      </c>
      <c r="M535" s="6" t="s">
        <v>3743</v>
      </c>
      <c r="N535" s="6" t="s">
        <v>2626</v>
      </c>
      <c r="O535" s="6" t="s">
        <v>2626</v>
      </c>
    </row>
    <row r="536">
      <c r="A536" s="6" t="s">
        <v>1248</v>
      </c>
      <c r="B536" s="6" t="s">
        <v>1248</v>
      </c>
      <c r="C536" s="6" t="s">
        <v>3744</v>
      </c>
      <c r="D536" s="6">
        <v>536.0</v>
      </c>
      <c r="F536" s="6" t="s">
        <v>1246</v>
      </c>
      <c r="G536" s="6" t="s">
        <v>26</v>
      </c>
      <c r="I536" s="6" t="s">
        <v>3745</v>
      </c>
      <c r="J536" s="6">
        <v>0.0</v>
      </c>
      <c r="L536" s="6">
        <v>3000.0</v>
      </c>
      <c r="M536" s="6" t="s">
        <v>3746</v>
      </c>
      <c r="N536" s="6" t="s">
        <v>2626</v>
      </c>
      <c r="O536" s="6" t="s">
        <v>2626</v>
      </c>
    </row>
    <row r="537">
      <c r="A537" s="6" t="s">
        <v>1250</v>
      </c>
      <c r="B537" s="6" t="s">
        <v>1250</v>
      </c>
      <c r="C537" s="6" t="s">
        <v>3747</v>
      </c>
      <c r="D537" s="6">
        <v>537.0</v>
      </c>
      <c r="F537" s="6" t="s">
        <v>993</v>
      </c>
      <c r="G537" s="6" t="s">
        <v>26</v>
      </c>
      <c r="I537" s="6" t="s">
        <v>3748</v>
      </c>
      <c r="J537" s="6">
        <v>0.0</v>
      </c>
      <c r="L537" s="6">
        <v>2500.0</v>
      </c>
      <c r="M537" s="6" t="s">
        <v>3749</v>
      </c>
      <c r="N537" s="6" t="s">
        <v>2626</v>
      </c>
      <c r="O537" s="6" t="s">
        <v>2626</v>
      </c>
    </row>
    <row r="538">
      <c r="A538" s="6" t="s">
        <v>1252</v>
      </c>
      <c r="B538" s="6" t="s">
        <v>1252</v>
      </c>
      <c r="C538" s="6" t="s">
        <v>3750</v>
      </c>
      <c r="D538" s="6">
        <v>538.0</v>
      </c>
      <c r="F538" s="6" t="s">
        <v>424</v>
      </c>
      <c r="G538" s="6" t="s">
        <v>26</v>
      </c>
      <c r="I538" s="6" t="s">
        <v>3748</v>
      </c>
      <c r="J538" s="6">
        <v>0.0</v>
      </c>
      <c r="L538" s="6">
        <v>2500.0</v>
      </c>
      <c r="M538" s="6" t="s">
        <v>3751</v>
      </c>
      <c r="N538" s="6" t="s">
        <v>2626</v>
      </c>
      <c r="O538" s="6" t="s">
        <v>2626</v>
      </c>
    </row>
    <row r="539">
      <c r="A539" s="6" t="s">
        <v>1254</v>
      </c>
      <c r="B539" s="6" t="s">
        <v>1254</v>
      </c>
      <c r="C539" s="6" t="s">
        <v>3752</v>
      </c>
      <c r="D539" s="6">
        <v>539.0</v>
      </c>
      <c r="F539" s="6" t="s">
        <v>1246</v>
      </c>
      <c r="G539" s="6" t="s">
        <v>26</v>
      </c>
      <c r="I539" s="6" t="s">
        <v>3748</v>
      </c>
      <c r="J539" s="6">
        <v>0.0</v>
      </c>
      <c r="L539" s="6">
        <v>4000.0</v>
      </c>
      <c r="M539" s="6" t="s">
        <v>3753</v>
      </c>
      <c r="N539" s="6" t="s">
        <v>2626</v>
      </c>
      <c r="O539" s="6" t="s">
        <v>2626</v>
      </c>
    </row>
    <row r="540">
      <c r="A540" s="6" t="s">
        <v>1257</v>
      </c>
      <c r="B540" s="6" t="s">
        <v>1257</v>
      </c>
      <c r="C540" s="6" t="s">
        <v>3754</v>
      </c>
      <c r="D540" s="6">
        <v>540.0</v>
      </c>
      <c r="E540" s="6">
        <v>3.59702375154869E14</v>
      </c>
      <c r="F540" s="6" t="s">
        <v>1255</v>
      </c>
      <c r="G540" s="6" t="s">
        <v>103</v>
      </c>
      <c r="J540" s="6">
        <v>0.0</v>
      </c>
      <c r="L540" s="6">
        <v>0.0</v>
      </c>
      <c r="M540" s="6" t="s">
        <v>3755</v>
      </c>
      <c r="N540" s="6" t="s">
        <v>2626</v>
      </c>
      <c r="O540" s="6" t="s">
        <v>2626</v>
      </c>
    </row>
    <row r="541">
      <c r="A541" s="6" t="s">
        <v>1259</v>
      </c>
      <c r="B541" s="6" t="s">
        <v>1259</v>
      </c>
      <c r="C541" s="6" t="s">
        <v>3756</v>
      </c>
      <c r="D541" s="6">
        <v>541.0</v>
      </c>
      <c r="F541" s="6" t="s">
        <v>60</v>
      </c>
      <c r="G541" s="6" t="s">
        <v>26</v>
      </c>
      <c r="I541" s="6" t="s">
        <v>3748</v>
      </c>
      <c r="J541" s="6">
        <v>0.0</v>
      </c>
      <c r="L541" s="6">
        <v>2500.0</v>
      </c>
      <c r="M541" s="6" t="s">
        <v>3757</v>
      </c>
      <c r="N541" s="6" t="s">
        <v>2626</v>
      </c>
      <c r="O541" s="6" t="s">
        <v>2626</v>
      </c>
    </row>
    <row r="542">
      <c r="A542" s="6" t="s">
        <v>1261</v>
      </c>
      <c r="B542" s="6" t="s">
        <v>1261</v>
      </c>
      <c r="C542" s="6" t="s">
        <v>3758</v>
      </c>
      <c r="D542" s="6">
        <v>542.0</v>
      </c>
      <c r="F542" s="6" t="s">
        <v>89</v>
      </c>
      <c r="G542" s="6" t="s">
        <v>26</v>
      </c>
      <c r="I542" s="6" t="s">
        <v>3748</v>
      </c>
      <c r="J542" s="6">
        <v>0.0</v>
      </c>
      <c r="L542" s="6">
        <v>15000.0</v>
      </c>
      <c r="M542" s="6" t="s">
        <v>3759</v>
      </c>
      <c r="N542" s="6" t="s">
        <v>2626</v>
      </c>
      <c r="O542" s="6" t="s">
        <v>2626</v>
      </c>
    </row>
    <row r="543">
      <c r="A543" s="6" t="s">
        <v>1263</v>
      </c>
      <c r="B543" s="6" t="s">
        <v>1263</v>
      </c>
      <c r="C543" s="6" t="s">
        <v>3760</v>
      </c>
      <c r="D543" s="6">
        <v>543.0</v>
      </c>
      <c r="F543" s="6" t="s">
        <v>236</v>
      </c>
      <c r="G543" s="6" t="s">
        <v>26</v>
      </c>
      <c r="I543" s="6" t="s">
        <v>3748</v>
      </c>
      <c r="J543" s="6">
        <v>0.0</v>
      </c>
      <c r="L543" s="6">
        <v>70000.0</v>
      </c>
      <c r="M543" s="6" t="s">
        <v>3761</v>
      </c>
      <c r="N543" s="6" t="s">
        <v>2626</v>
      </c>
      <c r="O543" s="6" t="s">
        <v>2626</v>
      </c>
    </row>
    <row r="544">
      <c r="A544" s="6" t="s">
        <v>1265</v>
      </c>
      <c r="B544" s="6" t="s">
        <v>1265</v>
      </c>
      <c r="C544" s="6" t="s">
        <v>3762</v>
      </c>
      <c r="D544" s="6">
        <v>544.0</v>
      </c>
      <c r="F544" s="6" t="s">
        <v>485</v>
      </c>
      <c r="G544" s="6" t="s">
        <v>26</v>
      </c>
      <c r="I544" s="6" t="s">
        <v>3748</v>
      </c>
      <c r="J544" s="6">
        <v>0.0</v>
      </c>
      <c r="L544" s="6">
        <v>28000.0</v>
      </c>
      <c r="M544" s="6" t="s">
        <v>3763</v>
      </c>
      <c r="N544" s="6" t="s">
        <v>2626</v>
      </c>
      <c r="O544" s="6" t="s">
        <v>2626</v>
      </c>
    </row>
    <row r="545">
      <c r="A545" s="6" t="s">
        <v>1267</v>
      </c>
      <c r="B545" s="6" t="s">
        <v>1267</v>
      </c>
      <c r="C545" s="6" t="s">
        <v>3764</v>
      </c>
      <c r="D545" s="6">
        <v>545.0</v>
      </c>
      <c r="F545" s="6" t="s">
        <v>89</v>
      </c>
      <c r="G545" s="6" t="s">
        <v>26</v>
      </c>
      <c r="I545" s="6" t="s">
        <v>3748</v>
      </c>
      <c r="J545" s="6">
        <v>0.0</v>
      </c>
      <c r="L545" s="6">
        <v>8000.0</v>
      </c>
      <c r="M545" s="6" t="s">
        <v>3765</v>
      </c>
      <c r="N545" s="6" t="s">
        <v>2626</v>
      </c>
      <c r="O545" s="6" t="s">
        <v>2626</v>
      </c>
    </row>
    <row r="546">
      <c r="A546" s="6" t="s">
        <v>1268</v>
      </c>
      <c r="B546" s="6" t="s">
        <v>1268</v>
      </c>
      <c r="C546" s="6" t="s">
        <v>3766</v>
      </c>
      <c r="D546" s="6">
        <v>546.0</v>
      </c>
      <c r="E546" s="6" t="s">
        <v>140</v>
      </c>
      <c r="F546" s="6" t="s">
        <v>195</v>
      </c>
      <c r="G546" s="6" t="s">
        <v>140</v>
      </c>
      <c r="J546" s="6">
        <v>0.0</v>
      </c>
      <c r="L546" s="6">
        <v>0.0</v>
      </c>
      <c r="M546" s="6" t="s">
        <v>3767</v>
      </c>
      <c r="N546" s="6" t="s">
        <v>2626</v>
      </c>
      <c r="O546" s="6" t="s">
        <v>2626</v>
      </c>
    </row>
    <row r="547">
      <c r="A547" s="6" t="s">
        <v>1269</v>
      </c>
      <c r="B547" s="6" t="s">
        <v>1269</v>
      </c>
      <c r="C547" s="6" t="s">
        <v>3768</v>
      </c>
      <c r="D547" s="6">
        <v>547.0</v>
      </c>
      <c r="E547" s="6" t="s">
        <v>140</v>
      </c>
      <c r="F547" s="6" t="s">
        <v>140</v>
      </c>
      <c r="G547" s="6" t="s">
        <v>140</v>
      </c>
      <c r="J547" s="6">
        <v>0.0</v>
      </c>
      <c r="L547" s="6">
        <v>0.0</v>
      </c>
      <c r="M547" s="6" t="s">
        <v>3769</v>
      </c>
      <c r="N547" s="6" t="s">
        <v>2626</v>
      </c>
      <c r="O547" s="6" t="s">
        <v>2626</v>
      </c>
    </row>
    <row r="548">
      <c r="A548" s="6" t="s">
        <v>1270</v>
      </c>
      <c r="B548" s="6" t="s">
        <v>1270</v>
      </c>
      <c r="C548" s="6" t="s">
        <v>3770</v>
      </c>
      <c r="D548" s="6">
        <v>548.0</v>
      </c>
      <c r="E548" s="6" t="s">
        <v>140</v>
      </c>
      <c r="F548" s="6" t="s">
        <v>140</v>
      </c>
      <c r="G548" s="6" t="s">
        <v>140</v>
      </c>
      <c r="J548" s="6">
        <v>0.0</v>
      </c>
      <c r="L548" s="6">
        <v>0.0</v>
      </c>
      <c r="M548" s="6" t="s">
        <v>3771</v>
      </c>
      <c r="N548" s="6" t="s">
        <v>2626</v>
      </c>
      <c r="O548" s="6" t="s">
        <v>2626</v>
      </c>
    </row>
    <row r="549">
      <c r="A549" s="6" t="s">
        <v>1272</v>
      </c>
      <c r="B549" s="6" t="s">
        <v>1272</v>
      </c>
      <c r="C549" s="6" t="s">
        <v>3772</v>
      </c>
      <c r="D549" s="6">
        <v>549.0</v>
      </c>
      <c r="F549" s="6" t="s">
        <v>485</v>
      </c>
      <c r="G549" s="6" t="s">
        <v>26</v>
      </c>
      <c r="I549" s="6" t="s">
        <v>3745</v>
      </c>
      <c r="J549" s="6">
        <v>0.0</v>
      </c>
      <c r="L549" s="6">
        <v>15000.0</v>
      </c>
      <c r="M549" s="6" t="s">
        <v>3773</v>
      </c>
      <c r="N549" s="6" t="s">
        <v>2626</v>
      </c>
      <c r="O549" s="6" t="s">
        <v>2626</v>
      </c>
    </row>
    <row r="550">
      <c r="A550" s="6" t="s">
        <v>1274</v>
      </c>
      <c r="B550" s="6" t="s">
        <v>1274</v>
      </c>
      <c r="C550" s="6" t="s">
        <v>3774</v>
      </c>
      <c r="D550" s="6">
        <v>550.0</v>
      </c>
      <c r="F550" s="6" t="s">
        <v>424</v>
      </c>
      <c r="G550" s="6" t="s">
        <v>26</v>
      </c>
      <c r="I550" s="6" t="s">
        <v>3745</v>
      </c>
      <c r="J550" s="6">
        <v>0.0</v>
      </c>
      <c r="L550" s="6">
        <v>2500.0</v>
      </c>
      <c r="M550" s="6" t="s">
        <v>3775</v>
      </c>
      <c r="N550" s="6" t="s">
        <v>2626</v>
      </c>
      <c r="O550" s="6" t="s">
        <v>2626</v>
      </c>
    </row>
    <row r="551">
      <c r="A551" s="6" t="s">
        <v>1277</v>
      </c>
      <c r="B551" s="6" t="s">
        <v>1277</v>
      </c>
      <c r="C551" s="6" t="s">
        <v>3776</v>
      </c>
      <c r="D551" s="6">
        <v>551.0</v>
      </c>
      <c r="F551" s="6" t="s">
        <v>1275</v>
      </c>
      <c r="G551" s="6" t="s">
        <v>26</v>
      </c>
      <c r="I551" s="6" t="s">
        <v>3745</v>
      </c>
      <c r="J551" s="6">
        <v>0.0</v>
      </c>
      <c r="L551" s="6">
        <v>360000.0</v>
      </c>
      <c r="M551" s="6" t="s">
        <v>3777</v>
      </c>
      <c r="N551" s="6" t="s">
        <v>2626</v>
      </c>
      <c r="O551" s="6" t="s">
        <v>2626</v>
      </c>
    </row>
    <row r="552">
      <c r="A552" s="6" t="s">
        <v>1279</v>
      </c>
      <c r="B552" s="6" t="s">
        <v>1279</v>
      </c>
      <c r="C552" s="6" t="s">
        <v>3778</v>
      </c>
      <c r="D552" s="6">
        <v>552.0</v>
      </c>
      <c r="F552" s="6" t="s">
        <v>97</v>
      </c>
      <c r="G552" s="6" t="s">
        <v>26</v>
      </c>
      <c r="I552" s="6" t="s">
        <v>3745</v>
      </c>
      <c r="J552" s="6">
        <v>0.0</v>
      </c>
      <c r="L552" s="6">
        <v>2500.0</v>
      </c>
      <c r="M552" s="6" t="s">
        <v>3779</v>
      </c>
      <c r="N552" s="6" t="s">
        <v>2626</v>
      </c>
      <c r="O552" s="6" t="s">
        <v>2626</v>
      </c>
    </row>
    <row r="553">
      <c r="A553" s="6" t="s">
        <v>1282</v>
      </c>
      <c r="B553" s="6" t="s">
        <v>1282</v>
      </c>
      <c r="C553" s="6" t="s">
        <v>3780</v>
      </c>
      <c r="D553" s="6">
        <v>553.0</v>
      </c>
      <c r="F553" s="6" t="s">
        <v>1280</v>
      </c>
      <c r="G553" s="6" t="s">
        <v>26</v>
      </c>
      <c r="I553" s="6" t="s">
        <v>3745</v>
      </c>
      <c r="J553" s="6">
        <v>0.0</v>
      </c>
      <c r="L553" s="6">
        <v>3000.0</v>
      </c>
      <c r="M553" s="6" t="s">
        <v>3781</v>
      </c>
      <c r="N553" s="6" t="s">
        <v>2626</v>
      </c>
      <c r="O553" s="6" t="s">
        <v>2626</v>
      </c>
    </row>
    <row r="554">
      <c r="A554" s="6" t="s">
        <v>1283</v>
      </c>
      <c r="B554" s="6" t="s">
        <v>1283</v>
      </c>
      <c r="C554" s="6" t="s">
        <v>3782</v>
      </c>
      <c r="D554" s="6">
        <v>554.0</v>
      </c>
      <c r="E554" s="6" t="s">
        <v>140</v>
      </c>
      <c r="F554" s="6" t="s">
        <v>195</v>
      </c>
      <c r="G554" s="6" t="s">
        <v>140</v>
      </c>
      <c r="J554" s="6">
        <v>0.0</v>
      </c>
      <c r="L554" s="6">
        <v>0.0</v>
      </c>
      <c r="M554" s="6" t="s">
        <v>3783</v>
      </c>
      <c r="N554" s="6" t="s">
        <v>2626</v>
      </c>
      <c r="O554" s="6" t="s">
        <v>2626</v>
      </c>
    </row>
    <row r="555">
      <c r="A555" s="6" t="s">
        <v>1284</v>
      </c>
      <c r="B555" s="6" t="s">
        <v>1284</v>
      </c>
      <c r="C555" s="6" t="s">
        <v>3784</v>
      </c>
      <c r="D555" s="6">
        <v>555.0</v>
      </c>
      <c r="E555" s="6" t="s">
        <v>140</v>
      </c>
      <c r="F555" s="6" t="s">
        <v>140</v>
      </c>
      <c r="G555" s="6" t="s">
        <v>140</v>
      </c>
      <c r="J555" s="6">
        <v>0.0</v>
      </c>
      <c r="L555" s="6">
        <v>0.0</v>
      </c>
      <c r="M555" s="6" t="s">
        <v>3785</v>
      </c>
      <c r="N555" s="6" t="s">
        <v>2626</v>
      </c>
      <c r="O555" s="6" t="s">
        <v>2626</v>
      </c>
    </row>
    <row r="556">
      <c r="A556" s="6" t="s">
        <v>1285</v>
      </c>
      <c r="B556" s="6" t="s">
        <v>1285</v>
      </c>
      <c r="C556" s="6" t="s">
        <v>3786</v>
      </c>
      <c r="D556" s="6">
        <v>556.0</v>
      </c>
      <c r="E556" s="6" t="s">
        <v>140</v>
      </c>
      <c r="F556" s="6" t="s">
        <v>140</v>
      </c>
      <c r="G556" s="6" t="s">
        <v>140</v>
      </c>
      <c r="J556" s="6">
        <v>0.0</v>
      </c>
      <c r="L556" s="6">
        <v>0.0</v>
      </c>
      <c r="M556" s="6" t="s">
        <v>3787</v>
      </c>
      <c r="N556" s="6" t="s">
        <v>2626</v>
      </c>
      <c r="O556" s="6" t="s">
        <v>2626</v>
      </c>
    </row>
    <row r="557">
      <c r="A557" s="6" t="s">
        <v>1287</v>
      </c>
      <c r="B557" s="6" t="s">
        <v>1287</v>
      </c>
      <c r="C557" s="6" t="s">
        <v>3788</v>
      </c>
      <c r="D557" s="6">
        <v>557.0</v>
      </c>
      <c r="F557" s="6" t="s">
        <v>473</v>
      </c>
      <c r="G557" s="6" t="s">
        <v>26</v>
      </c>
      <c r="I557" s="6" t="s">
        <v>3789</v>
      </c>
      <c r="J557" s="6">
        <v>0.0</v>
      </c>
      <c r="L557" s="6">
        <v>2500.0</v>
      </c>
      <c r="M557" s="6" t="s">
        <v>3790</v>
      </c>
      <c r="N557" s="6" t="s">
        <v>2626</v>
      </c>
      <c r="O557" s="6" t="s">
        <v>2626</v>
      </c>
    </row>
    <row r="558">
      <c r="A558" s="6" t="s">
        <v>1289</v>
      </c>
      <c r="B558" s="6" t="s">
        <v>1289</v>
      </c>
      <c r="C558" s="6" t="s">
        <v>3791</v>
      </c>
      <c r="D558" s="6">
        <v>558.0</v>
      </c>
      <c r="F558" s="6" t="s">
        <v>23</v>
      </c>
      <c r="G558" s="6" t="s">
        <v>26</v>
      </c>
      <c r="I558" s="6" t="s">
        <v>3789</v>
      </c>
      <c r="J558" s="6">
        <v>0.0</v>
      </c>
      <c r="L558" s="6">
        <v>2500.0</v>
      </c>
      <c r="M558" s="6" t="s">
        <v>3792</v>
      </c>
      <c r="N558" s="6" t="s">
        <v>2626</v>
      </c>
      <c r="O558" s="6" t="s">
        <v>2626</v>
      </c>
    </row>
    <row r="559">
      <c r="A559" s="6" t="s">
        <v>1290</v>
      </c>
      <c r="B559" s="6" t="s">
        <v>1290</v>
      </c>
      <c r="C559" s="6" t="s">
        <v>3793</v>
      </c>
      <c r="D559" s="6">
        <v>559.0</v>
      </c>
      <c r="F559" s="6" t="s">
        <v>578</v>
      </c>
      <c r="G559" s="6" t="s">
        <v>121</v>
      </c>
      <c r="J559" s="6">
        <v>0.0</v>
      </c>
      <c r="L559" s="6">
        <v>0.0</v>
      </c>
      <c r="M559" s="6" t="s">
        <v>3794</v>
      </c>
      <c r="N559" s="6" t="s">
        <v>2626</v>
      </c>
      <c r="O559" s="6" t="s">
        <v>2626</v>
      </c>
    </row>
    <row r="560">
      <c r="A560" s="6" t="s">
        <v>1292</v>
      </c>
      <c r="B560" s="6" t="s">
        <v>1292</v>
      </c>
      <c r="C560" s="6" t="s">
        <v>3795</v>
      </c>
      <c r="D560" s="6">
        <v>560.0</v>
      </c>
      <c r="F560" s="6" t="s">
        <v>54</v>
      </c>
      <c r="G560" s="6" t="s">
        <v>26</v>
      </c>
      <c r="I560" s="6" t="s">
        <v>3789</v>
      </c>
      <c r="J560" s="6">
        <v>0.0</v>
      </c>
      <c r="L560" s="6">
        <v>2500.0</v>
      </c>
      <c r="M560" s="6" t="s">
        <v>3796</v>
      </c>
      <c r="N560" s="6" t="s">
        <v>2626</v>
      </c>
      <c r="O560" s="6" t="s">
        <v>2626</v>
      </c>
    </row>
    <row r="561">
      <c r="A561" s="6" t="s">
        <v>1293</v>
      </c>
      <c r="B561" s="6" t="s">
        <v>1293</v>
      </c>
      <c r="C561" s="6" t="s">
        <v>3797</v>
      </c>
      <c r="D561" s="6">
        <v>561.0</v>
      </c>
      <c r="F561" s="6" t="s">
        <v>64</v>
      </c>
      <c r="G561" s="6" t="s">
        <v>26</v>
      </c>
      <c r="I561" s="6" t="s">
        <v>3789</v>
      </c>
      <c r="J561" s="6">
        <v>0.0</v>
      </c>
      <c r="L561" s="6">
        <v>2500.0</v>
      </c>
      <c r="M561" s="6" t="s">
        <v>3798</v>
      </c>
      <c r="N561" s="6" t="s">
        <v>2626</v>
      </c>
      <c r="O561" s="6" t="s">
        <v>2626</v>
      </c>
    </row>
    <row r="562">
      <c r="A562" s="6" t="s">
        <v>1296</v>
      </c>
      <c r="B562" s="6" t="s">
        <v>1296</v>
      </c>
      <c r="C562" s="6" t="s">
        <v>3799</v>
      </c>
      <c r="D562" s="6">
        <v>562.0</v>
      </c>
      <c r="F562" s="6" t="s">
        <v>408</v>
      </c>
      <c r="G562" s="6" t="s">
        <v>121</v>
      </c>
      <c r="J562" s="6">
        <v>0.0</v>
      </c>
      <c r="L562" s="6">
        <v>0.0</v>
      </c>
      <c r="M562" s="6" t="s">
        <v>3800</v>
      </c>
      <c r="N562" s="6" t="s">
        <v>2626</v>
      </c>
      <c r="O562" s="6" t="s">
        <v>2626</v>
      </c>
    </row>
    <row r="563">
      <c r="A563" s="6" t="s">
        <v>1298</v>
      </c>
      <c r="B563" s="6" t="s">
        <v>1298</v>
      </c>
      <c r="C563" s="6" t="s">
        <v>3801</v>
      </c>
      <c r="D563" s="6">
        <v>563.0</v>
      </c>
      <c r="F563" s="6" t="s">
        <v>89</v>
      </c>
      <c r="G563" s="6" t="s">
        <v>26</v>
      </c>
      <c r="I563" s="6" t="s">
        <v>3789</v>
      </c>
      <c r="J563" s="6">
        <v>0.0</v>
      </c>
      <c r="L563" s="6">
        <v>2500.0</v>
      </c>
      <c r="M563" s="6" t="s">
        <v>3802</v>
      </c>
      <c r="N563" s="6" t="s">
        <v>2626</v>
      </c>
      <c r="O563" s="6" t="s">
        <v>2626</v>
      </c>
    </row>
    <row r="564">
      <c r="A564" s="6" t="s">
        <v>1301</v>
      </c>
      <c r="B564" s="6" t="s">
        <v>1301</v>
      </c>
      <c r="C564" s="6" t="s">
        <v>3803</v>
      </c>
      <c r="D564" s="6">
        <v>564.0</v>
      </c>
      <c r="E564" s="6">
        <v>3.54273444015213E14</v>
      </c>
      <c r="F564" s="6" t="s">
        <v>874</v>
      </c>
      <c r="G564" s="6" t="s">
        <v>26</v>
      </c>
      <c r="I564" s="6" t="s">
        <v>3789</v>
      </c>
      <c r="J564" s="6">
        <v>0.0</v>
      </c>
      <c r="L564" s="6">
        <v>2500.0</v>
      </c>
      <c r="M564" s="6" t="s">
        <v>3804</v>
      </c>
      <c r="N564" s="6" t="s">
        <v>2626</v>
      </c>
      <c r="O564" s="6" t="s">
        <v>2626</v>
      </c>
    </row>
    <row r="565">
      <c r="A565" s="6" t="s">
        <v>1304</v>
      </c>
      <c r="B565" s="6" t="s">
        <v>1304</v>
      </c>
      <c r="C565" s="6" t="s">
        <v>3805</v>
      </c>
      <c r="D565" s="6">
        <v>565.0</v>
      </c>
      <c r="F565" s="6" t="s">
        <v>1302</v>
      </c>
      <c r="G565" s="6" t="s">
        <v>26</v>
      </c>
      <c r="I565" s="6" t="s">
        <v>3789</v>
      </c>
      <c r="J565" s="6">
        <v>0.0</v>
      </c>
      <c r="L565" s="6">
        <v>2500.0</v>
      </c>
      <c r="M565" s="6" t="s">
        <v>3806</v>
      </c>
      <c r="N565" s="6" t="s">
        <v>2626</v>
      </c>
      <c r="O565" s="6" t="s">
        <v>2626</v>
      </c>
    </row>
    <row r="566">
      <c r="A566" s="6" t="s">
        <v>1306</v>
      </c>
      <c r="B566" s="6" t="s">
        <v>1306</v>
      </c>
      <c r="C566" s="6" t="s">
        <v>3807</v>
      </c>
      <c r="D566" s="6">
        <v>566.0</v>
      </c>
      <c r="F566" s="6" t="s">
        <v>46</v>
      </c>
      <c r="G566" s="6" t="s">
        <v>26</v>
      </c>
      <c r="I566" s="6" t="s">
        <v>3789</v>
      </c>
      <c r="J566" s="6">
        <v>0.0</v>
      </c>
      <c r="L566" s="6">
        <v>2500.0</v>
      </c>
      <c r="M566" s="6" t="s">
        <v>3808</v>
      </c>
      <c r="N566" s="6" t="s">
        <v>2626</v>
      </c>
      <c r="O566" s="6" t="s">
        <v>2626</v>
      </c>
    </row>
    <row r="567">
      <c r="A567" s="6" t="s">
        <v>1308</v>
      </c>
      <c r="B567" s="6" t="s">
        <v>1308</v>
      </c>
      <c r="C567" s="6" t="s">
        <v>3809</v>
      </c>
      <c r="D567" s="6">
        <v>567.0</v>
      </c>
      <c r="F567" s="6" t="s">
        <v>495</v>
      </c>
      <c r="G567" s="6" t="s">
        <v>26</v>
      </c>
      <c r="I567" s="6" t="s">
        <v>3789</v>
      </c>
      <c r="J567" s="6">
        <v>0.0</v>
      </c>
      <c r="L567" s="6">
        <v>3000.0</v>
      </c>
      <c r="M567" s="6" t="s">
        <v>3810</v>
      </c>
      <c r="N567" s="6" t="s">
        <v>2626</v>
      </c>
      <c r="O567" s="6" t="s">
        <v>2626</v>
      </c>
    </row>
    <row r="568">
      <c r="A568" s="6" t="s">
        <v>1310</v>
      </c>
      <c r="B568" s="6" t="s">
        <v>1310</v>
      </c>
      <c r="C568" s="6" t="s">
        <v>3811</v>
      </c>
      <c r="D568" s="6">
        <v>568.0</v>
      </c>
      <c r="F568" s="6" t="s">
        <v>108</v>
      </c>
      <c r="G568" s="6" t="s">
        <v>26</v>
      </c>
      <c r="I568" s="6" t="s">
        <v>3789</v>
      </c>
      <c r="J568" s="6">
        <v>0.0</v>
      </c>
      <c r="L568" s="6">
        <v>100000.0</v>
      </c>
      <c r="M568" s="6" t="s">
        <v>3812</v>
      </c>
      <c r="N568" s="6" t="s">
        <v>2626</v>
      </c>
      <c r="O568" s="6" t="s">
        <v>2626</v>
      </c>
    </row>
    <row r="569">
      <c r="A569" s="6" t="s">
        <v>1312</v>
      </c>
      <c r="B569" s="6" t="s">
        <v>1312</v>
      </c>
      <c r="C569" s="6" t="s">
        <v>3813</v>
      </c>
      <c r="D569" s="6">
        <v>569.0</v>
      </c>
      <c r="F569" s="6" t="s">
        <v>70</v>
      </c>
      <c r="G569" s="6" t="s">
        <v>26</v>
      </c>
      <c r="I569" s="6" t="s">
        <v>3789</v>
      </c>
      <c r="J569" s="6">
        <v>0.0</v>
      </c>
      <c r="L569" s="6">
        <v>2500.0</v>
      </c>
      <c r="M569" s="6" t="s">
        <v>3814</v>
      </c>
      <c r="N569" s="6" t="s">
        <v>2626</v>
      </c>
      <c r="O569" s="6" t="s">
        <v>2626</v>
      </c>
    </row>
    <row r="570">
      <c r="A570" s="6" t="s">
        <v>1313</v>
      </c>
      <c r="B570" s="6" t="s">
        <v>1313</v>
      </c>
      <c r="C570" s="6" t="s">
        <v>3815</v>
      </c>
      <c r="D570" s="6">
        <v>570.0</v>
      </c>
      <c r="E570" s="6" t="s">
        <v>140</v>
      </c>
      <c r="F570" s="6" t="s">
        <v>140</v>
      </c>
      <c r="G570" s="6" t="s">
        <v>140</v>
      </c>
      <c r="J570" s="6">
        <v>0.0</v>
      </c>
      <c r="L570" s="6">
        <v>0.0</v>
      </c>
      <c r="M570" s="6" t="s">
        <v>3816</v>
      </c>
      <c r="N570" s="6" t="s">
        <v>2626</v>
      </c>
      <c r="O570" s="6" t="s">
        <v>2626</v>
      </c>
    </row>
    <row r="571">
      <c r="A571" s="6" t="s">
        <v>1314</v>
      </c>
      <c r="B571" s="6" t="s">
        <v>1314</v>
      </c>
      <c r="C571" s="6" t="s">
        <v>3817</v>
      </c>
      <c r="D571" s="6">
        <v>571.0</v>
      </c>
      <c r="E571" s="6" t="s">
        <v>140</v>
      </c>
      <c r="F571" s="6" t="s">
        <v>195</v>
      </c>
      <c r="G571" s="6" t="s">
        <v>140</v>
      </c>
      <c r="J571" s="6">
        <v>0.0</v>
      </c>
      <c r="L571" s="6">
        <v>0.0</v>
      </c>
      <c r="M571" s="6" t="s">
        <v>3818</v>
      </c>
      <c r="N571" s="6" t="s">
        <v>2626</v>
      </c>
      <c r="O571" s="6" t="s">
        <v>2626</v>
      </c>
    </row>
    <row r="572">
      <c r="A572" s="6" t="s">
        <v>1315</v>
      </c>
      <c r="B572" s="6" t="s">
        <v>1315</v>
      </c>
      <c r="C572" s="6" t="s">
        <v>3819</v>
      </c>
      <c r="D572" s="6">
        <v>572.0</v>
      </c>
      <c r="E572" s="6" t="s">
        <v>140</v>
      </c>
      <c r="F572" s="6" t="s">
        <v>140</v>
      </c>
      <c r="G572" s="6" t="s">
        <v>140</v>
      </c>
      <c r="J572" s="6">
        <v>0.0</v>
      </c>
      <c r="L572" s="6">
        <v>0.0</v>
      </c>
      <c r="M572" s="6" t="s">
        <v>3820</v>
      </c>
      <c r="N572" s="6" t="s">
        <v>2626</v>
      </c>
      <c r="O572" s="6" t="s">
        <v>2626</v>
      </c>
    </row>
    <row r="573">
      <c r="A573" s="6" t="s">
        <v>1316</v>
      </c>
      <c r="B573" s="6" t="s">
        <v>1316</v>
      </c>
      <c r="C573" s="6" t="s">
        <v>3821</v>
      </c>
      <c r="D573" s="6">
        <v>573.0</v>
      </c>
      <c r="E573" s="6" t="s">
        <v>140</v>
      </c>
      <c r="F573" s="6" t="s">
        <v>140</v>
      </c>
      <c r="G573" s="6" t="s">
        <v>140</v>
      </c>
      <c r="J573" s="6">
        <v>0.0</v>
      </c>
      <c r="L573" s="6">
        <v>0.0</v>
      </c>
      <c r="M573" s="6" t="s">
        <v>3822</v>
      </c>
      <c r="N573" s="6" t="s">
        <v>2626</v>
      </c>
      <c r="O573" s="6" t="s">
        <v>2626</v>
      </c>
    </row>
    <row r="574">
      <c r="A574" s="6" t="s">
        <v>1318</v>
      </c>
      <c r="B574" s="6" t="s">
        <v>1318</v>
      </c>
      <c r="C574" s="6" t="s">
        <v>3823</v>
      </c>
      <c r="D574" s="6">
        <v>574.0</v>
      </c>
      <c r="F574" s="6" t="s">
        <v>133</v>
      </c>
      <c r="G574" s="6" t="s">
        <v>26</v>
      </c>
      <c r="I574" s="6" t="s">
        <v>3824</v>
      </c>
      <c r="J574" s="6">
        <v>0.0</v>
      </c>
      <c r="L574" s="6">
        <v>5000.0</v>
      </c>
      <c r="M574" s="6" t="s">
        <v>3825</v>
      </c>
      <c r="N574" s="6" t="s">
        <v>2626</v>
      </c>
      <c r="O574" s="6" t="s">
        <v>2626</v>
      </c>
    </row>
    <row r="575">
      <c r="A575" s="6" t="s">
        <v>1320</v>
      </c>
      <c r="B575" s="6" t="s">
        <v>1320</v>
      </c>
      <c r="C575" s="6" t="s">
        <v>3826</v>
      </c>
      <c r="D575" s="6">
        <v>575.0</v>
      </c>
      <c r="F575" s="6" t="s">
        <v>54</v>
      </c>
      <c r="G575" s="6" t="s">
        <v>26</v>
      </c>
      <c r="I575" s="6" t="s">
        <v>3824</v>
      </c>
      <c r="J575" s="6">
        <v>0.0</v>
      </c>
      <c r="L575" s="6">
        <v>2500.0</v>
      </c>
      <c r="M575" s="6" t="s">
        <v>3827</v>
      </c>
      <c r="N575" s="6" t="s">
        <v>2626</v>
      </c>
      <c r="O575" s="6" t="s">
        <v>2626</v>
      </c>
    </row>
    <row r="576">
      <c r="A576" s="6" t="s">
        <v>1322</v>
      </c>
      <c r="B576" s="6" t="s">
        <v>1322</v>
      </c>
      <c r="C576" s="6" t="s">
        <v>3828</v>
      </c>
      <c r="D576" s="6">
        <v>576.0</v>
      </c>
      <c r="F576" s="6" t="s">
        <v>1154</v>
      </c>
      <c r="G576" s="6" t="s">
        <v>103</v>
      </c>
      <c r="J576" s="6">
        <v>0.0</v>
      </c>
      <c r="L576" s="6">
        <v>0.0</v>
      </c>
      <c r="M576" s="6" t="s">
        <v>3829</v>
      </c>
      <c r="N576" s="6" t="s">
        <v>2626</v>
      </c>
      <c r="O576" s="6" t="s">
        <v>2626</v>
      </c>
    </row>
    <row r="577">
      <c r="A577" s="6" t="s">
        <v>1324</v>
      </c>
      <c r="B577" s="6" t="s">
        <v>1324</v>
      </c>
      <c r="C577" s="6" t="s">
        <v>3830</v>
      </c>
      <c r="D577" s="6">
        <v>577.0</v>
      </c>
      <c r="F577" s="6" t="s">
        <v>254</v>
      </c>
      <c r="G577" s="6" t="s">
        <v>26</v>
      </c>
      <c r="I577" s="6" t="s">
        <v>3824</v>
      </c>
      <c r="J577" s="6">
        <v>0.0</v>
      </c>
      <c r="L577" s="6">
        <v>2500.0</v>
      </c>
      <c r="M577" s="6" t="s">
        <v>3831</v>
      </c>
      <c r="N577" s="6" t="s">
        <v>2626</v>
      </c>
      <c r="O577" s="6" t="s">
        <v>2626</v>
      </c>
    </row>
    <row r="578">
      <c r="A578" s="6" t="s">
        <v>1327</v>
      </c>
      <c r="B578" s="6" t="s">
        <v>1327</v>
      </c>
      <c r="C578" s="6" t="s">
        <v>3832</v>
      </c>
      <c r="D578" s="6">
        <v>578.0</v>
      </c>
      <c r="E578" s="6">
        <v>3.5384324256541E14</v>
      </c>
      <c r="F578" s="6" t="s">
        <v>464</v>
      </c>
      <c r="G578" s="6" t="s">
        <v>26</v>
      </c>
      <c r="I578" s="6" t="s">
        <v>3824</v>
      </c>
      <c r="J578" s="6">
        <v>0.0</v>
      </c>
      <c r="L578" s="6">
        <v>700000.0</v>
      </c>
      <c r="M578" s="6" t="s">
        <v>3833</v>
      </c>
      <c r="N578" s="6" t="s">
        <v>2626</v>
      </c>
      <c r="O578" s="6" t="s">
        <v>2626</v>
      </c>
    </row>
    <row r="579">
      <c r="A579" s="6" t="s">
        <v>1329</v>
      </c>
      <c r="B579" s="6" t="s">
        <v>1329</v>
      </c>
      <c r="C579" s="6" t="s">
        <v>3834</v>
      </c>
      <c r="D579" s="6">
        <v>579.0</v>
      </c>
      <c r="F579" s="6" t="s">
        <v>248</v>
      </c>
      <c r="G579" s="6" t="s">
        <v>26</v>
      </c>
      <c r="I579" s="6" t="s">
        <v>3824</v>
      </c>
      <c r="J579" s="6">
        <v>0.0</v>
      </c>
      <c r="L579" s="6">
        <v>5000.0</v>
      </c>
      <c r="M579" s="6" t="s">
        <v>3835</v>
      </c>
      <c r="N579" s="6" t="s">
        <v>2626</v>
      </c>
      <c r="O579" s="6" t="s">
        <v>2626</v>
      </c>
    </row>
    <row r="580">
      <c r="A580" s="6" t="s">
        <v>1331</v>
      </c>
      <c r="B580" s="6" t="s">
        <v>1331</v>
      </c>
      <c r="C580" s="6" t="s">
        <v>3836</v>
      </c>
      <c r="D580" s="6">
        <v>580.0</v>
      </c>
      <c r="F580" s="6" t="s">
        <v>254</v>
      </c>
      <c r="G580" s="6" t="s">
        <v>26</v>
      </c>
      <c r="I580" s="6" t="s">
        <v>3824</v>
      </c>
      <c r="J580" s="6">
        <v>0.0</v>
      </c>
      <c r="L580" s="6">
        <v>2500.0</v>
      </c>
      <c r="M580" s="6" t="s">
        <v>3837</v>
      </c>
      <c r="N580" s="6" t="s">
        <v>2626</v>
      </c>
      <c r="O580" s="6" t="s">
        <v>2626</v>
      </c>
    </row>
    <row r="581">
      <c r="A581" s="6" t="s">
        <v>1333</v>
      </c>
      <c r="B581" s="6" t="s">
        <v>1333</v>
      </c>
      <c r="C581" s="6" t="s">
        <v>3838</v>
      </c>
      <c r="D581" s="6">
        <v>581.0</v>
      </c>
      <c r="F581" s="6" t="s">
        <v>741</v>
      </c>
      <c r="G581" s="6" t="s">
        <v>26</v>
      </c>
      <c r="I581" s="6" t="s">
        <v>3824</v>
      </c>
      <c r="J581" s="6">
        <v>0.0</v>
      </c>
      <c r="L581" s="6">
        <v>5000.0</v>
      </c>
      <c r="M581" s="6" t="s">
        <v>3839</v>
      </c>
      <c r="N581" s="6" t="s">
        <v>2626</v>
      </c>
      <c r="O581" s="6" t="s">
        <v>2626</v>
      </c>
    </row>
    <row r="582">
      <c r="A582" s="6" t="s">
        <v>1337</v>
      </c>
      <c r="B582" s="6" t="s">
        <v>1337</v>
      </c>
      <c r="C582" s="6" t="s">
        <v>3840</v>
      </c>
      <c r="D582" s="6">
        <v>582.0</v>
      </c>
      <c r="F582" s="6" t="s">
        <v>1334</v>
      </c>
      <c r="G582" s="6" t="s">
        <v>26</v>
      </c>
      <c r="I582" s="6" t="s">
        <v>3824</v>
      </c>
      <c r="J582" s="6">
        <v>0.0</v>
      </c>
      <c r="L582" s="6">
        <v>3000.0</v>
      </c>
      <c r="M582" s="6" t="s">
        <v>3841</v>
      </c>
      <c r="N582" s="6" t="s">
        <v>2626</v>
      </c>
      <c r="O582" s="6" t="s">
        <v>2626</v>
      </c>
    </row>
    <row r="583">
      <c r="A583" s="6" t="s">
        <v>1339</v>
      </c>
      <c r="B583" s="6" t="s">
        <v>1339</v>
      </c>
      <c r="C583" s="6" t="s">
        <v>3842</v>
      </c>
      <c r="D583" s="6">
        <v>583.0</v>
      </c>
      <c r="F583" s="6" t="s">
        <v>413</v>
      </c>
      <c r="G583" s="6" t="s">
        <v>26</v>
      </c>
      <c r="I583" s="6" t="s">
        <v>3824</v>
      </c>
      <c r="J583" s="6">
        <v>0.0</v>
      </c>
      <c r="L583" s="6">
        <v>2500.0</v>
      </c>
      <c r="M583" s="6" t="s">
        <v>3843</v>
      </c>
      <c r="N583" s="6" t="s">
        <v>2626</v>
      </c>
      <c r="O583" s="6" t="s">
        <v>2626</v>
      </c>
    </row>
    <row r="584">
      <c r="A584" s="6" t="s">
        <v>1344</v>
      </c>
      <c r="B584" s="6" t="s">
        <v>1344</v>
      </c>
      <c r="C584" s="6" t="s">
        <v>3844</v>
      </c>
      <c r="D584" s="6">
        <v>584.0</v>
      </c>
      <c r="F584" s="6" t="s">
        <v>1340</v>
      </c>
      <c r="G584" s="6" t="s">
        <v>140</v>
      </c>
      <c r="J584" s="6">
        <v>0.0</v>
      </c>
      <c r="L584" s="6">
        <v>0.0</v>
      </c>
      <c r="M584" s="6" t="s">
        <v>3845</v>
      </c>
      <c r="N584" s="6" t="s">
        <v>2626</v>
      </c>
      <c r="O584" s="6" t="s">
        <v>2626</v>
      </c>
    </row>
    <row r="585">
      <c r="A585" s="6" t="s">
        <v>1348</v>
      </c>
      <c r="B585" s="6" t="s">
        <v>1348</v>
      </c>
      <c r="C585" s="6" t="s">
        <v>3846</v>
      </c>
      <c r="D585" s="6">
        <v>585.0</v>
      </c>
      <c r="E585" s="6">
        <v>3.57293372803775E14</v>
      </c>
      <c r="F585" s="6" t="s">
        <v>698</v>
      </c>
      <c r="G585" s="6" t="s">
        <v>140</v>
      </c>
      <c r="J585" s="6">
        <v>0.0</v>
      </c>
      <c r="L585" s="6">
        <v>0.0</v>
      </c>
      <c r="M585" s="6" t="s">
        <v>3847</v>
      </c>
      <c r="N585" s="6" t="s">
        <v>2626</v>
      </c>
      <c r="O585" s="6" t="s">
        <v>2626</v>
      </c>
    </row>
    <row r="586">
      <c r="A586" s="6" t="s">
        <v>1351</v>
      </c>
      <c r="B586" s="6" t="s">
        <v>1351</v>
      </c>
      <c r="C586" s="6" t="s">
        <v>3848</v>
      </c>
      <c r="D586" s="6">
        <v>586.0</v>
      </c>
      <c r="F586" s="6" t="s">
        <v>60</v>
      </c>
      <c r="G586" s="6" t="s">
        <v>140</v>
      </c>
      <c r="J586" s="6">
        <v>0.0</v>
      </c>
      <c r="L586" s="6">
        <v>0.0</v>
      </c>
      <c r="M586" s="6" t="s">
        <v>3849</v>
      </c>
      <c r="N586" s="6" t="s">
        <v>2626</v>
      </c>
      <c r="O586" s="6" t="s">
        <v>2626</v>
      </c>
    </row>
    <row r="587">
      <c r="A587" s="6" t="s">
        <v>1353</v>
      </c>
      <c r="B587" s="6" t="s">
        <v>1353</v>
      </c>
      <c r="C587" s="6" t="s">
        <v>3850</v>
      </c>
      <c r="D587" s="6">
        <v>587.0</v>
      </c>
      <c r="F587" s="6" t="s">
        <v>248</v>
      </c>
      <c r="G587" s="6" t="s">
        <v>26</v>
      </c>
      <c r="I587" s="6" t="s">
        <v>3824</v>
      </c>
      <c r="J587" s="6">
        <v>0.0</v>
      </c>
      <c r="L587" s="6">
        <v>5000.0</v>
      </c>
      <c r="M587" s="6" t="s">
        <v>3851</v>
      </c>
      <c r="N587" s="6" t="s">
        <v>2626</v>
      </c>
      <c r="O587" s="6" t="s">
        <v>2626</v>
      </c>
    </row>
    <row r="588">
      <c r="A588" s="6" t="s">
        <v>1355</v>
      </c>
      <c r="B588" s="6" t="s">
        <v>1355</v>
      </c>
      <c r="C588" s="6" t="s">
        <v>3852</v>
      </c>
      <c r="D588" s="6">
        <v>588.0</v>
      </c>
      <c r="F588" s="6" t="s">
        <v>1123</v>
      </c>
      <c r="G588" s="6" t="s">
        <v>26</v>
      </c>
      <c r="I588" s="6" t="s">
        <v>3824</v>
      </c>
      <c r="J588" s="6">
        <v>0.0</v>
      </c>
      <c r="L588" s="6">
        <v>5000.0</v>
      </c>
      <c r="M588" s="6" t="s">
        <v>3853</v>
      </c>
      <c r="N588" s="6" t="s">
        <v>2626</v>
      </c>
      <c r="O588" s="6" t="s">
        <v>2626</v>
      </c>
    </row>
    <row r="589">
      <c r="A589" s="6" t="s">
        <v>1357</v>
      </c>
      <c r="B589" s="6" t="s">
        <v>1357</v>
      </c>
      <c r="C589" s="6" t="s">
        <v>3854</v>
      </c>
      <c r="D589" s="6">
        <v>589.0</v>
      </c>
      <c r="F589" s="6" t="s">
        <v>89</v>
      </c>
      <c r="G589" s="6" t="s">
        <v>26</v>
      </c>
      <c r="I589" s="6" t="s">
        <v>3824</v>
      </c>
      <c r="J589" s="6">
        <v>0.0</v>
      </c>
      <c r="L589" s="6">
        <v>5000.0</v>
      </c>
      <c r="M589" s="6" t="s">
        <v>3855</v>
      </c>
      <c r="N589" s="6" t="s">
        <v>2626</v>
      </c>
      <c r="O589" s="6" t="s">
        <v>2626</v>
      </c>
    </row>
    <row r="590">
      <c r="A590" s="6" t="s">
        <v>1360</v>
      </c>
      <c r="B590" s="6" t="s">
        <v>1360</v>
      </c>
      <c r="C590" s="6" t="s">
        <v>3856</v>
      </c>
      <c r="D590" s="6">
        <v>590.0</v>
      </c>
      <c r="F590" s="6" t="s">
        <v>1358</v>
      </c>
      <c r="G590" s="6" t="s">
        <v>26</v>
      </c>
      <c r="I590" s="6" t="s">
        <v>3824</v>
      </c>
      <c r="J590" s="6">
        <v>0.0</v>
      </c>
      <c r="L590" s="6">
        <v>2500.0</v>
      </c>
      <c r="M590" s="6" t="s">
        <v>3857</v>
      </c>
      <c r="N590" s="6" t="s">
        <v>2626</v>
      </c>
      <c r="O590" s="6" t="s">
        <v>2626</v>
      </c>
    </row>
    <row r="591">
      <c r="A591" s="6" t="s">
        <v>1363</v>
      </c>
      <c r="B591" s="6" t="s">
        <v>1363</v>
      </c>
      <c r="C591" s="6" t="s">
        <v>3858</v>
      </c>
      <c r="D591" s="6">
        <v>591.0</v>
      </c>
      <c r="F591" s="6" t="s">
        <v>46</v>
      </c>
      <c r="G591" s="6" t="s">
        <v>26</v>
      </c>
      <c r="I591" s="6" t="s">
        <v>3859</v>
      </c>
      <c r="J591" s="6">
        <v>0.0</v>
      </c>
      <c r="L591" s="6">
        <v>2500.0</v>
      </c>
      <c r="M591" s="6" t="s">
        <v>3860</v>
      </c>
      <c r="N591" s="6" t="s">
        <v>2626</v>
      </c>
      <c r="O591" s="6" t="s">
        <v>2626</v>
      </c>
    </row>
    <row r="592">
      <c r="A592" s="6" t="s">
        <v>1364</v>
      </c>
      <c r="B592" s="6" t="s">
        <v>1364</v>
      </c>
      <c r="C592" s="6" t="s">
        <v>3861</v>
      </c>
      <c r="D592" s="6">
        <v>592.0</v>
      </c>
      <c r="E592" s="6" t="s">
        <v>140</v>
      </c>
      <c r="F592" s="6" t="s">
        <v>195</v>
      </c>
      <c r="G592" s="6" t="s">
        <v>140</v>
      </c>
      <c r="J592" s="6">
        <v>0.0</v>
      </c>
      <c r="L592" s="6">
        <v>0.0</v>
      </c>
      <c r="M592" s="6" t="s">
        <v>3862</v>
      </c>
      <c r="N592" s="6" t="s">
        <v>2626</v>
      </c>
      <c r="O592" s="6" t="s">
        <v>2626</v>
      </c>
    </row>
    <row r="593">
      <c r="A593" s="6" t="s">
        <v>1365</v>
      </c>
      <c r="B593" s="6" t="s">
        <v>1365</v>
      </c>
      <c r="C593" s="6" t="s">
        <v>3863</v>
      </c>
      <c r="D593" s="6">
        <v>593.0</v>
      </c>
      <c r="E593" s="6" t="s">
        <v>140</v>
      </c>
      <c r="F593" s="6" t="s">
        <v>140</v>
      </c>
      <c r="G593" s="6" t="s">
        <v>140</v>
      </c>
      <c r="J593" s="6">
        <v>0.0</v>
      </c>
      <c r="L593" s="6">
        <v>0.0</v>
      </c>
      <c r="M593" s="6" t="s">
        <v>3864</v>
      </c>
      <c r="N593" s="6" t="s">
        <v>2626</v>
      </c>
      <c r="O593" s="6" t="s">
        <v>2626</v>
      </c>
    </row>
    <row r="594">
      <c r="A594" s="6" t="s">
        <v>1368</v>
      </c>
      <c r="B594" s="6" t="s">
        <v>1368</v>
      </c>
      <c r="C594" s="6" t="s">
        <v>3865</v>
      </c>
      <c r="D594" s="6">
        <v>594.0</v>
      </c>
      <c r="E594" s="6" t="s">
        <v>1367</v>
      </c>
      <c r="F594" s="6" t="s">
        <v>874</v>
      </c>
      <c r="G594" s="6" t="s">
        <v>103</v>
      </c>
      <c r="J594" s="6">
        <v>0.0</v>
      </c>
      <c r="L594" s="6">
        <v>0.0</v>
      </c>
      <c r="M594" s="6" t="s">
        <v>3866</v>
      </c>
      <c r="N594" s="6" t="s">
        <v>2626</v>
      </c>
      <c r="O594" s="6" t="s">
        <v>2626</v>
      </c>
    </row>
    <row r="595">
      <c r="A595" s="6" t="s">
        <v>1370</v>
      </c>
      <c r="B595" s="6" t="s">
        <v>1370</v>
      </c>
      <c r="C595" s="6" t="s">
        <v>3867</v>
      </c>
      <c r="D595" s="6">
        <v>595.0</v>
      </c>
      <c r="F595" s="6" t="s">
        <v>89</v>
      </c>
      <c r="G595" s="6" t="s">
        <v>26</v>
      </c>
      <c r="I595" s="6" t="s">
        <v>3859</v>
      </c>
      <c r="J595" s="6">
        <v>0.0</v>
      </c>
      <c r="L595" s="6">
        <v>3000.0</v>
      </c>
      <c r="M595" s="6" t="s">
        <v>3868</v>
      </c>
      <c r="N595" s="6" t="s">
        <v>2626</v>
      </c>
      <c r="O595" s="6" t="s">
        <v>2626</v>
      </c>
    </row>
    <row r="596">
      <c r="A596" s="6" t="s">
        <v>1372</v>
      </c>
      <c r="B596" s="6" t="s">
        <v>1372</v>
      </c>
      <c r="C596" s="6" t="s">
        <v>3869</v>
      </c>
      <c r="D596" s="6">
        <v>596.0</v>
      </c>
      <c r="F596" s="6" t="s">
        <v>248</v>
      </c>
      <c r="G596" s="6" t="s">
        <v>26</v>
      </c>
      <c r="I596" s="6" t="s">
        <v>3859</v>
      </c>
      <c r="J596" s="6">
        <v>0.0</v>
      </c>
      <c r="L596" s="6">
        <v>5000.0</v>
      </c>
      <c r="M596" s="6" t="s">
        <v>3870</v>
      </c>
      <c r="N596" s="6" t="s">
        <v>2626</v>
      </c>
      <c r="O596" s="6" t="s">
        <v>2626</v>
      </c>
    </row>
    <row r="597">
      <c r="A597" s="6" t="s">
        <v>1374</v>
      </c>
      <c r="B597" s="6" t="s">
        <v>1374</v>
      </c>
      <c r="C597" s="6" t="s">
        <v>3871</v>
      </c>
      <c r="D597" s="6">
        <v>597.0</v>
      </c>
      <c r="F597" s="6" t="s">
        <v>254</v>
      </c>
      <c r="G597" s="6" t="s">
        <v>26</v>
      </c>
      <c r="I597" s="6" t="s">
        <v>3859</v>
      </c>
      <c r="J597" s="6">
        <v>0.0</v>
      </c>
      <c r="L597" s="6">
        <v>2500.0</v>
      </c>
      <c r="M597" s="6" t="s">
        <v>3872</v>
      </c>
      <c r="N597" s="6" t="s">
        <v>2626</v>
      </c>
      <c r="O597" s="6" t="s">
        <v>2626</v>
      </c>
    </row>
    <row r="598">
      <c r="A598" s="6" t="s">
        <v>1376</v>
      </c>
      <c r="B598" s="6" t="s">
        <v>1376</v>
      </c>
      <c r="C598" s="6" t="s">
        <v>3873</v>
      </c>
      <c r="D598" s="6">
        <v>598.0</v>
      </c>
      <c r="F598" s="6" t="s">
        <v>54</v>
      </c>
      <c r="G598" s="6" t="s">
        <v>26</v>
      </c>
      <c r="I598" s="6" t="s">
        <v>3859</v>
      </c>
      <c r="J598" s="6">
        <v>0.0</v>
      </c>
      <c r="L598" s="6">
        <v>2500.0</v>
      </c>
      <c r="M598" s="6" t="s">
        <v>3874</v>
      </c>
      <c r="N598" s="6" t="s">
        <v>2626</v>
      </c>
      <c r="O598" s="6" t="s">
        <v>2626</v>
      </c>
    </row>
    <row r="599">
      <c r="A599" s="6" t="s">
        <v>1378</v>
      </c>
      <c r="B599" s="6" t="s">
        <v>1378</v>
      </c>
      <c r="C599" s="6" t="s">
        <v>3875</v>
      </c>
      <c r="D599" s="6">
        <v>599.0</v>
      </c>
      <c r="F599" s="6" t="s">
        <v>54</v>
      </c>
      <c r="G599" s="6" t="s">
        <v>26</v>
      </c>
      <c r="I599" s="6" t="s">
        <v>3859</v>
      </c>
      <c r="J599" s="6">
        <v>0.0</v>
      </c>
      <c r="L599" s="6">
        <v>2500.0</v>
      </c>
      <c r="M599" s="6" t="s">
        <v>3876</v>
      </c>
      <c r="N599" s="6" t="s">
        <v>2626</v>
      </c>
      <c r="O599" s="6" t="s">
        <v>2626</v>
      </c>
    </row>
    <row r="600">
      <c r="A600" s="6" t="s">
        <v>1380</v>
      </c>
      <c r="B600" s="6" t="s">
        <v>1380</v>
      </c>
      <c r="C600" s="6" t="s">
        <v>3877</v>
      </c>
      <c r="D600" s="6">
        <v>600.0</v>
      </c>
      <c r="F600" s="6" t="s">
        <v>18</v>
      </c>
      <c r="G600" s="6" t="s">
        <v>121</v>
      </c>
      <c r="J600" s="6">
        <v>0.0</v>
      </c>
      <c r="L600" s="6">
        <v>0.0</v>
      </c>
      <c r="M600" s="6" t="s">
        <v>3878</v>
      </c>
      <c r="N600" s="6" t="s">
        <v>2626</v>
      </c>
      <c r="O600" s="6" t="s">
        <v>2626</v>
      </c>
    </row>
    <row r="601">
      <c r="A601" s="6" t="s">
        <v>1381</v>
      </c>
      <c r="B601" s="6" t="s">
        <v>1381</v>
      </c>
      <c r="C601" s="6" t="s">
        <v>3879</v>
      </c>
      <c r="D601" s="6">
        <v>601.0</v>
      </c>
      <c r="F601" s="6" t="s">
        <v>424</v>
      </c>
      <c r="G601" s="6" t="s">
        <v>26</v>
      </c>
      <c r="I601" s="6" t="s">
        <v>3859</v>
      </c>
      <c r="J601" s="6">
        <v>0.0</v>
      </c>
      <c r="L601" s="6">
        <v>2500.0</v>
      </c>
      <c r="M601" s="6" t="s">
        <v>3880</v>
      </c>
      <c r="N601" s="6" t="s">
        <v>2626</v>
      </c>
      <c r="O601" s="6" t="s">
        <v>2626</v>
      </c>
    </row>
    <row r="602">
      <c r="A602" s="6" t="s">
        <v>1384</v>
      </c>
      <c r="B602" s="6" t="s">
        <v>1384</v>
      </c>
      <c r="C602" s="6" t="s">
        <v>3881</v>
      </c>
      <c r="D602" s="6">
        <v>602.0</v>
      </c>
      <c r="E602" s="6">
        <v>3.57344098486526E14</v>
      </c>
      <c r="F602" s="6" t="s">
        <v>485</v>
      </c>
      <c r="G602" s="6" t="s">
        <v>26</v>
      </c>
      <c r="I602" s="6" t="s">
        <v>3859</v>
      </c>
      <c r="J602" s="6">
        <v>0.0</v>
      </c>
      <c r="L602" s="6">
        <v>190000.0</v>
      </c>
      <c r="M602" s="6" t="s">
        <v>3882</v>
      </c>
      <c r="N602" s="6" t="s">
        <v>2626</v>
      </c>
      <c r="O602" s="6" t="s">
        <v>2626</v>
      </c>
    </row>
    <row r="603">
      <c r="A603" s="6" t="s">
        <v>1386</v>
      </c>
      <c r="B603" s="6" t="s">
        <v>1386</v>
      </c>
      <c r="C603" s="6" t="s">
        <v>3883</v>
      </c>
      <c r="D603" s="6">
        <v>603.0</v>
      </c>
      <c r="F603" s="6" t="s">
        <v>364</v>
      </c>
      <c r="G603" s="6" t="s">
        <v>26</v>
      </c>
      <c r="I603" s="6" t="s">
        <v>3859</v>
      </c>
      <c r="J603" s="6">
        <v>0.0</v>
      </c>
      <c r="L603" s="6">
        <v>5000.0</v>
      </c>
      <c r="M603" s="6" t="s">
        <v>3884</v>
      </c>
      <c r="N603" s="6" t="s">
        <v>2626</v>
      </c>
      <c r="O603" s="6" t="s">
        <v>2626</v>
      </c>
    </row>
    <row r="604">
      <c r="A604" s="6" t="s">
        <v>1389</v>
      </c>
      <c r="B604" s="6" t="s">
        <v>1389</v>
      </c>
      <c r="C604" s="6" t="s">
        <v>3885</v>
      </c>
      <c r="D604" s="6">
        <v>604.0</v>
      </c>
      <c r="E604" s="6" t="s">
        <v>1388</v>
      </c>
      <c r="F604" s="6" t="s">
        <v>221</v>
      </c>
      <c r="G604" s="6" t="s">
        <v>26</v>
      </c>
      <c r="I604" s="6" t="s">
        <v>3859</v>
      </c>
      <c r="J604" s="6">
        <v>0.0</v>
      </c>
      <c r="L604" s="6">
        <v>410000.0</v>
      </c>
      <c r="M604" s="6" t="s">
        <v>3886</v>
      </c>
      <c r="N604" s="6" t="s">
        <v>2626</v>
      </c>
      <c r="O604" s="6" t="s">
        <v>2626</v>
      </c>
    </row>
    <row r="605">
      <c r="A605" s="6" t="s">
        <v>1390</v>
      </c>
      <c r="B605" s="6" t="s">
        <v>1390</v>
      </c>
      <c r="C605" s="6" t="s">
        <v>3887</v>
      </c>
      <c r="D605" s="6">
        <v>605.0</v>
      </c>
      <c r="F605" s="6" t="s">
        <v>408</v>
      </c>
      <c r="G605" s="6" t="s">
        <v>26</v>
      </c>
      <c r="I605" s="6" t="s">
        <v>3859</v>
      </c>
      <c r="J605" s="6">
        <v>0.0</v>
      </c>
      <c r="L605" s="6">
        <v>2500.0</v>
      </c>
      <c r="M605" s="6" t="s">
        <v>3888</v>
      </c>
      <c r="N605" s="6" t="s">
        <v>2626</v>
      </c>
      <c r="O605" s="6" t="s">
        <v>2626</v>
      </c>
    </row>
    <row r="606">
      <c r="A606" s="6" t="s">
        <v>1394</v>
      </c>
      <c r="B606" s="6" t="s">
        <v>1394</v>
      </c>
      <c r="C606" s="6" t="s">
        <v>3889</v>
      </c>
      <c r="D606" s="6">
        <v>606.0</v>
      </c>
      <c r="F606" s="6" t="s">
        <v>1391</v>
      </c>
      <c r="G606" s="6" t="s">
        <v>481</v>
      </c>
      <c r="J606" s="6">
        <v>0.0</v>
      </c>
      <c r="L606" s="6">
        <v>0.0</v>
      </c>
      <c r="M606" s="6" t="s">
        <v>3890</v>
      </c>
      <c r="N606" s="6" t="s">
        <v>2626</v>
      </c>
      <c r="O606" s="6" t="s">
        <v>2626</v>
      </c>
    </row>
    <row r="607">
      <c r="A607" s="6" t="s">
        <v>1396</v>
      </c>
      <c r="B607" s="6" t="s">
        <v>1396</v>
      </c>
      <c r="C607" s="6" t="s">
        <v>3891</v>
      </c>
      <c r="D607" s="6">
        <v>607.0</v>
      </c>
      <c r="F607" s="6" t="s">
        <v>485</v>
      </c>
      <c r="G607" s="6" t="s">
        <v>26</v>
      </c>
      <c r="I607" s="6" t="s">
        <v>3859</v>
      </c>
      <c r="J607" s="6">
        <v>0.0</v>
      </c>
      <c r="L607" s="6">
        <v>2500.0</v>
      </c>
      <c r="M607" s="6" t="s">
        <v>3892</v>
      </c>
      <c r="N607" s="6" t="s">
        <v>2626</v>
      </c>
      <c r="O607" s="6" t="s">
        <v>2626</v>
      </c>
    </row>
    <row r="608">
      <c r="A608" s="6" t="s">
        <v>1398</v>
      </c>
      <c r="B608" s="6" t="s">
        <v>1398</v>
      </c>
      <c r="C608" s="6" t="s">
        <v>3893</v>
      </c>
      <c r="D608" s="6">
        <v>608.0</v>
      </c>
      <c r="F608" s="6" t="s">
        <v>97</v>
      </c>
      <c r="G608" s="6" t="s">
        <v>26</v>
      </c>
      <c r="I608" s="6" t="s">
        <v>3859</v>
      </c>
      <c r="J608" s="6">
        <v>0.0</v>
      </c>
      <c r="L608" s="6">
        <v>2500.0</v>
      </c>
      <c r="M608" s="6" t="s">
        <v>3894</v>
      </c>
      <c r="N608" s="6" t="s">
        <v>2626</v>
      </c>
      <c r="O608" s="6" t="s">
        <v>2626</v>
      </c>
    </row>
    <row r="609">
      <c r="A609" s="6" t="s">
        <v>1400</v>
      </c>
      <c r="B609" s="6" t="s">
        <v>1400</v>
      </c>
      <c r="C609" s="6" t="s">
        <v>3895</v>
      </c>
      <c r="D609" s="6">
        <v>609.0</v>
      </c>
      <c r="F609" s="6" t="s">
        <v>248</v>
      </c>
      <c r="G609" s="6" t="s">
        <v>26</v>
      </c>
      <c r="I609" s="6" t="s">
        <v>3859</v>
      </c>
      <c r="J609" s="6">
        <v>0.0</v>
      </c>
      <c r="L609" s="6">
        <v>13000.0</v>
      </c>
      <c r="M609" s="6" t="s">
        <v>3896</v>
      </c>
      <c r="N609" s="6" t="s">
        <v>2626</v>
      </c>
      <c r="O609" s="6" t="s">
        <v>2626</v>
      </c>
    </row>
    <row r="610">
      <c r="A610" s="6" t="s">
        <v>1402</v>
      </c>
      <c r="B610" s="6" t="s">
        <v>1402</v>
      </c>
      <c r="C610" s="6" t="s">
        <v>3897</v>
      </c>
      <c r="D610" s="6">
        <v>610.0</v>
      </c>
      <c r="F610" s="6" t="s">
        <v>64</v>
      </c>
      <c r="G610" s="6" t="s">
        <v>26</v>
      </c>
      <c r="I610" s="6" t="s">
        <v>3859</v>
      </c>
      <c r="J610" s="6">
        <v>0.0</v>
      </c>
      <c r="L610" s="6">
        <v>2500.0</v>
      </c>
      <c r="M610" s="6" t="s">
        <v>3898</v>
      </c>
      <c r="N610" s="6" t="s">
        <v>2626</v>
      </c>
      <c r="O610" s="6" t="s">
        <v>2626</v>
      </c>
    </row>
    <row r="611">
      <c r="A611" s="6" t="s">
        <v>1404</v>
      </c>
      <c r="B611" s="6" t="s">
        <v>1404</v>
      </c>
      <c r="C611" s="6" t="s">
        <v>3899</v>
      </c>
      <c r="D611" s="6">
        <v>611.0</v>
      </c>
      <c r="F611" s="6" t="s">
        <v>236</v>
      </c>
      <c r="G611" s="6" t="s">
        <v>26</v>
      </c>
      <c r="I611" s="6" t="s">
        <v>3859</v>
      </c>
      <c r="J611" s="6">
        <v>0.0</v>
      </c>
      <c r="L611" s="6">
        <v>2500.0</v>
      </c>
      <c r="M611" s="6" t="s">
        <v>3900</v>
      </c>
      <c r="N611" s="6" t="s">
        <v>2626</v>
      </c>
      <c r="O611" s="6" t="s">
        <v>2626</v>
      </c>
    </row>
    <row r="612">
      <c r="A612" s="6" t="s">
        <v>1406</v>
      </c>
      <c r="B612" s="6" t="s">
        <v>1406</v>
      </c>
      <c r="C612" s="6" t="s">
        <v>3901</v>
      </c>
      <c r="D612" s="6">
        <v>612.0</v>
      </c>
      <c r="F612" s="6" t="s">
        <v>89</v>
      </c>
      <c r="G612" s="6" t="s">
        <v>26</v>
      </c>
      <c r="I612" s="6" t="s">
        <v>3859</v>
      </c>
      <c r="J612" s="6">
        <v>0.0</v>
      </c>
      <c r="L612" s="6">
        <v>8000.0</v>
      </c>
      <c r="M612" s="6" t="s">
        <v>3902</v>
      </c>
      <c r="N612" s="6" t="s">
        <v>2626</v>
      </c>
      <c r="O612" s="6" t="s">
        <v>2626</v>
      </c>
    </row>
    <row r="613">
      <c r="A613" s="6" t="s">
        <v>1407</v>
      </c>
      <c r="B613" s="6" t="s">
        <v>1407</v>
      </c>
      <c r="C613" s="6" t="s">
        <v>3903</v>
      </c>
      <c r="D613" s="6">
        <v>613.0</v>
      </c>
      <c r="F613" s="6" t="s">
        <v>1093</v>
      </c>
      <c r="G613" s="6" t="s">
        <v>26</v>
      </c>
      <c r="I613" s="6" t="s">
        <v>3859</v>
      </c>
      <c r="J613" s="6">
        <v>0.0</v>
      </c>
      <c r="L613" s="6">
        <v>10000.0</v>
      </c>
      <c r="M613" s="6" t="s">
        <v>3904</v>
      </c>
      <c r="N613" s="6" t="s">
        <v>2626</v>
      </c>
      <c r="O613" s="6" t="s">
        <v>2626</v>
      </c>
    </row>
    <row r="614">
      <c r="A614" s="6" t="s">
        <v>1408</v>
      </c>
      <c r="B614" s="6" t="s">
        <v>1408</v>
      </c>
      <c r="C614" s="6" t="s">
        <v>3905</v>
      </c>
      <c r="D614" s="6">
        <v>614.0</v>
      </c>
      <c r="E614" s="6" t="s">
        <v>140</v>
      </c>
      <c r="F614" s="6" t="s">
        <v>195</v>
      </c>
      <c r="G614" s="6" t="s">
        <v>140</v>
      </c>
      <c r="J614" s="6">
        <v>0.0</v>
      </c>
      <c r="L614" s="6">
        <v>0.0</v>
      </c>
      <c r="M614" s="6" t="s">
        <v>3906</v>
      </c>
      <c r="N614" s="6" t="s">
        <v>2626</v>
      </c>
      <c r="O614" s="6" t="s">
        <v>2626</v>
      </c>
    </row>
    <row r="615">
      <c r="A615" s="6" t="s">
        <v>1409</v>
      </c>
      <c r="B615" s="6" t="s">
        <v>1409</v>
      </c>
      <c r="C615" s="6" t="s">
        <v>3907</v>
      </c>
      <c r="D615" s="6">
        <v>615.0</v>
      </c>
      <c r="E615" s="6" t="s">
        <v>140</v>
      </c>
      <c r="F615" s="6" t="s">
        <v>140</v>
      </c>
      <c r="G615" s="6" t="s">
        <v>140</v>
      </c>
      <c r="J615" s="6">
        <v>0.0</v>
      </c>
      <c r="L615" s="6">
        <v>0.0</v>
      </c>
      <c r="M615" s="6" t="s">
        <v>3908</v>
      </c>
      <c r="N615" s="6" t="s">
        <v>2626</v>
      </c>
      <c r="O615" s="6" t="s">
        <v>2626</v>
      </c>
    </row>
    <row r="616">
      <c r="A616" s="6" t="s">
        <v>1411</v>
      </c>
      <c r="B616" s="6" t="s">
        <v>1411</v>
      </c>
      <c r="C616" s="6" t="s">
        <v>3909</v>
      </c>
      <c r="D616" s="6">
        <v>616.0</v>
      </c>
      <c r="F616" s="6" t="s">
        <v>64</v>
      </c>
      <c r="G616" s="6" t="s">
        <v>26</v>
      </c>
      <c r="I616" s="6" t="s">
        <v>3910</v>
      </c>
      <c r="J616" s="6">
        <v>0.0</v>
      </c>
      <c r="L616" s="6">
        <v>5000.0</v>
      </c>
      <c r="M616" s="6" t="s">
        <v>3911</v>
      </c>
      <c r="N616" s="6" t="s">
        <v>2626</v>
      </c>
      <c r="O616" s="6" t="s">
        <v>2626</v>
      </c>
    </row>
    <row r="617">
      <c r="A617" s="6" t="s">
        <v>1416</v>
      </c>
      <c r="B617" s="6" t="s">
        <v>1416</v>
      </c>
      <c r="C617" s="6" t="s">
        <v>3912</v>
      </c>
      <c r="D617" s="6">
        <v>617.0</v>
      </c>
      <c r="F617" s="6" t="s">
        <v>1412</v>
      </c>
      <c r="G617" s="6" t="s">
        <v>26</v>
      </c>
      <c r="I617" s="6" t="s">
        <v>3910</v>
      </c>
      <c r="J617" s="6">
        <v>0.0</v>
      </c>
      <c r="L617" s="6">
        <v>990000.0</v>
      </c>
      <c r="M617" s="6" t="s">
        <v>3913</v>
      </c>
      <c r="N617" s="6" t="s">
        <v>2626</v>
      </c>
      <c r="O617" s="6" t="s">
        <v>2626</v>
      </c>
    </row>
    <row r="618">
      <c r="A618" s="6" t="s">
        <v>1420</v>
      </c>
      <c r="B618" s="6" t="s">
        <v>1420</v>
      </c>
      <c r="C618" s="6" t="s">
        <v>3914</v>
      </c>
      <c r="D618" s="6">
        <v>618.0</v>
      </c>
      <c r="F618" s="6" t="s">
        <v>1417</v>
      </c>
      <c r="G618" s="6" t="s">
        <v>121</v>
      </c>
      <c r="J618" s="6">
        <v>0.0</v>
      </c>
      <c r="L618" s="6">
        <v>0.0</v>
      </c>
      <c r="M618" s="6" t="s">
        <v>3915</v>
      </c>
      <c r="N618" s="6" t="s">
        <v>2626</v>
      </c>
      <c r="O618" s="6" t="s">
        <v>2626</v>
      </c>
    </row>
    <row r="619">
      <c r="A619" s="6" t="s">
        <v>1423</v>
      </c>
      <c r="B619" s="6" t="s">
        <v>1423</v>
      </c>
      <c r="C619" s="6" t="s">
        <v>3916</v>
      </c>
      <c r="D619" s="6">
        <v>619.0</v>
      </c>
      <c r="E619" s="6">
        <v>3.52973351900768E14</v>
      </c>
      <c r="F619" s="6" t="s">
        <v>64</v>
      </c>
      <c r="G619" s="6" t="s">
        <v>26</v>
      </c>
      <c r="I619" s="6" t="s">
        <v>3910</v>
      </c>
      <c r="J619" s="6">
        <v>0.0</v>
      </c>
      <c r="L619" s="6">
        <v>1050000.0</v>
      </c>
      <c r="M619" s="6" t="s">
        <v>3917</v>
      </c>
      <c r="N619" s="6" t="s">
        <v>2626</v>
      </c>
      <c r="O619" s="6" t="s">
        <v>2626</v>
      </c>
    </row>
    <row r="620">
      <c r="A620" s="6" t="s">
        <v>1426</v>
      </c>
      <c r="B620" s="6" t="s">
        <v>1426</v>
      </c>
      <c r="C620" s="6" t="s">
        <v>3918</v>
      </c>
      <c r="D620" s="6">
        <v>620.0</v>
      </c>
      <c r="E620" s="6">
        <v>3.58915823120982E14</v>
      </c>
      <c r="F620" s="6" t="s">
        <v>64</v>
      </c>
      <c r="G620" s="6" t="s">
        <v>103</v>
      </c>
      <c r="J620" s="6">
        <v>0.0</v>
      </c>
      <c r="L620" s="6">
        <v>0.0</v>
      </c>
      <c r="M620" s="6" t="s">
        <v>3919</v>
      </c>
      <c r="N620" s="6" t="s">
        <v>2626</v>
      </c>
      <c r="O620" s="6" t="s">
        <v>2626</v>
      </c>
    </row>
    <row r="621">
      <c r="A621" s="6" t="s">
        <v>1428</v>
      </c>
      <c r="B621" s="6" t="s">
        <v>1428</v>
      </c>
      <c r="C621" s="6" t="s">
        <v>3920</v>
      </c>
      <c r="D621" s="6">
        <v>621.0</v>
      </c>
      <c r="F621" s="6" t="s">
        <v>89</v>
      </c>
      <c r="G621" s="6" t="s">
        <v>26</v>
      </c>
      <c r="I621" s="6" t="s">
        <v>3910</v>
      </c>
      <c r="J621" s="6">
        <v>0.0</v>
      </c>
      <c r="L621" s="6">
        <v>2500.0</v>
      </c>
      <c r="M621" s="6" t="s">
        <v>3921</v>
      </c>
      <c r="N621" s="6" t="s">
        <v>2626</v>
      </c>
      <c r="O621" s="6" t="s">
        <v>2626</v>
      </c>
    </row>
    <row r="622">
      <c r="A622" s="6" t="s">
        <v>1431</v>
      </c>
      <c r="B622" s="6" t="s">
        <v>1431</v>
      </c>
      <c r="C622" s="6" t="s">
        <v>3922</v>
      </c>
      <c r="D622" s="6">
        <v>622.0</v>
      </c>
      <c r="E622" s="6">
        <v>3.57770206656735E14</v>
      </c>
      <c r="F622" s="6" t="s">
        <v>605</v>
      </c>
      <c r="G622" s="6" t="s">
        <v>26</v>
      </c>
      <c r="I622" s="6" t="s">
        <v>3910</v>
      </c>
      <c r="J622" s="6">
        <v>0.0</v>
      </c>
      <c r="L622" s="6">
        <v>555000.0</v>
      </c>
      <c r="M622" s="6" t="s">
        <v>3923</v>
      </c>
      <c r="N622" s="6" t="s">
        <v>2626</v>
      </c>
      <c r="O622" s="6" t="s">
        <v>2626</v>
      </c>
    </row>
    <row r="623">
      <c r="A623" s="6" t="s">
        <v>1433</v>
      </c>
      <c r="B623" s="6" t="s">
        <v>1433</v>
      </c>
      <c r="C623" s="6" t="s">
        <v>3924</v>
      </c>
      <c r="D623" s="6">
        <v>623.0</v>
      </c>
      <c r="E623" s="6">
        <v>3.58915823120982E14</v>
      </c>
      <c r="F623" s="6" t="s">
        <v>874</v>
      </c>
      <c r="G623" s="6" t="s">
        <v>103</v>
      </c>
      <c r="J623" s="6">
        <v>0.0</v>
      </c>
      <c r="L623" s="6">
        <v>0.0</v>
      </c>
      <c r="M623" s="6" t="s">
        <v>3925</v>
      </c>
      <c r="N623" s="6" t="s">
        <v>2626</v>
      </c>
      <c r="O623" s="6" t="s">
        <v>2626</v>
      </c>
    </row>
    <row r="624">
      <c r="A624" s="6" t="s">
        <v>1435</v>
      </c>
      <c r="B624" s="6" t="s">
        <v>1435</v>
      </c>
      <c r="C624" s="6" t="s">
        <v>3926</v>
      </c>
      <c r="D624" s="6">
        <v>624.0</v>
      </c>
      <c r="F624" s="6" t="s">
        <v>424</v>
      </c>
      <c r="G624" s="6" t="s">
        <v>26</v>
      </c>
      <c r="I624" s="6" t="s">
        <v>3910</v>
      </c>
      <c r="J624" s="6">
        <v>0.0</v>
      </c>
      <c r="L624" s="6">
        <v>2500.0</v>
      </c>
      <c r="M624" s="6" t="s">
        <v>3927</v>
      </c>
      <c r="N624" s="6" t="s">
        <v>2626</v>
      </c>
      <c r="O624" s="6" t="s">
        <v>2626</v>
      </c>
    </row>
    <row r="625">
      <c r="A625" s="6" t="s">
        <v>1436</v>
      </c>
      <c r="B625" s="6" t="s">
        <v>1436</v>
      </c>
      <c r="C625" s="6" t="s">
        <v>3928</v>
      </c>
      <c r="D625" s="6">
        <v>625.0</v>
      </c>
      <c r="E625" s="6" t="s">
        <v>140</v>
      </c>
      <c r="F625" s="6" t="s">
        <v>140</v>
      </c>
      <c r="G625" s="6" t="s">
        <v>285</v>
      </c>
      <c r="J625" s="6">
        <v>0.0</v>
      </c>
      <c r="L625" s="6">
        <v>0.0</v>
      </c>
      <c r="M625" s="6" t="s">
        <v>3929</v>
      </c>
      <c r="N625" s="6" t="s">
        <v>2626</v>
      </c>
      <c r="O625" s="6" t="s">
        <v>2626</v>
      </c>
    </row>
    <row r="626">
      <c r="A626" s="6" t="s">
        <v>1437</v>
      </c>
      <c r="B626" s="6" t="s">
        <v>1437</v>
      </c>
      <c r="C626" s="6" t="s">
        <v>3930</v>
      </c>
      <c r="D626" s="6">
        <v>626.0</v>
      </c>
      <c r="E626" s="6" t="s">
        <v>140</v>
      </c>
      <c r="F626" s="6" t="s">
        <v>140</v>
      </c>
      <c r="G626" s="6" t="s">
        <v>285</v>
      </c>
      <c r="J626" s="6">
        <v>0.0</v>
      </c>
      <c r="L626" s="6">
        <v>0.0</v>
      </c>
      <c r="M626" s="6" t="s">
        <v>3931</v>
      </c>
      <c r="N626" s="6" t="s">
        <v>2626</v>
      </c>
      <c r="O626" s="6" t="s">
        <v>2626</v>
      </c>
    </row>
    <row r="627">
      <c r="A627" s="6" t="s">
        <v>1438</v>
      </c>
      <c r="B627" s="6" t="s">
        <v>1438</v>
      </c>
      <c r="C627" s="6" t="s">
        <v>3932</v>
      </c>
      <c r="D627" s="6">
        <v>627.0</v>
      </c>
      <c r="E627" s="6" t="s">
        <v>140</v>
      </c>
      <c r="F627" s="6" t="s">
        <v>140</v>
      </c>
      <c r="G627" s="6" t="s">
        <v>140</v>
      </c>
      <c r="J627" s="6">
        <v>0.0</v>
      </c>
      <c r="L627" s="6">
        <v>0.0</v>
      </c>
      <c r="M627" s="6" t="s">
        <v>3933</v>
      </c>
      <c r="N627" s="6" t="s">
        <v>2626</v>
      </c>
      <c r="O627" s="6" t="s">
        <v>2626</v>
      </c>
    </row>
    <row r="628">
      <c r="A628" s="6" t="s">
        <v>1440</v>
      </c>
      <c r="B628" s="6" t="s">
        <v>1440</v>
      </c>
      <c r="C628" s="6" t="s">
        <v>3934</v>
      </c>
      <c r="D628" s="6">
        <v>628.0</v>
      </c>
      <c r="E628" s="6">
        <v>3.54661672109387E14</v>
      </c>
      <c r="F628" s="6" t="s">
        <v>408</v>
      </c>
      <c r="G628" s="6" t="s">
        <v>26</v>
      </c>
      <c r="I628" s="6" t="s">
        <v>3935</v>
      </c>
      <c r="J628" s="6">
        <v>0.0</v>
      </c>
      <c r="L628" s="6">
        <v>730000.0</v>
      </c>
      <c r="M628" s="6" t="s">
        <v>3936</v>
      </c>
      <c r="N628" s="6" t="s">
        <v>2626</v>
      </c>
      <c r="O628" s="6" t="s">
        <v>2626</v>
      </c>
    </row>
    <row r="629">
      <c r="A629" s="6" t="s">
        <v>1441</v>
      </c>
      <c r="B629" s="6" t="s">
        <v>1441</v>
      </c>
      <c r="C629" s="6" t="s">
        <v>3937</v>
      </c>
      <c r="D629" s="6">
        <v>629.0</v>
      </c>
      <c r="E629" s="6" t="s">
        <v>140</v>
      </c>
      <c r="F629" s="6" t="s">
        <v>140</v>
      </c>
      <c r="G629" s="6" t="s">
        <v>140</v>
      </c>
      <c r="J629" s="6">
        <v>0.0</v>
      </c>
      <c r="L629" s="6">
        <v>0.0</v>
      </c>
      <c r="M629" s="6" t="s">
        <v>3938</v>
      </c>
      <c r="N629" s="6" t="s">
        <v>2626</v>
      </c>
      <c r="O629" s="6" t="s">
        <v>2626</v>
      </c>
    </row>
    <row r="630">
      <c r="A630" s="6" t="s">
        <v>1442</v>
      </c>
      <c r="B630" s="6" t="s">
        <v>1442</v>
      </c>
      <c r="C630" s="6" t="s">
        <v>3939</v>
      </c>
      <c r="D630" s="6">
        <v>630.0</v>
      </c>
      <c r="E630" s="6" t="s">
        <v>140</v>
      </c>
      <c r="F630" s="6" t="s">
        <v>140</v>
      </c>
      <c r="G630" s="6" t="s">
        <v>140</v>
      </c>
      <c r="J630" s="6">
        <v>0.0</v>
      </c>
      <c r="L630" s="6">
        <v>0.0</v>
      </c>
      <c r="M630" s="6" t="s">
        <v>3940</v>
      </c>
      <c r="N630" s="6" t="s">
        <v>2626</v>
      </c>
      <c r="O630" s="6" t="s">
        <v>2626</v>
      </c>
    </row>
    <row r="631">
      <c r="A631" s="6" t="s">
        <v>1443</v>
      </c>
      <c r="B631" s="6" t="s">
        <v>1443</v>
      </c>
      <c r="C631" s="6" t="s">
        <v>3941</v>
      </c>
      <c r="D631" s="6">
        <v>631.0</v>
      </c>
      <c r="E631" s="6" t="s">
        <v>140</v>
      </c>
      <c r="F631" s="6" t="s">
        <v>140</v>
      </c>
      <c r="G631" s="6" t="s">
        <v>195</v>
      </c>
      <c r="J631" s="6">
        <v>0.0</v>
      </c>
      <c r="L631" s="6">
        <v>0.0</v>
      </c>
      <c r="M631" s="6" t="s">
        <v>3942</v>
      </c>
      <c r="N631" s="6" t="s">
        <v>2626</v>
      </c>
      <c r="O631" s="6" t="s">
        <v>2626</v>
      </c>
    </row>
    <row r="632">
      <c r="A632" s="6" t="s">
        <v>1446</v>
      </c>
      <c r="B632" s="6" t="s">
        <v>1446</v>
      </c>
      <c r="C632" s="6" t="s">
        <v>3943</v>
      </c>
      <c r="D632" s="6">
        <v>632.0</v>
      </c>
      <c r="F632" s="6" t="s">
        <v>358</v>
      </c>
      <c r="G632" s="6" t="s">
        <v>26</v>
      </c>
      <c r="I632" s="6" t="s">
        <v>3944</v>
      </c>
      <c r="J632" s="6">
        <v>0.0</v>
      </c>
      <c r="L632" s="6">
        <v>2500.0</v>
      </c>
      <c r="M632" s="6" t="s">
        <v>3945</v>
      </c>
      <c r="N632" s="6" t="s">
        <v>2626</v>
      </c>
      <c r="O632" s="6" t="s">
        <v>2626</v>
      </c>
    </row>
    <row r="633">
      <c r="A633" s="6" t="s">
        <v>1447</v>
      </c>
      <c r="B633" s="6" t="s">
        <v>1447</v>
      </c>
      <c r="C633" s="6" t="s">
        <v>3946</v>
      </c>
      <c r="D633" s="6">
        <v>633.0</v>
      </c>
      <c r="E633" s="6" t="s">
        <v>195</v>
      </c>
      <c r="F633" s="6" t="s">
        <v>195</v>
      </c>
      <c r="G633" s="6" t="s">
        <v>195</v>
      </c>
      <c r="J633" s="6">
        <v>0.0</v>
      </c>
      <c r="L633" s="6">
        <v>0.0</v>
      </c>
      <c r="M633" s="6" t="s">
        <v>3947</v>
      </c>
      <c r="N633" s="6" t="s">
        <v>2626</v>
      </c>
      <c r="O633" s="6" t="s">
        <v>2626</v>
      </c>
    </row>
    <row r="634">
      <c r="A634" s="6" t="s">
        <v>1448</v>
      </c>
      <c r="B634" s="6" t="s">
        <v>1448</v>
      </c>
      <c r="C634" s="6" t="s">
        <v>3948</v>
      </c>
      <c r="D634" s="6">
        <v>634.0</v>
      </c>
      <c r="E634" s="6" t="s">
        <v>195</v>
      </c>
      <c r="F634" s="6" t="s">
        <v>195</v>
      </c>
      <c r="G634" s="6" t="s">
        <v>195</v>
      </c>
      <c r="J634" s="6">
        <v>0.0</v>
      </c>
      <c r="L634" s="6">
        <v>0.0</v>
      </c>
      <c r="M634" s="6" t="s">
        <v>3949</v>
      </c>
      <c r="N634" s="6" t="s">
        <v>2626</v>
      </c>
      <c r="O634" s="6" t="s">
        <v>2626</v>
      </c>
    </row>
    <row r="635">
      <c r="A635" s="6" t="s">
        <v>1449</v>
      </c>
      <c r="B635" s="6" t="s">
        <v>1449</v>
      </c>
      <c r="C635" s="6" t="s">
        <v>3950</v>
      </c>
      <c r="D635" s="6">
        <v>635.0</v>
      </c>
      <c r="E635" s="6" t="s">
        <v>195</v>
      </c>
      <c r="F635" s="6" t="s">
        <v>195</v>
      </c>
      <c r="G635" s="6" t="s">
        <v>195</v>
      </c>
      <c r="J635" s="6">
        <v>0.0</v>
      </c>
      <c r="L635" s="6">
        <v>0.0</v>
      </c>
      <c r="M635" s="6" t="s">
        <v>3951</v>
      </c>
      <c r="N635" s="6" t="s">
        <v>2626</v>
      </c>
      <c r="O635" s="6" t="s">
        <v>2626</v>
      </c>
    </row>
    <row r="636">
      <c r="A636" s="6" t="s">
        <v>1453</v>
      </c>
      <c r="B636" s="6" t="s">
        <v>1453</v>
      </c>
      <c r="C636" s="6" t="s">
        <v>3952</v>
      </c>
      <c r="D636" s="6">
        <v>636.0</v>
      </c>
      <c r="F636" s="6" t="s">
        <v>1450</v>
      </c>
      <c r="G636" s="6" t="s">
        <v>121</v>
      </c>
      <c r="J636" s="6">
        <v>0.0</v>
      </c>
      <c r="L636" s="6">
        <v>0.0</v>
      </c>
      <c r="M636" s="6" t="s">
        <v>3953</v>
      </c>
      <c r="N636" s="6" t="s">
        <v>2626</v>
      </c>
      <c r="O636" s="6" t="s">
        <v>2626</v>
      </c>
    </row>
    <row r="637">
      <c r="A637" s="6" t="s">
        <v>1457</v>
      </c>
      <c r="B637" s="6" t="s">
        <v>1457</v>
      </c>
      <c r="C637" s="6" t="s">
        <v>3954</v>
      </c>
      <c r="D637" s="6">
        <v>637.0</v>
      </c>
      <c r="E637" s="6">
        <v>3.53817900069121E14</v>
      </c>
      <c r="F637" s="6" t="s">
        <v>1454</v>
      </c>
      <c r="G637" s="6" t="s">
        <v>26</v>
      </c>
      <c r="I637" s="6" t="s">
        <v>3955</v>
      </c>
      <c r="J637" s="6">
        <v>0.0</v>
      </c>
      <c r="L637" s="6">
        <v>475000.0</v>
      </c>
      <c r="M637" s="6" t="s">
        <v>3956</v>
      </c>
      <c r="N637" s="6" t="s">
        <v>2626</v>
      </c>
      <c r="O637" s="6" t="s">
        <v>2626</v>
      </c>
    </row>
    <row r="638">
      <c r="A638" s="6" t="s">
        <v>1461</v>
      </c>
      <c r="B638" s="6" t="s">
        <v>1461</v>
      </c>
      <c r="C638" s="6" t="s">
        <v>3957</v>
      </c>
      <c r="D638" s="6">
        <v>638.0</v>
      </c>
      <c r="F638" s="6" t="s">
        <v>1458</v>
      </c>
      <c r="G638" s="6" t="s">
        <v>26</v>
      </c>
      <c r="I638" s="6" t="s">
        <v>3955</v>
      </c>
      <c r="J638" s="6">
        <v>0.0</v>
      </c>
      <c r="L638" s="6">
        <v>3000.0</v>
      </c>
      <c r="M638" s="6" t="s">
        <v>3958</v>
      </c>
      <c r="N638" s="6" t="s">
        <v>2626</v>
      </c>
      <c r="O638" s="6" t="s">
        <v>2626</v>
      </c>
    </row>
    <row r="639">
      <c r="A639" s="6" t="s">
        <v>1463</v>
      </c>
      <c r="B639" s="6" t="s">
        <v>1463</v>
      </c>
      <c r="C639" s="6" t="s">
        <v>3959</v>
      </c>
      <c r="D639" s="6">
        <v>639.0</v>
      </c>
      <c r="F639" s="6" t="s">
        <v>89</v>
      </c>
      <c r="G639" s="6" t="s">
        <v>26</v>
      </c>
      <c r="I639" s="6" t="s">
        <v>3955</v>
      </c>
      <c r="J639" s="6">
        <v>0.0</v>
      </c>
      <c r="L639" s="6">
        <v>2500.0</v>
      </c>
      <c r="M639" s="6" t="s">
        <v>3960</v>
      </c>
      <c r="N639" s="6" t="s">
        <v>2626</v>
      </c>
      <c r="O639" s="6" t="s">
        <v>2626</v>
      </c>
    </row>
    <row r="640">
      <c r="A640" s="6" t="s">
        <v>1464</v>
      </c>
      <c r="B640" s="6" t="s">
        <v>1464</v>
      </c>
      <c r="C640" s="6" t="s">
        <v>3961</v>
      </c>
      <c r="D640" s="6">
        <v>640.0</v>
      </c>
      <c r="E640" s="6" t="s">
        <v>1367</v>
      </c>
      <c r="F640" s="6" t="s">
        <v>693</v>
      </c>
      <c r="G640" s="6" t="s">
        <v>26</v>
      </c>
      <c r="I640" s="6" t="s">
        <v>3955</v>
      </c>
      <c r="J640" s="6">
        <v>0.0</v>
      </c>
      <c r="L640" s="6">
        <v>230000.0</v>
      </c>
      <c r="M640" s="6" t="s">
        <v>3962</v>
      </c>
      <c r="N640" s="6" t="s">
        <v>2626</v>
      </c>
      <c r="O640" s="6" t="s">
        <v>2626</v>
      </c>
    </row>
    <row r="641">
      <c r="A641" s="6" t="s">
        <v>1467</v>
      </c>
      <c r="B641" s="6" t="s">
        <v>1467</v>
      </c>
      <c r="C641" s="6" t="s">
        <v>3963</v>
      </c>
      <c r="D641" s="6">
        <v>641.0</v>
      </c>
      <c r="F641" s="6" t="s">
        <v>400</v>
      </c>
      <c r="G641" s="6" t="s">
        <v>26</v>
      </c>
      <c r="I641" s="6" t="s">
        <v>3955</v>
      </c>
      <c r="J641" s="6">
        <v>0.0</v>
      </c>
      <c r="L641" s="6">
        <v>5000.0</v>
      </c>
      <c r="M641" s="6" t="s">
        <v>3964</v>
      </c>
      <c r="N641" s="6" t="s">
        <v>2626</v>
      </c>
      <c r="O641" s="6" t="s">
        <v>2626</v>
      </c>
    </row>
    <row r="642">
      <c r="A642" s="6" t="s">
        <v>1471</v>
      </c>
      <c r="B642" s="6" t="s">
        <v>1471</v>
      </c>
      <c r="C642" s="6" t="s">
        <v>3965</v>
      </c>
      <c r="D642" s="6">
        <v>642.0</v>
      </c>
      <c r="F642" s="6" t="s">
        <v>1468</v>
      </c>
      <c r="G642" s="6" t="s">
        <v>26</v>
      </c>
      <c r="I642" s="6" t="s">
        <v>3955</v>
      </c>
      <c r="J642" s="6">
        <v>0.0</v>
      </c>
      <c r="L642" s="6">
        <v>4000.0</v>
      </c>
      <c r="M642" s="6" t="s">
        <v>3966</v>
      </c>
      <c r="N642" s="6" t="s">
        <v>2626</v>
      </c>
      <c r="O642" s="6" t="s">
        <v>2626</v>
      </c>
    </row>
    <row r="643">
      <c r="A643" s="6" t="s">
        <v>1475</v>
      </c>
      <c r="B643" s="6" t="s">
        <v>1475</v>
      </c>
      <c r="C643" s="6" t="s">
        <v>3967</v>
      </c>
      <c r="D643" s="6">
        <v>643.0</v>
      </c>
      <c r="F643" s="6" t="s">
        <v>1472</v>
      </c>
      <c r="G643" s="6" t="s">
        <v>26</v>
      </c>
      <c r="I643" s="6" t="s">
        <v>3955</v>
      </c>
      <c r="J643" s="6">
        <v>0.0</v>
      </c>
      <c r="L643" s="6">
        <v>5000.0</v>
      </c>
      <c r="M643" s="6" t="s">
        <v>3968</v>
      </c>
      <c r="N643" s="6" t="s">
        <v>2626</v>
      </c>
      <c r="O643" s="6" t="s">
        <v>2626</v>
      </c>
    </row>
    <row r="644">
      <c r="A644" s="6" t="s">
        <v>1476</v>
      </c>
      <c r="B644" s="6" t="s">
        <v>1476</v>
      </c>
      <c r="C644" s="6" t="s">
        <v>3969</v>
      </c>
      <c r="D644" s="6">
        <v>644.0</v>
      </c>
      <c r="F644" s="6" t="s">
        <v>741</v>
      </c>
      <c r="G644" s="6" t="s">
        <v>26</v>
      </c>
      <c r="I644" s="6" t="s">
        <v>3955</v>
      </c>
      <c r="J644" s="6">
        <v>0.0</v>
      </c>
      <c r="L644" s="6">
        <v>2500.0</v>
      </c>
      <c r="M644" s="6" t="s">
        <v>3970</v>
      </c>
      <c r="N644" s="6" t="s">
        <v>2626</v>
      </c>
      <c r="O644" s="6" t="s">
        <v>2626</v>
      </c>
    </row>
    <row r="645">
      <c r="A645" s="6" t="s">
        <v>1477</v>
      </c>
      <c r="B645" s="6" t="s">
        <v>1477</v>
      </c>
      <c r="C645" s="6" t="s">
        <v>3971</v>
      </c>
      <c r="D645" s="6">
        <v>645.0</v>
      </c>
      <c r="F645" s="6" t="s">
        <v>89</v>
      </c>
      <c r="G645" s="6" t="s">
        <v>26</v>
      </c>
      <c r="I645" s="6" t="s">
        <v>3955</v>
      </c>
      <c r="J645" s="6">
        <v>0.0</v>
      </c>
      <c r="L645" s="6">
        <v>2500.0</v>
      </c>
      <c r="M645" s="6" t="s">
        <v>3972</v>
      </c>
      <c r="N645" s="6" t="s">
        <v>2626</v>
      </c>
      <c r="O645" s="6" t="s">
        <v>2626</v>
      </c>
    </row>
    <row r="646">
      <c r="A646" s="6" t="s">
        <v>1479</v>
      </c>
      <c r="B646" s="6" t="s">
        <v>1479</v>
      </c>
      <c r="C646" s="6" t="s">
        <v>3973</v>
      </c>
      <c r="D646" s="6">
        <v>646.0</v>
      </c>
      <c r="F646" s="6" t="s">
        <v>108</v>
      </c>
      <c r="G646" s="6" t="s">
        <v>26</v>
      </c>
      <c r="I646" s="6" t="s">
        <v>3955</v>
      </c>
      <c r="J646" s="6">
        <v>0.0</v>
      </c>
      <c r="L646" s="6">
        <v>6500.0</v>
      </c>
      <c r="M646" s="6" t="s">
        <v>3974</v>
      </c>
      <c r="N646" s="6" t="s">
        <v>2626</v>
      </c>
      <c r="O646" s="6" t="s">
        <v>2626</v>
      </c>
    </row>
    <row r="647">
      <c r="A647" s="6" t="s">
        <v>1484</v>
      </c>
      <c r="B647" s="6" t="s">
        <v>1484</v>
      </c>
      <c r="C647" s="6" t="s">
        <v>3975</v>
      </c>
      <c r="D647" s="6">
        <v>647.0</v>
      </c>
      <c r="E647" s="6">
        <v>3.5863762060672E14</v>
      </c>
      <c r="F647" s="6" t="s">
        <v>1480</v>
      </c>
      <c r="G647" s="6" t="s">
        <v>26</v>
      </c>
      <c r="I647" s="6" t="s">
        <v>3955</v>
      </c>
      <c r="J647" s="6">
        <v>0.0</v>
      </c>
      <c r="L647" s="6">
        <v>770000.0</v>
      </c>
      <c r="M647" s="6" t="s">
        <v>3976</v>
      </c>
      <c r="N647" s="6" t="s">
        <v>2626</v>
      </c>
      <c r="O647" s="6" t="s">
        <v>2626</v>
      </c>
    </row>
    <row r="648">
      <c r="A648" s="6" t="s">
        <v>1485</v>
      </c>
      <c r="B648" s="6" t="s">
        <v>1485</v>
      </c>
      <c r="C648" s="6" t="s">
        <v>3977</v>
      </c>
      <c r="D648" s="6">
        <v>648.0</v>
      </c>
      <c r="E648" s="6" t="s">
        <v>140</v>
      </c>
      <c r="F648" s="6" t="s">
        <v>140</v>
      </c>
      <c r="G648" s="6" t="s">
        <v>195</v>
      </c>
      <c r="J648" s="6">
        <v>0.0</v>
      </c>
      <c r="L648" s="6">
        <v>0.0</v>
      </c>
      <c r="M648" s="6" t="s">
        <v>3978</v>
      </c>
      <c r="N648" s="6" t="s">
        <v>2626</v>
      </c>
      <c r="O648" s="6" t="s">
        <v>2626</v>
      </c>
    </row>
    <row r="649">
      <c r="A649" s="6" t="s">
        <v>1486</v>
      </c>
      <c r="B649" s="6" t="s">
        <v>1486</v>
      </c>
      <c r="C649" s="6" t="s">
        <v>3979</v>
      </c>
      <c r="D649" s="6">
        <v>649.0</v>
      </c>
      <c r="E649" s="6" t="s">
        <v>140</v>
      </c>
      <c r="F649" s="6" t="s">
        <v>140</v>
      </c>
      <c r="G649" s="6" t="s">
        <v>195</v>
      </c>
      <c r="J649" s="6">
        <v>0.0</v>
      </c>
      <c r="L649" s="6">
        <v>0.0</v>
      </c>
      <c r="M649" s="6" t="s">
        <v>3980</v>
      </c>
      <c r="N649" s="6" t="s">
        <v>2626</v>
      </c>
      <c r="O649" s="6" t="s">
        <v>2626</v>
      </c>
    </row>
    <row r="650">
      <c r="A650" s="6" t="s">
        <v>1487</v>
      </c>
      <c r="B650" s="6" t="s">
        <v>1487</v>
      </c>
      <c r="C650" s="6" t="s">
        <v>3981</v>
      </c>
      <c r="D650" s="6">
        <v>650.0</v>
      </c>
      <c r="E650" s="6" t="s">
        <v>140</v>
      </c>
      <c r="F650" s="6" t="s">
        <v>140</v>
      </c>
      <c r="G650" s="6" t="s">
        <v>195</v>
      </c>
      <c r="J650" s="6">
        <v>0.0</v>
      </c>
      <c r="L650" s="6">
        <v>0.0</v>
      </c>
      <c r="M650" s="6" t="s">
        <v>3982</v>
      </c>
      <c r="N650" s="6" t="s">
        <v>2626</v>
      </c>
      <c r="O650" s="6" t="s">
        <v>2626</v>
      </c>
    </row>
    <row r="651">
      <c r="A651" s="6" t="s">
        <v>1491</v>
      </c>
      <c r="B651" s="6" t="s">
        <v>1491</v>
      </c>
      <c r="C651" s="6" t="s">
        <v>3983</v>
      </c>
      <c r="D651" s="6">
        <v>651.0</v>
      </c>
      <c r="E651" s="6">
        <v>3.53748537419738E14</v>
      </c>
      <c r="F651" s="6" t="s">
        <v>1040</v>
      </c>
      <c r="G651" s="6" t="s">
        <v>26</v>
      </c>
      <c r="I651" s="6" t="s">
        <v>3984</v>
      </c>
      <c r="J651" s="6">
        <v>0.0</v>
      </c>
      <c r="L651" s="6">
        <v>1150000.0</v>
      </c>
      <c r="M651" s="6" t="s">
        <v>3985</v>
      </c>
      <c r="N651" s="6" t="s">
        <v>2626</v>
      </c>
      <c r="O651" s="6" t="s">
        <v>2626</v>
      </c>
    </row>
    <row r="652">
      <c r="A652" s="6" t="s">
        <v>1493</v>
      </c>
      <c r="B652" s="6" t="s">
        <v>1493</v>
      </c>
      <c r="C652" s="6" t="s">
        <v>3986</v>
      </c>
      <c r="D652" s="6">
        <v>652.0</v>
      </c>
      <c r="F652" s="6" t="s">
        <v>248</v>
      </c>
      <c r="G652" s="6" t="s">
        <v>26</v>
      </c>
      <c r="I652" s="6" t="s">
        <v>3984</v>
      </c>
      <c r="J652" s="6">
        <v>0.0</v>
      </c>
      <c r="L652" s="6">
        <v>5000.0</v>
      </c>
      <c r="M652" s="6" t="s">
        <v>3987</v>
      </c>
      <c r="N652" s="6" t="s">
        <v>2626</v>
      </c>
      <c r="O652" s="6" t="s">
        <v>2626</v>
      </c>
    </row>
    <row r="653">
      <c r="A653" s="6" t="s">
        <v>1495</v>
      </c>
      <c r="B653" s="6" t="s">
        <v>1495</v>
      </c>
      <c r="C653" s="6" t="s">
        <v>3988</v>
      </c>
      <c r="D653" s="6">
        <v>653.0</v>
      </c>
      <c r="F653" s="6" t="s">
        <v>364</v>
      </c>
      <c r="G653" s="6" t="s">
        <v>26</v>
      </c>
      <c r="I653" s="6" t="s">
        <v>3984</v>
      </c>
      <c r="J653" s="6">
        <v>0.0</v>
      </c>
      <c r="L653" s="6">
        <v>3000.0</v>
      </c>
      <c r="M653" s="6" t="s">
        <v>3989</v>
      </c>
      <c r="N653" s="6" t="s">
        <v>2626</v>
      </c>
      <c r="O653" s="6" t="s">
        <v>2626</v>
      </c>
    </row>
    <row r="654">
      <c r="A654" s="6" t="s">
        <v>1498</v>
      </c>
      <c r="B654" s="6" t="s">
        <v>1498</v>
      </c>
      <c r="C654" s="6" t="s">
        <v>3990</v>
      </c>
      <c r="D654" s="6">
        <v>654.0</v>
      </c>
      <c r="F654" s="6" t="s">
        <v>741</v>
      </c>
      <c r="G654" s="6" t="s">
        <v>121</v>
      </c>
      <c r="J654" s="6">
        <v>0.0</v>
      </c>
      <c r="L654" s="6">
        <v>0.0</v>
      </c>
      <c r="M654" s="6" t="s">
        <v>3991</v>
      </c>
      <c r="N654" s="6" t="s">
        <v>2626</v>
      </c>
      <c r="O654" s="6" t="s">
        <v>2626</v>
      </c>
    </row>
    <row r="655">
      <c r="A655" s="6" t="s">
        <v>1500</v>
      </c>
      <c r="B655" s="6" t="s">
        <v>1500</v>
      </c>
      <c r="C655" s="6" t="s">
        <v>3992</v>
      </c>
      <c r="D655" s="6">
        <v>655.0</v>
      </c>
      <c r="E655" s="6">
        <v>3.58915823120982E14</v>
      </c>
      <c r="F655" s="6" t="s">
        <v>89</v>
      </c>
      <c r="G655" s="6" t="s">
        <v>26</v>
      </c>
      <c r="I655" s="6" t="s">
        <v>3984</v>
      </c>
      <c r="J655" s="6">
        <v>0.0</v>
      </c>
      <c r="L655" s="6">
        <v>820000.0</v>
      </c>
      <c r="M655" s="6" t="s">
        <v>3993</v>
      </c>
      <c r="N655" s="6" t="s">
        <v>2626</v>
      </c>
      <c r="O655" s="6" t="s">
        <v>2626</v>
      </c>
    </row>
    <row r="656">
      <c r="A656" s="6" t="s">
        <v>1503</v>
      </c>
      <c r="B656" s="6" t="s">
        <v>1503</v>
      </c>
      <c r="C656" s="6" t="s">
        <v>3994</v>
      </c>
      <c r="D656" s="6">
        <v>656.0</v>
      </c>
      <c r="E656" s="6">
        <v>3.56478843889559E14</v>
      </c>
      <c r="F656" s="6" t="s">
        <v>46</v>
      </c>
      <c r="G656" s="6" t="s">
        <v>103</v>
      </c>
      <c r="J656" s="6">
        <v>0.0</v>
      </c>
      <c r="L656" s="6">
        <v>0.0</v>
      </c>
      <c r="M656" s="6" t="s">
        <v>3995</v>
      </c>
      <c r="N656" s="6" t="s">
        <v>2626</v>
      </c>
      <c r="O656" s="6" t="s">
        <v>2626</v>
      </c>
    </row>
    <row r="657">
      <c r="A657" s="6" t="s">
        <v>1505</v>
      </c>
      <c r="B657" s="6" t="s">
        <v>1505</v>
      </c>
      <c r="C657" s="6" t="s">
        <v>3996</v>
      </c>
      <c r="D657" s="6">
        <v>657.0</v>
      </c>
      <c r="F657" s="6" t="s">
        <v>89</v>
      </c>
      <c r="G657" s="6" t="s">
        <v>26</v>
      </c>
      <c r="I657" s="6" t="s">
        <v>3984</v>
      </c>
      <c r="J657" s="6">
        <v>0.0</v>
      </c>
      <c r="L657" s="6">
        <v>5000.0</v>
      </c>
      <c r="M657" s="6" t="s">
        <v>3997</v>
      </c>
      <c r="N657" s="6" t="s">
        <v>2626</v>
      </c>
      <c r="O657" s="6" t="s">
        <v>2626</v>
      </c>
    </row>
    <row r="658">
      <c r="A658" s="6" t="s">
        <v>1507</v>
      </c>
      <c r="B658" s="6" t="s">
        <v>1507</v>
      </c>
      <c r="C658" s="6" t="s">
        <v>3998</v>
      </c>
      <c r="D658" s="6">
        <v>658.0</v>
      </c>
      <c r="F658" s="6" t="s">
        <v>54</v>
      </c>
      <c r="G658" s="6" t="s">
        <v>26</v>
      </c>
      <c r="I658" s="6" t="s">
        <v>3984</v>
      </c>
      <c r="J658" s="6">
        <v>0.0</v>
      </c>
      <c r="L658" s="6">
        <v>2500.0</v>
      </c>
      <c r="M658" s="6" t="s">
        <v>3999</v>
      </c>
      <c r="N658" s="6" t="s">
        <v>2626</v>
      </c>
      <c r="O658" s="6" t="s">
        <v>2626</v>
      </c>
    </row>
    <row r="659">
      <c r="A659" s="6" t="s">
        <v>1510</v>
      </c>
      <c r="B659" s="6" t="s">
        <v>1510</v>
      </c>
      <c r="C659" s="6" t="s">
        <v>4000</v>
      </c>
      <c r="D659" s="6">
        <v>659.0</v>
      </c>
      <c r="F659" s="6" t="s">
        <v>1508</v>
      </c>
      <c r="G659" s="6" t="s">
        <v>103</v>
      </c>
      <c r="J659" s="6">
        <v>0.0</v>
      </c>
      <c r="L659" s="6">
        <v>0.0</v>
      </c>
      <c r="M659" s="6" t="s">
        <v>4001</v>
      </c>
      <c r="N659" s="6" t="s">
        <v>2626</v>
      </c>
      <c r="O659" s="6" t="s">
        <v>2626</v>
      </c>
    </row>
    <row r="660">
      <c r="A660" s="6" t="s">
        <v>1511</v>
      </c>
      <c r="B660" s="6" t="s">
        <v>1511</v>
      </c>
      <c r="C660" s="6" t="s">
        <v>4002</v>
      </c>
      <c r="D660" s="6">
        <v>660.0</v>
      </c>
      <c r="E660" s="6" t="s">
        <v>140</v>
      </c>
      <c r="F660" s="6" t="s">
        <v>140</v>
      </c>
      <c r="G660" s="6" t="s">
        <v>195</v>
      </c>
      <c r="J660" s="6">
        <v>0.0</v>
      </c>
      <c r="L660" s="6">
        <v>0.0</v>
      </c>
      <c r="M660" s="6" t="s">
        <v>4003</v>
      </c>
      <c r="N660" s="6" t="s">
        <v>2626</v>
      </c>
      <c r="O660" s="6" t="s">
        <v>2626</v>
      </c>
    </row>
    <row r="661">
      <c r="A661" s="6" t="s">
        <v>1512</v>
      </c>
      <c r="B661" s="6" t="s">
        <v>1512</v>
      </c>
      <c r="C661" s="6" t="s">
        <v>4004</v>
      </c>
      <c r="D661" s="6">
        <v>661.0</v>
      </c>
      <c r="E661" s="6" t="s">
        <v>140</v>
      </c>
      <c r="F661" s="6" t="s">
        <v>140</v>
      </c>
      <c r="G661" s="6" t="s">
        <v>195</v>
      </c>
      <c r="J661" s="6">
        <v>0.0</v>
      </c>
      <c r="L661" s="6">
        <v>0.0</v>
      </c>
      <c r="M661" s="6" t="s">
        <v>4005</v>
      </c>
      <c r="N661" s="6" t="s">
        <v>2626</v>
      </c>
      <c r="O661" s="6" t="s">
        <v>2626</v>
      </c>
    </row>
    <row r="662">
      <c r="A662" s="6" t="s">
        <v>1513</v>
      </c>
      <c r="B662" s="6" t="s">
        <v>1513</v>
      </c>
      <c r="C662" s="6" t="s">
        <v>4006</v>
      </c>
      <c r="D662" s="6">
        <v>662.0</v>
      </c>
      <c r="E662" s="6" t="s">
        <v>140</v>
      </c>
      <c r="F662" s="6" t="s">
        <v>140</v>
      </c>
      <c r="G662" s="6" t="s">
        <v>195</v>
      </c>
      <c r="J662" s="6">
        <v>0.0</v>
      </c>
      <c r="L662" s="6">
        <v>0.0</v>
      </c>
      <c r="M662" s="6" t="s">
        <v>4007</v>
      </c>
      <c r="N662" s="6" t="s">
        <v>2626</v>
      </c>
      <c r="O662" s="6" t="s">
        <v>2626</v>
      </c>
    </row>
    <row r="663">
      <c r="A663" s="6" t="s">
        <v>1515</v>
      </c>
      <c r="B663" s="6" t="s">
        <v>1515</v>
      </c>
      <c r="C663" s="6" t="s">
        <v>4008</v>
      </c>
      <c r="D663" s="6">
        <v>663.0</v>
      </c>
      <c r="F663" s="6" t="s">
        <v>254</v>
      </c>
      <c r="G663" s="6" t="s">
        <v>26</v>
      </c>
      <c r="I663" s="6" t="s">
        <v>4009</v>
      </c>
      <c r="J663" s="6">
        <v>0.0</v>
      </c>
      <c r="L663" s="6">
        <v>2500.0</v>
      </c>
      <c r="M663" s="6" t="s">
        <v>4010</v>
      </c>
      <c r="N663" s="6" t="s">
        <v>2626</v>
      </c>
      <c r="O663" s="6" t="s">
        <v>2626</v>
      </c>
    </row>
    <row r="664">
      <c r="A664" s="6" t="s">
        <v>1517</v>
      </c>
      <c r="B664" s="6" t="s">
        <v>1517</v>
      </c>
      <c r="C664" s="6" t="s">
        <v>4011</v>
      </c>
      <c r="D664" s="6">
        <v>664.0</v>
      </c>
      <c r="F664" s="6" t="s">
        <v>254</v>
      </c>
      <c r="G664" s="6" t="s">
        <v>26</v>
      </c>
      <c r="I664" s="6" t="s">
        <v>4009</v>
      </c>
      <c r="J664" s="6">
        <v>0.0</v>
      </c>
      <c r="L664" s="6">
        <v>5000.0</v>
      </c>
      <c r="M664" s="6" t="s">
        <v>4012</v>
      </c>
      <c r="N664" s="6" t="s">
        <v>2626</v>
      </c>
      <c r="O664" s="6" t="s">
        <v>2626</v>
      </c>
    </row>
    <row r="665">
      <c r="A665" s="6" t="s">
        <v>1520</v>
      </c>
      <c r="B665" s="6" t="s">
        <v>1520</v>
      </c>
      <c r="C665" s="6" t="s">
        <v>4013</v>
      </c>
      <c r="D665" s="6">
        <v>665.0</v>
      </c>
      <c r="F665" s="6" t="s">
        <v>424</v>
      </c>
      <c r="G665" s="6" t="s">
        <v>26</v>
      </c>
      <c r="I665" s="6" t="s">
        <v>4009</v>
      </c>
      <c r="J665" s="6">
        <v>0.0</v>
      </c>
      <c r="L665" s="6">
        <v>2500.0</v>
      </c>
      <c r="M665" s="6" t="s">
        <v>4014</v>
      </c>
      <c r="N665" s="6" t="s">
        <v>2626</v>
      </c>
      <c r="O665" s="6" t="s">
        <v>2626</v>
      </c>
    </row>
    <row r="666">
      <c r="A666" s="6" t="s">
        <v>1522</v>
      </c>
      <c r="B666" s="6" t="s">
        <v>1522</v>
      </c>
      <c r="C666" s="6" t="s">
        <v>4015</v>
      </c>
      <c r="D666" s="6">
        <v>666.0</v>
      </c>
      <c r="F666" s="6" t="s">
        <v>851</v>
      </c>
      <c r="G666" s="6" t="s">
        <v>26</v>
      </c>
      <c r="I666" s="6" t="s">
        <v>4009</v>
      </c>
      <c r="J666" s="6">
        <v>0.0</v>
      </c>
      <c r="L666" s="6">
        <v>5000.0</v>
      </c>
      <c r="M666" s="6" t="s">
        <v>4016</v>
      </c>
      <c r="N666" s="6" t="s">
        <v>2626</v>
      </c>
      <c r="O666" s="6" t="s">
        <v>2626</v>
      </c>
    </row>
    <row r="667">
      <c r="A667" s="6" t="s">
        <v>1526</v>
      </c>
      <c r="B667" s="6" t="s">
        <v>1526</v>
      </c>
      <c r="C667" s="6" t="s">
        <v>4017</v>
      </c>
      <c r="D667" s="6">
        <v>667.0</v>
      </c>
      <c r="F667" s="6" t="s">
        <v>1523</v>
      </c>
      <c r="G667" s="6" t="s">
        <v>26</v>
      </c>
      <c r="I667" s="6" t="s">
        <v>4009</v>
      </c>
      <c r="J667" s="6">
        <v>0.0</v>
      </c>
      <c r="L667" s="6">
        <v>30000.0</v>
      </c>
      <c r="M667" s="6" t="s">
        <v>4018</v>
      </c>
      <c r="N667" s="6" t="s">
        <v>2626</v>
      </c>
      <c r="O667" s="6" t="s">
        <v>2626</v>
      </c>
    </row>
    <row r="668">
      <c r="A668" s="6" t="s">
        <v>1528</v>
      </c>
      <c r="B668" s="6" t="s">
        <v>1528</v>
      </c>
      <c r="C668" s="6" t="s">
        <v>4019</v>
      </c>
      <c r="D668" s="6">
        <v>668.0</v>
      </c>
      <c r="F668" s="6" t="s">
        <v>408</v>
      </c>
      <c r="G668" s="6" t="s">
        <v>121</v>
      </c>
      <c r="J668" s="6">
        <v>0.0</v>
      </c>
      <c r="L668" s="6">
        <v>0.0</v>
      </c>
      <c r="M668" s="6" t="s">
        <v>4020</v>
      </c>
      <c r="N668" s="6" t="s">
        <v>2626</v>
      </c>
      <c r="O668" s="6" t="s">
        <v>2626</v>
      </c>
    </row>
    <row r="669">
      <c r="A669" s="6" t="s">
        <v>1530</v>
      </c>
      <c r="B669" s="6" t="s">
        <v>1530</v>
      </c>
      <c r="C669" s="6" t="s">
        <v>4021</v>
      </c>
      <c r="D669" s="6">
        <v>669.0</v>
      </c>
      <c r="F669" s="6" t="s">
        <v>993</v>
      </c>
      <c r="G669" s="6" t="s">
        <v>26</v>
      </c>
      <c r="I669" s="6" t="s">
        <v>4009</v>
      </c>
      <c r="J669" s="6">
        <v>0.0</v>
      </c>
      <c r="L669" s="6">
        <v>3000.0</v>
      </c>
      <c r="M669" s="6" t="s">
        <v>4022</v>
      </c>
      <c r="N669" s="6" t="s">
        <v>2626</v>
      </c>
      <c r="O669" s="6" t="s">
        <v>2626</v>
      </c>
    </row>
    <row r="670">
      <c r="A670" s="6" t="s">
        <v>1532</v>
      </c>
      <c r="B670" s="6" t="s">
        <v>1532</v>
      </c>
      <c r="C670" s="6" t="s">
        <v>4023</v>
      </c>
      <c r="D670" s="6">
        <v>670.0</v>
      </c>
      <c r="F670" s="6" t="s">
        <v>18</v>
      </c>
      <c r="G670" s="6" t="s">
        <v>103</v>
      </c>
      <c r="J670" s="6">
        <v>0.0</v>
      </c>
      <c r="L670" s="6">
        <v>0.0</v>
      </c>
      <c r="M670" s="6" t="s">
        <v>4024</v>
      </c>
      <c r="N670" s="6" t="s">
        <v>2626</v>
      </c>
      <c r="O670" s="6" t="s">
        <v>2626</v>
      </c>
    </row>
    <row r="671">
      <c r="A671" s="6" t="s">
        <v>1534</v>
      </c>
      <c r="B671" s="6" t="s">
        <v>1534</v>
      </c>
      <c r="C671" s="6" t="s">
        <v>4025</v>
      </c>
      <c r="D671" s="6">
        <v>671.0</v>
      </c>
      <c r="F671" s="6" t="s">
        <v>1302</v>
      </c>
      <c r="G671" s="6" t="s">
        <v>26</v>
      </c>
      <c r="I671" s="6" t="s">
        <v>4009</v>
      </c>
      <c r="J671" s="6">
        <v>0.0</v>
      </c>
      <c r="L671" s="6">
        <v>2500.0</v>
      </c>
      <c r="M671" s="6" t="s">
        <v>4026</v>
      </c>
      <c r="N671" s="6" t="s">
        <v>2626</v>
      </c>
      <c r="O671" s="6" t="s">
        <v>2626</v>
      </c>
    </row>
    <row r="672">
      <c r="A672" s="6" t="s">
        <v>1537</v>
      </c>
      <c r="B672" s="6" t="s">
        <v>1537</v>
      </c>
      <c r="C672" s="6" t="s">
        <v>4027</v>
      </c>
      <c r="D672" s="6">
        <v>672.0</v>
      </c>
      <c r="F672" s="6" t="s">
        <v>198</v>
      </c>
      <c r="G672" s="6" t="s">
        <v>26</v>
      </c>
      <c r="I672" s="6" t="s">
        <v>4009</v>
      </c>
      <c r="J672" s="6">
        <v>0.0</v>
      </c>
      <c r="L672" s="6">
        <v>2500.0</v>
      </c>
      <c r="M672" s="6" t="s">
        <v>4028</v>
      </c>
      <c r="N672" s="6" t="s">
        <v>2626</v>
      </c>
      <c r="O672" s="6" t="s">
        <v>2626</v>
      </c>
    </row>
    <row r="673">
      <c r="A673" s="6" t="s">
        <v>1538</v>
      </c>
      <c r="B673" s="6" t="s">
        <v>1538</v>
      </c>
      <c r="C673" s="6" t="s">
        <v>4029</v>
      </c>
      <c r="D673" s="6">
        <v>673.0</v>
      </c>
      <c r="E673" s="6" t="s">
        <v>140</v>
      </c>
      <c r="F673" s="6" t="s">
        <v>140</v>
      </c>
      <c r="G673" s="6" t="s">
        <v>140</v>
      </c>
      <c r="J673" s="6">
        <v>0.0</v>
      </c>
      <c r="L673" s="6">
        <v>0.0</v>
      </c>
      <c r="M673" s="6" t="s">
        <v>4030</v>
      </c>
      <c r="N673" s="6" t="s">
        <v>2626</v>
      </c>
      <c r="O673" s="6" t="s">
        <v>2626</v>
      </c>
    </row>
    <row r="674">
      <c r="A674" s="6" t="s">
        <v>1539</v>
      </c>
      <c r="B674" s="6" t="s">
        <v>1539</v>
      </c>
      <c r="C674" s="6" t="s">
        <v>4031</v>
      </c>
      <c r="D674" s="6">
        <v>674.0</v>
      </c>
      <c r="E674" s="6" t="s">
        <v>140</v>
      </c>
      <c r="F674" s="6" t="s">
        <v>140</v>
      </c>
      <c r="G674" s="6" t="s">
        <v>140</v>
      </c>
      <c r="J674" s="6">
        <v>0.0</v>
      </c>
      <c r="L674" s="6">
        <v>0.0</v>
      </c>
      <c r="M674" s="6" t="s">
        <v>4032</v>
      </c>
      <c r="N674" s="6" t="s">
        <v>2626</v>
      </c>
      <c r="O674" s="6" t="s">
        <v>2626</v>
      </c>
    </row>
    <row r="675">
      <c r="A675" s="6" t="s">
        <v>1540</v>
      </c>
      <c r="B675" s="6" t="s">
        <v>1540</v>
      </c>
      <c r="C675" s="6" t="s">
        <v>4033</v>
      </c>
      <c r="D675" s="6">
        <v>675.0</v>
      </c>
      <c r="E675" s="6" t="s">
        <v>140</v>
      </c>
      <c r="F675" s="6" t="s">
        <v>140</v>
      </c>
      <c r="G675" s="6" t="s">
        <v>140</v>
      </c>
      <c r="J675" s="6">
        <v>0.0</v>
      </c>
      <c r="L675" s="6">
        <v>0.0</v>
      </c>
      <c r="M675" s="6" t="s">
        <v>4034</v>
      </c>
      <c r="N675" s="6" t="s">
        <v>2626</v>
      </c>
      <c r="O675" s="6" t="s">
        <v>2626</v>
      </c>
    </row>
    <row r="676">
      <c r="A676" s="6" t="s">
        <v>1541</v>
      </c>
      <c r="B676" s="6" t="s">
        <v>1541</v>
      </c>
      <c r="C676" s="6" t="s">
        <v>4035</v>
      </c>
      <c r="D676" s="6">
        <v>676.0</v>
      </c>
      <c r="E676" s="6" t="s">
        <v>140</v>
      </c>
      <c r="F676" s="6" t="s">
        <v>140</v>
      </c>
      <c r="G676" s="6" t="s">
        <v>140</v>
      </c>
      <c r="J676" s="6">
        <v>0.0</v>
      </c>
      <c r="L676" s="6">
        <v>0.0</v>
      </c>
      <c r="M676" s="6" t="s">
        <v>4036</v>
      </c>
      <c r="N676" s="6" t="s">
        <v>2626</v>
      </c>
      <c r="O676" s="6" t="s">
        <v>2626</v>
      </c>
    </row>
    <row r="677">
      <c r="A677" s="6" t="s">
        <v>1544</v>
      </c>
      <c r="B677" s="6" t="s">
        <v>1544</v>
      </c>
      <c r="C677" s="6" t="s">
        <v>4037</v>
      </c>
      <c r="D677" s="6">
        <v>677.0</v>
      </c>
      <c r="F677" s="6" t="s">
        <v>306</v>
      </c>
      <c r="G677" s="6" t="s">
        <v>26</v>
      </c>
      <c r="I677" s="6" t="s">
        <v>4038</v>
      </c>
      <c r="J677" s="6">
        <v>0.0</v>
      </c>
      <c r="L677" s="6">
        <v>3000.0</v>
      </c>
      <c r="M677" s="6" t="s">
        <v>4039</v>
      </c>
      <c r="N677" s="6" t="s">
        <v>2626</v>
      </c>
      <c r="O677" s="6" t="s">
        <v>2626</v>
      </c>
    </row>
    <row r="678">
      <c r="A678" s="6" t="s">
        <v>1546</v>
      </c>
      <c r="B678" s="6" t="s">
        <v>1546</v>
      </c>
      <c r="C678" s="6" t="s">
        <v>4040</v>
      </c>
      <c r="D678" s="6">
        <v>678.0</v>
      </c>
      <c r="F678" s="6" t="s">
        <v>93</v>
      </c>
      <c r="G678" s="6" t="s">
        <v>26</v>
      </c>
      <c r="I678" s="6" t="s">
        <v>4038</v>
      </c>
      <c r="J678" s="6">
        <v>0.0</v>
      </c>
      <c r="L678" s="6">
        <v>2500.0</v>
      </c>
      <c r="M678" s="6" t="s">
        <v>4041</v>
      </c>
      <c r="N678" s="6" t="s">
        <v>2626</v>
      </c>
      <c r="O678" s="6" t="s">
        <v>2626</v>
      </c>
    </row>
    <row r="679">
      <c r="A679" s="6" t="s">
        <v>1548</v>
      </c>
      <c r="B679" s="6" t="s">
        <v>1548</v>
      </c>
      <c r="C679" s="6" t="s">
        <v>4042</v>
      </c>
      <c r="D679" s="6">
        <v>679.0</v>
      </c>
      <c r="F679" s="6" t="s">
        <v>236</v>
      </c>
      <c r="G679" s="6" t="s">
        <v>26</v>
      </c>
      <c r="I679" s="6" t="s">
        <v>4038</v>
      </c>
      <c r="J679" s="6">
        <v>0.0</v>
      </c>
      <c r="L679" s="6">
        <v>2500.0</v>
      </c>
      <c r="M679" s="6" t="s">
        <v>4043</v>
      </c>
      <c r="N679" s="6" t="s">
        <v>2626</v>
      </c>
      <c r="O679" s="6" t="s">
        <v>2626</v>
      </c>
    </row>
    <row r="680">
      <c r="A680" s="6" t="s">
        <v>1550</v>
      </c>
      <c r="B680" s="6" t="s">
        <v>1550</v>
      </c>
      <c r="C680" s="6" t="s">
        <v>4044</v>
      </c>
      <c r="D680" s="6">
        <v>680.0</v>
      </c>
      <c r="F680" s="6" t="s">
        <v>50</v>
      </c>
      <c r="G680" s="6" t="s">
        <v>121</v>
      </c>
      <c r="J680" s="6">
        <v>0.0</v>
      </c>
      <c r="L680" s="6">
        <v>0.0</v>
      </c>
      <c r="M680" s="6" t="s">
        <v>4045</v>
      </c>
      <c r="N680" s="6" t="s">
        <v>2626</v>
      </c>
      <c r="O680" s="6" t="s">
        <v>2626</v>
      </c>
    </row>
    <row r="681">
      <c r="A681" s="6" t="s">
        <v>1551</v>
      </c>
      <c r="B681" s="6" t="s">
        <v>1551</v>
      </c>
      <c r="C681" s="6" t="s">
        <v>4046</v>
      </c>
      <c r="D681" s="6">
        <v>681.0</v>
      </c>
      <c r="F681" s="6" t="s">
        <v>54</v>
      </c>
      <c r="G681" s="6" t="s">
        <v>26</v>
      </c>
      <c r="I681" s="6" t="s">
        <v>4038</v>
      </c>
      <c r="J681" s="6">
        <v>0.0</v>
      </c>
      <c r="L681" s="6">
        <v>2500.0</v>
      </c>
      <c r="M681" s="6" t="s">
        <v>4047</v>
      </c>
      <c r="N681" s="6" t="s">
        <v>2626</v>
      </c>
      <c r="O681" s="6" t="s">
        <v>2626</v>
      </c>
    </row>
    <row r="682">
      <c r="A682" s="6" t="s">
        <v>1553</v>
      </c>
      <c r="B682" s="6" t="s">
        <v>1553</v>
      </c>
      <c r="C682" s="6" t="s">
        <v>4048</v>
      </c>
      <c r="D682" s="6">
        <v>682.0</v>
      </c>
      <c r="F682" s="6" t="s">
        <v>741</v>
      </c>
      <c r="G682" s="6" t="s">
        <v>26</v>
      </c>
      <c r="I682" s="6" t="s">
        <v>4038</v>
      </c>
      <c r="J682" s="6">
        <v>0.0</v>
      </c>
      <c r="L682" s="6">
        <v>3000.0</v>
      </c>
      <c r="M682" s="6" t="s">
        <v>4049</v>
      </c>
      <c r="N682" s="6" t="s">
        <v>2626</v>
      </c>
      <c r="O682" s="6" t="s">
        <v>2626</v>
      </c>
    </row>
    <row r="683">
      <c r="A683" s="6" t="s">
        <v>1555</v>
      </c>
      <c r="B683" s="6" t="s">
        <v>1555</v>
      </c>
      <c r="C683" s="6" t="s">
        <v>4050</v>
      </c>
      <c r="D683" s="6">
        <v>683.0</v>
      </c>
      <c r="F683" s="6" t="s">
        <v>236</v>
      </c>
      <c r="G683" s="6" t="s">
        <v>26</v>
      </c>
      <c r="I683" s="6" t="s">
        <v>4038</v>
      </c>
      <c r="J683" s="6">
        <v>0.0</v>
      </c>
      <c r="L683" s="6">
        <v>2500.0</v>
      </c>
      <c r="M683" s="6" t="s">
        <v>4051</v>
      </c>
      <c r="N683" s="6" t="s">
        <v>2626</v>
      </c>
      <c r="O683" s="6" t="s">
        <v>2626</v>
      </c>
    </row>
    <row r="684">
      <c r="A684" s="6" t="s">
        <v>1560</v>
      </c>
      <c r="B684" s="6" t="s">
        <v>1560</v>
      </c>
      <c r="C684" s="6" t="s">
        <v>4052</v>
      </c>
      <c r="D684" s="6">
        <v>684.0</v>
      </c>
      <c r="E684" s="6">
        <v>3.50991541697468E14</v>
      </c>
      <c r="F684" s="6" t="s">
        <v>1556</v>
      </c>
      <c r="G684" s="6" t="s">
        <v>103</v>
      </c>
      <c r="J684" s="6">
        <v>0.0</v>
      </c>
      <c r="L684" s="6">
        <v>0.0</v>
      </c>
      <c r="M684" s="6" t="s">
        <v>4053</v>
      </c>
      <c r="N684" s="6" t="s">
        <v>2626</v>
      </c>
      <c r="O684" s="6" t="s">
        <v>2626</v>
      </c>
    </row>
    <row r="685">
      <c r="A685" s="6" t="s">
        <v>1561</v>
      </c>
      <c r="B685" s="6" t="s">
        <v>1561</v>
      </c>
      <c r="C685" s="6" t="s">
        <v>4054</v>
      </c>
      <c r="D685" s="6">
        <v>685.0</v>
      </c>
      <c r="F685" s="6" t="s">
        <v>620</v>
      </c>
      <c r="G685" s="6" t="s">
        <v>26</v>
      </c>
      <c r="I685" s="6" t="s">
        <v>4038</v>
      </c>
      <c r="J685" s="6">
        <v>0.0</v>
      </c>
      <c r="L685" s="6">
        <v>5000.0</v>
      </c>
      <c r="M685" s="6" t="s">
        <v>4055</v>
      </c>
      <c r="N685" s="6" t="s">
        <v>2626</v>
      </c>
      <c r="O685" s="6" t="s">
        <v>2626</v>
      </c>
    </row>
    <row r="686">
      <c r="A686" s="6" t="s">
        <v>1566</v>
      </c>
      <c r="B686" s="6" t="s">
        <v>1566</v>
      </c>
      <c r="C686" s="6" t="s">
        <v>4056</v>
      </c>
      <c r="D686" s="6">
        <v>686.0</v>
      </c>
      <c r="E686" s="6">
        <v>3.51284087033812E14</v>
      </c>
      <c r="F686" s="6" t="s">
        <v>1562</v>
      </c>
      <c r="G686" s="6" t="s">
        <v>103</v>
      </c>
      <c r="J686" s="6">
        <v>0.0</v>
      </c>
      <c r="L686" s="6">
        <v>0.0</v>
      </c>
      <c r="M686" s="6" t="s">
        <v>4057</v>
      </c>
      <c r="N686" s="6" t="s">
        <v>2626</v>
      </c>
      <c r="O686" s="6" t="s">
        <v>2626</v>
      </c>
    </row>
    <row r="687">
      <c r="A687" s="6" t="s">
        <v>1568</v>
      </c>
      <c r="B687" s="6" t="s">
        <v>1568</v>
      </c>
      <c r="C687" s="6" t="s">
        <v>4058</v>
      </c>
      <c r="D687" s="6">
        <v>687.0</v>
      </c>
      <c r="F687" s="6" t="s">
        <v>1154</v>
      </c>
      <c r="G687" s="6" t="s">
        <v>121</v>
      </c>
      <c r="J687" s="6">
        <v>0.0</v>
      </c>
      <c r="L687" s="6">
        <v>0.0</v>
      </c>
      <c r="M687" s="6" t="s">
        <v>4059</v>
      </c>
      <c r="N687" s="6" t="s">
        <v>2626</v>
      </c>
      <c r="O687" s="6" t="s">
        <v>2626</v>
      </c>
    </row>
    <row r="688">
      <c r="A688" s="6" t="s">
        <v>1572</v>
      </c>
      <c r="B688" s="6" t="s">
        <v>1572</v>
      </c>
      <c r="C688" s="6" t="s">
        <v>4060</v>
      </c>
      <c r="D688" s="6">
        <v>688.0</v>
      </c>
      <c r="E688" s="6">
        <v>3.58838941045446E14</v>
      </c>
      <c r="F688" s="6" t="s">
        <v>1569</v>
      </c>
      <c r="G688" s="6" t="s">
        <v>26</v>
      </c>
      <c r="I688" s="6" t="s">
        <v>4038</v>
      </c>
      <c r="J688" s="6">
        <v>0.0</v>
      </c>
      <c r="L688" s="6">
        <v>1000000.0</v>
      </c>
      <c r="M688" s="6" t="s">
        <v>4061</v>
      </c>
      <c r="N688" s="6" t="s">
        <v>2626</v>
      </c>
      <c r="O688" s="6" t="s">
        <v>2626</v>
      </c>
    </row>
    <row r="689">
      <c r="A689" s="6" t="s">
        <v>1573</v>
      </c>
      <c r="B689" s="6" t="s">
        <v>1573</v>
      </c>
      <c r="C689" s="6" t="s">
        <v>4062</v>
      </c>
      <c r="D689" s="6">
        <v>689.0</v>
      </c>
      <c r="E689" s="6" t="s">
        <v>195</v>
      </c>
      <c r="F689" s="6" t="s">
        <v>195</v>
      </c>
      <c r="G689" s="6" t="s">
        <v>195</v>
      </c>
      <c r="J689" s="6">
        <v>0.0</v>
      </c>
      <c r="L689" s="6">
        <v>0.0</v>
      </c>
      <c r="M689" s="6" t="s">
        <v>4063</v>
      </c>
      <c r="N689" s="6" t="s">
        <v>2626</v>
      </c>
      <c r="O689" s="6" t="s">
        <v>2626</v>
      </c>
    </row>
    <row r="690">
      <c r="A690" s="6" t="s">
        <v>1574</v>
      </c>
      <c r="B690" s="6" t="s">
        <v>1574</v>
      </c>
      <c r="C690" s="6" t="s">
        <v>4064</v>
      </c>
      <c r="D690" s="6">
        <v>690.0</v>
      </c>
      <c r="E690" s="6" t="s">
        <v>195</v>
      </c>
      <c r="F690" s="6" t="s">
        <v>195</v>
      </c>
      <c r="G690" s="6" t="s">
        <v>195</v>
      </c>
      <c r="J690" s="6">
        <v>0.0</v>
      </c>
      <c r="L690" s="6">
        <v>0.0</v>
      </c>
      <c r="M690" s="6" t="s">
        <v>4065</v>
      </c>
      <c r="N690" s="6" t="s">
        <v>2626</v>
      </c>
      <c r="O690" s="6" t="s">
        <v>2626</v>
      </c>
    </row>
    <row r="691">
      <c r="A691" s="6" t="s">
        <v>1577</v>
      </c>
      <c r="B691" s="6" t="s">
        <v>1577</v>
      </c>
      <c r="C691" s="6" t="s">
        <v>4066</v>
      </c>
      <c r="D691" s="6">
        <v>691.0</v>
      </c>
      <c r="F691" s="6" t="s">
        <v>473</v>
      </c>
      <c r="G691" s="6" t="s">
        <v>26</v>
      </c>
      <c r="I691" s="6" t="s">
        <v>4067</v>
      </c>
      <c r="J691" s="6">
        <v>0.0</v>
      </c>
      <c r="L691" s="6">
        <v>120000.0</v>
      </c>
      <c r="M691" s="6" t="s">
        <v>4068</v>
      </c>
      <c r="N691" s="6" t="s">
        <v>2626</v>
      </c>
      <c r="O691" s="6" t="s">
        <v>2626</v>
      </c>
    </row>
    <row r="692">
      <c r="A692" s="6" t="s">
        <v>1578</v>
      </c>
      <c r="B692" s="6" t="s">
        <v>1578</v>
      </c>
      <c r="C692" s="6" t="s">
        <v>4069</v>
      </c>
      <c r="D692" s="6">
        <v>692.0</v>
      </c>
      <c r="F692" s="6" t="s">
        <v>248</v>
      </c>
      <c r="G692" s="6" t="s">
        <v>26</v>
      </c>
      <c r="I692" s="6" t="s">
        <v>4067</v>
      </c>
      <c r="J692" s="6">
        <v>0.0</v>
      </c>
      <c r="L692" s="6">
        <v>2000.0</v>
      </c>
      <c r="M692" s="6" t="s">
        <v>4070</v>
      </c>
      <c r="N692" s="6" t="s">
        <v>2626</v>
      </c>
      <c r="O692" s="6" t="s">
        <v>2626</v>
      </c>
    </row>
    <row r="693">
      <c r="A693" s="6" t="s">
        <v>1582</v>
      </c>
      <c r="B693" s="6" t="s">
        <v>1582</v>
      </c>
      <c r="C693" s="6" t="s">
        <v>4071</v>
      </c>
      <c r="D693" s="6">
        <v>693.0</v>
      </c>
      <c r="F693" s="6" t="s">
        <v>1579</v>
      </c>
      <c r="G693" s="6" t="s">
        <v>103</v>
      </c>
      <c r="J693" s="6">
        <v>0.0</v>
      </c>
      <c r="L693" s="6">
        <v>0.0</v>
      </c>
      <c r="M693" s="6" t="s">
        <v>4072</v>
      </c>
      <c r="N693" s="6" t="s">
        <v>2626</v>
      </c>
      <c r="O693" s="6" t="s">
        <v>2626</v>
      </c>
    </row>
    <row r="694">
      <c r="A694" s="6" t="s">
        <v>1586</v>
      </c>
      <c r="B694" s="6" t="s">
        <v>1586</v>
      </c>
      <c r="C694" s="6" t="s">
        <v>4073</v>
      </c>
      <c r="D694" s="6">
        <v>694.0</v>
      </c>
      <c r="F694" s="6" t="s">
        <v>1583</v>
      </c>
      <c r="G694" s="6" t="s">
        <v>103</v>
      </c>
      <c r="J694" s="6">
        <v>0.0</v>
      </c>
      <c r="L694" s="6">
        <v>0.0</v>
      </c>
      <c r="M694" s="6" t="s">
        <v>4074</v>
      </c>
      <c r="N694" s="6" t="s">
        <v>2626</v>
      </c>
      <c r="O694" s="6" t="s">
        <v>2626</v>
      </c>
    </row>
    <row r="695">
      <c r="A695" s="6" t="s">
        <v>1588</v>
      </c>
      <c r="B695" s="6" t="s">
        <v>1588</v>
      </c>
      <c r="C695" s="6" t="s">
        <v>4075</v>
      </c>
      <c r="D695" s="6">
        <v>695.0</v>
      </c>
      <c r="F695" s="6" t="s">
        <v>300</v>
      </c>
      <c r="G695" s="6" t="s">
        <v>121</v>
      </c>
      <c r="J695" s="6">
        <v>0.0</v>
      </c>
      <c r="L695" s="6">
        <v>0.0</v>
      </c>
      <c r="M695" s="6" t="s">
        <v>4076</v>
      </c>
      <c r="N695" s="6" t="s">
        <v>2626</v>
      </c>
      <c r="O695" s="6" t="s">
        <v>2626</v>
      </c>
    </row>
    <row r="696">
      <c r="A696" s="6" t="s">
        <v>1590</v>
      </c>
      <c r="B696" s="6" t="s">
        <v>1590</v>
      </c>
      <c r="C696" s="6" t="s">
        <v>4077</v>
      </c>
      <c r="D696" s="6">
        <v>696.0</v>
      </c>
      <c r="F696" s="6" t="s">
        <v>1579</v>
      </c>
      <c r="G696" s="6" t="s">
        <v>103</v>
      </c>
      <c r="J696" s="6">
        <v>0.0</v>
      </c>
      <c r="L696" s="6">
        <v>0.0</v>
      </c>
      <c r="M696" s="6" t="s">
        <v>4078</v>
      </c>
      <c r="N696" s="6" t="s">
        <v>2626</v>
      </c>
      <c r="O696" s="6" t="s">
        <v>2626</v>
      </c>
    </row>
    <row r="697">
      <c r="A697" s="6" t="s">
        <v>1594</v>
      </c>
      <c r="B697" s="6" t="s">
        <v>1594</v>
      </c>
      <c r="C697" s="6" t="s">
        <v>4079</v>
      </c>
      <c r="D697" s="6">
        <v>697.0</v>
      </c>
      <c r="F697" s="6" t="s">
        <v>1591</v>
      </c>
      <c r="G697" s="6" t="s">
        <v>26</v>
      </c>
      <c r="I697" s="6" t="s">
        <v>4067</v>
      </c>
      <c r="J697" s="6">
        <v>0.0</v>
      </c>
      <c r="L697" s="6">
        <v>3000.0</v>
      </c>
      <c r="M697" s="6" t="s">
        <v>4080</v>
      </c>
      <c r="N697" s="6" t="s">
        <v>2626</v>
      </c>
      <c r="O697" s="6" t="s">
        <v>2626</v>
      </c>
    </row>
    <row r="698">
      <c r="A698" s="6" t="s">
        <v>1596</v>
      </c>
      <c r="B698" s="6" t="s">
        <v>1596</v>
      </c>
      <c r="C698" s="6" t="s">
        <v>4081</v>
      </c>
      <c r="D698" s="6">
        <v>698.0</v>
      </c>
      <c r="F698" s="6" t="s">
        <v>878</v>
      </c>
      <c r="G698" s="6" t="s">
        <v>26</v>
      </c>
      <c r="I698" s="6" t="s">
        <v>4067</v>
      </c>
      <c r="J698" s="6">
        <v>0.0</v>
      </c>
      <c r="L698" s="6">
        <v>3000.0</v>
      </c>
      <c r="M698" s="6" t="s">
        <v>4082</v>
      </c>
      <c r="N698" s="6" t="s">
        <v>2626</v>
      </c>
      <c r="O698" s="6" t="s">
        <v>2626</v>
      </c>
    </row>
    <row r="699">
      <c r="A699" s="6" t="s">
        <v>1600</v>
      </c>
      <c r="B699" s="6" t="s">
        <v>1600</v>
      </c>
      <c r="C699" s="6" t="s">
        <v>4083</v>
      </c>
      <c r="D699" s="6">
        <v>699.0</v>
      </c>
      <c r="F699" s="6" t="s">
        <v>1597</v>
      </c>
      <c r="G699" s="6" t="s">
        <v>26</v>
      </c>
      <c r="I699" s="6" t="s">
        <v>4067</v>
      </c>
      <c r="J699" s="6">
        <v>0.0</v>
      </c>
      <c r="L699" s="6">
        <v>2500.0</v>
      </c>
      <c r="M699" s="6" t="s">
        <v>4084</v>
      </c>
      <c r="N699" s="6" t="s">
        <v>2626</v>
      </c>
      <c r="O699" s="6" t="s">
        <v>2626</v>
      </c>
    </row>
    <row r="700">
      <c r="A700" s="6" t="s">
        <v>1603</v>
      </c>
      <c r="B700" s="6" t="s">
        <v>1603</v>
      </c>
      <c r="C700" s="6" t="s">
        <v>4085</v>
      </c>
      <c r="D700" s="6">
        <v>700.0</v>
      </c>
      <c r="E700" s="6">
        <v>3.56473104213474E14</v>
      </c>
      <c r="F700" s="6" t="s">
        <v>473</v>
      </c>
      <c r="G700" s="6" t="s">
        <v>26</v>
      </c>
      <c r="I700" s="6" t="s">
        <v>4067</v>
      </c>
      <c r="J700" s="6">
        <v>0.0</v>
      </c>
      <c r="L700" s="6">
        <v>125000.0</v>
      </c>
      <c r="M700" s="6" t="s">
        <v>4086</v>
      </c>
      <c r="N700" s="6" t="s">
        <v>2626</v>
      </c>
      <c r="O700" s="6" t="s">
        <v>2626</v>
      </c>
    </row>
    <row r="701">
      <c r="A701" s="6" t="s">
        <v>1608</v>
      </c>
      <c r="B701" s="6" t="s">
        <v>1608</v>
      </c>
      <c r="C701" s="6" t="s">
        <v>4087</v>
      </c>
      <c r="D701" s="6">
        <v>701.0</v>
      </c>
      <c r="E701" s="6">
        <v>3.58178370957021E14</v>
      </c>
      <c r="F701" s="6" t="s">
        <v>1604</v>
      </c>
      <c r="G701" s="6" t="s">
        <v>26</v>
      </c>
      <c r="I701" s="6" t="s">
        <v>4067</v>
      </c>
      <c r="J701" s="6">
        <v>0.0</v>
      </c>
      <c r="L701" s="6">
        <v>610000.0</v>
      </c>
      <c r="M701" s="6" t="s">
        <v>4088</v>
      </c>
      <c r="N701" s="6" t="s">
        <v>2626</v>
      </c>
      <c r="O701" s="6" t="s">
        <v>2626</v>
      </c>
    </row>
    <row r="702">
      <c r="A702" s="6" t="s">
        <v>1610</v>
      </c>
      <c r="B702" s="6" t="s">
        <v>1610</v>
      </c>
      <c r="C702" s="6" t="s">
        <v>4089</v>
      </c>
      <c r="D702" s="6">
        <v>702.0</v>
      </c>
      <c r="F702" s="6" t="s">
        <v>442</v>
      </c>
      <c r="G702" s="6" t="s">
        <v>103</v>
      </c>
      <c r="J702" s="6">
        <v>0.0</v>
      </c>
      <c r="L702" s="6">
        <v>0.0</v>
      </c>
      <c r="M702" s="6" t="s">
        <v>4090</v>
      </c>
      <c r="N702" s="6" t="s">
        <v>2626</v>
      </c>
      <c r="O702" s="6" t="s">
        <v>2626</v>
      </c>
    </row>
    <row r="703">
      <c r="A703" s="6" t="s">
        <v>1612</v>
      </c>
      <c r="B703" s="6" t="s">
        <v>1612</v>
      </c>
      <c r="C703" s="6" t="s">
        <v>4091</v>
      </c>
      <c r="D703" s="6">
        <v>703.0</v>
      </c>
      <c r="F703" s="6" t="s">
        <v>442</v>
      </c>
      <c r="G703" s="6" t="s">
        <v>103</v>
      </c>
      <c r="J703" s="6">
        <v>0.0</v>
      </c>
      <c r="L703" s="6">
        <v>0.0</v>
      </c>
      <c r="M703" s="6" t="s">
        <v>4092</v>
      </c>
      <c r="N703" s="6" t="s">
        <v>2626</v>
      </c>
      <c r="O703" s="6" t="s">
        <v>2626</v>
      </c>
    </row>
    <row r="704">
      <c r="A704" s="6" t="s">
        <v>1614</v>
      </c>
      <c r="B704" s="6" t="s">
        <v>1614</v>
      </c>
      <c r="C704" s="6" t="s">
        <v>4093</v>
      </c>
      <c r="D704" s="6">
        <v>704.0</v>
      </c>
      <c r="F704" s="6" t="s">
        <v>442</v>
      </c>
      <c r="G704" s="6" t="s">
        <v>103</v>
      </c>
      <c r="J704" s="6">
        <v>0.0</v>
      </c>
      <c r="L704" s="6">
        <v>0.0</v>
      </c>
      <c r="M704" s="6" t="s">
        <v>4094</v>
      </c>
      <c r="N704" s="6" t="s">
        <v>2626</v>
      </c>
      <c r="O704" s="6" t="s">
        <v>2626</v>
      </c>
    </row>
    <row r="705">
      <c r="A705" s="6" t="s">
        <v>1619</v>
      </c>
      <c r="B705" s="6" t="s">
        <v>1619</v>
      </c>
      <c r="C705" s="6" t="s">
        <v>4095</v>
      </c>
      <c r="D705" s="6">
        <v>705.0</v>
      </c>
      <c r="E705" s="6" t="s">
        <v>1617</v>
      </c>
      <c r="F705" s="6" t="s">
        <v>1615</v>
      </c>
      <c r="G705" s="6" t="s">
        <v>26</v>
      </c>
      <c r="I705" s="6" t="s">
        <v>4067</v>
      </c>
      <c r="J705" s="6">
        <v>0.0</v>
      </c>
      <c r="L705" s="6">
        <v>245000.0</v>
      </c>
      <c r="M705" s="6" t="s">
        <v>4096</v>
      </c>
      <c r="N705" s="6" t="s">
        <v>2626</v>
      </c>
      <c r="O705" s="6" t="s">
        <v>2626</v>
      </c>
    </row>
    <row r="706">
      <c r="A706" s="6" t="s">
        <v>1623</v>
      </c>
      <c r="B706" s="6" t="s">
        <v>1623</v>
      </c>
      <c r="C706" s="6" t="s">
        <v>4097</v>
      </c>
      <c r="D706" s="6">
        <v>706.0</v>
      </c>
      <c r="F706" s="6" t="s">
        <v>1620</v>
      </c>
      <c r="G706" s="6" t="s">
        <v>26</v>
      </c>
      <c r="I706" s="6" t="s">
        <v>4098</v>
      </c>
      <c r="J706" s="6">
        <v>0.0</v>
      </c>
      <c r="L706" s="6">
        <v>10000.0</v>
      </c>
      <c r="M706" s="6" t="s">
        <v>4099</v>
      </c>
      <c r="N706" s="6" t="s">
        <v>2626</v>
      </c>
      <c r="O706" s="6" t="s">
        <v>2626</v>
      </c>
    </row>
    <row r="707">
      <c r="A707" s="6" t="s">
        <v>1626</v>
      </c>
      <c r="B707" s="6" t="s">
        <v>1626</v>
      </c>
      <c r="C707" s="6" t="s">
        <v>4100</v>
      </c>
      <c r="D707" s="6">
        <v>707.0</v>
      </c>
      <c r="F707" s="6" t="s">
        <v>1624</v>
      </c>
      <c r="G707" s="6" t="s">
        <v>26</v>
      </c>
      <c r="I707" s="6" t="s">
        <v>4098</v>
      </c>
      <c r="J707" s="6">
        <v>0.0</v>
      </c>
      <c r="L707" s="6">
        <v>5000.0</v>
      </c>
      <c r="M707" s="6" t="s">
        <v>4101</v>
      </c>
      <c r="N707" s="6" t="s">
        <v>2626</v>
      </c>
      <c r="O707" s="6" t="s">
        <v>2626</v>
      </c>
    </row>
    <row r="708">
      <c r="A708" s="6" t="s">
        <v>1627</v>
      </c>
      <c r="B708" s="6" t="s">
        <v>1627</v>
      </c>
      <c r="C708" s="6" t="s">
        <v>4102</v>
      </c>
      <c r="D708" s="6">
        <v>708.0</v>
      </c>
      <c r="F708" s="6" t="s">
        <v>473</v>
      </c>
      <c r="G708" s="6" t="s">
        <v>26</v>
      </c>
      <c r="I708" s="6" t="s">
        <v>4103</v>
      </c>
      <c r="J708" s="6">
        <v>0.0</v>
      </c>
      <c r="L708" s="6">
        <v>2500.0</v>
      </c>
      <c r="M708" s="6" t="s">
        <v>4104</v>
      </c>
      <c r="N708" s="6" t="s">
        <v>2626</v>
      </c>
      <c r="O708" s="6" t="s">
        <v>2626</v>
      </c>
    </row>
    <row r="709">
      <c r="A709" s="6" t="s">
        <v>1630</v>
      </c>
      <c r="B709" s="6" t="s">
        <v>1630</v>
      </c>
      <c r="C709" s="6" t="s">
        <v>4105</v>
      </c>
      <c r="D709" s="6">
        <v>709.0</v>
      </c>
      <c r="F709" s="6" t="s">
        <v>1628</v>
      </c>
      <c r="G709" s="6" t="s">
        <v>26</v>
      </c>
      <c r="I709" s="6" t="s">
        <v>4103</v>
      </c>
      <c r="J709" s="6">
        <v>0.0</v>
      </c>
      <c r="L709" s="6">
        <v>3000.0</v>
      </c>
      <c r="M709" s="6" t="s">
        <v>4106</v>
      </c>
      <c r="N709" s="6" t="s">
        <v>2626</v>
      </c>
      <c r="O709" s="6" t="s">
        <v>2626</v>
      </c>
    </row>
    <row r="710">
      <c r="A710" s="6" t="s">
        <v>1632</v>
      </c>
      <c r="B710" s="6" t="s">
        <v>1632</v>
      </c>
      <c r="C710" s="6" t="s">
        <v>4107</v>
      </c>
      <c r="D710" s="6">
        <v>710.0</v>
      </c>
      <c r="F710" s="6" t="s">
        <v>1597</v>
      </c>
      <c r="G710" s="6" t="s">
        <v>26</v>
      </c>
      <c r="I710" s="6" t="s">
        <v>4103</v>
      </c>
      <c r="J710" s="6">
        <v>0.0</v>
      </c>
      <c r="L710" s="6">
        <v>3000.0</v>
      </c>
      <c r="M710" s="6" t="s">
        <v>4108</v>
      </c>
      <c r="N710" s="6" t="s">
        <v>2626</v>
      </c>
      <c r="O710" s="6" t="s">
        <v>2626</v>
      </c>
    </row>
    <row r="711">
      <c r="A711" s="6" t="s">
        <v>1637</v>
      </c>
      <c r="B711" s="6" t="s">
        <v>1637</v>
      </c>
      <c r="C711" s="6" t="s">
        <v>4109</v>
      </c>
      <c r="D711" s="6">
        <v>711.0</v>
      </c>
      <c r="E711" s="6">
        <v>3.56549102962491E14</v>
      </c>
      <c r="F711" s="6" t="s">
        <v>1633</v>
      </c>
      <c r="G711" s="6" t="s">
        <v>26</v>
      </c>
      <c r="I711" s="6" t="s">
        <v>4103</v>
      </c>
      <c r="J711" s="6">
        <v>0.0</v>
      </c>
      <c r="L711" s="6">
        <v>270000.0</v>
      </c>
      <c r="M711" s="6" t="s">
        <v>4110</v>
      </c>
      <c r="N711" s="6" t="s">
        <v>2626</v>
      </c>
      <c r="O711" s="6" t="s">
        <v>2626</v>
      </c>
    </row>
    <row r="712">
      <c r="A712" s="6" t="s">
        <v>1639</v>
      </c>
      <c r="B712" s="6" t="s">
        <v>1639</v>
      </c>
      <c r="C712" s="6" t="s">
        <v>4111</v>
      </c>
      <c r="D712" s="6">
        <v>712.0</v>
      </c>
      <c r="F712" s="6" t="s">
        <v>358</v>
      </c>
      <c r="G712" s="6" t="s">
        <v>26</v>
      </c>
      <c r="I712" s="6" t="s">
        <v>4103</v>
      </c>
      <c r="J712" s="6">
        <v>0.0</v>
      </c>
      <c r="L712" s="6">
        <v>5000.0</v>
      </c>
      <c r="M712" s="6" t="s">
        <v>4112</v>
      </c>
      <c r="N712" s="6" t="s">
        <v>2626</v>
      </c>
      <c r="O712" s="6" t="s">
        <v>2626</v>
      </c>
    </row>
    <row r="713">
      <c r="A713" s="6" t="s">
        <v>1641</v>
      </c>
      <c r="B713" s="6" t="s">
        <v>1641</v>
      </c>
      <c r="C713" s="6" t="s">
        <v>4113</v>
      </c>
      <c r="D713" s="6">
        <v>713.0</v>
      </c>
      <c r="F713" s="6" t="s">
        <v>445</v>
      </c>
      <c r="G713" s="6" t="s">
        <v>26</v>
      </c>
      <c r="I713" s="6" t="s">
        <v>4103</v>
      </c>
      <c r="J713" s="6">
        <v>0.0</v>
      </c>
      <c r="L713" s="6">
        <v>2500.0</v>
      </c>
      <c r="M713" s="6" t="s">
        <v>4114</v>
      </c>
      <c r="N713" s="6" t="s">
        <v>2626</v>
      </c>
      <c r="O713" s="6" t="s">
        <v>2626</v>
      </c>
    </row>
    <row r="714">
      <c r="A714" s="6" t="s">
        <v>1643</v>
      </c>
      <c r="B714" s="6" t="s">
        <v>1643</v>
      </c>
      <c r="C714" s="6" t="s">
        <v>4115</v>
      </c>
      <c r="D714" s="6">
        <v>714.0</v>
      </c>
      <c r="F714" s="6" t="s">
        <v>93</v>
      </c>
      <c r="G714" s="6" t="s">
        <v>26</v>
      </c>
      <c r="I714" s="6" t="s">
        <v>4103</v>
      </c>
      <c r="J714" s="6">
        <v>0.0</v>
      </c>
      <c r="L714" s="6">
        <v>2500.0</v>
      </c>
      <c r="M714" s="6" t="s">
        <v>4116</v>
      </c>
      <c r="N714" s="6" t="s">
        <v>2626</v>
      </c>
      <c r="O714" s="6" t="s">
        <v>2626</v>
      </c>
    </row>
    <row r="715">
      <c r="A715" s="6" t="s">
        <v>1644</v>
      </c>
      <c r="B715" s="6" t="s">
        <v>1644</v>
      </c>
      <c r="C715" s="6" t="s">
        <v>4117</v>
      </c>
      <c r="D715" s="6">
        <v>715.0</v>
      </c>
      <c r="F715" s="6" t="s">
        <v>93</v>
      </c>
      <c r="G715" s="6" t="s">
        <v>26</v>
      </c>
      <c r="I715" s="6" t="s">
        <v>4103</v>
      </c>
      <c r="J715" s="6">
        <v>0.0</v>
      </c>
      <c r="L715" s="6">
        <v>2500.0</v>
      </c>
      <c r="M715" s="6" t="s">
        <v>4118</v>
      </c>
      <c r="N715" s="6" t="s">
        <v>2626</v>
      </c>
      <c r="O715" s="6" t="s">
        <v>2626</v>
      </c>
    </row>
    <row r="716">
      <c r="A716" s="6" t="s">
        <v>1646</v>
      </c>
      <c r="B716" s="6" t="s">
        <v>1646</v>
      </c>
      <c r="C716" s="6" t="s">
        <v>4119</v>
      </c>
      <c r="D716" s="6">
        <v>716.0</v>
      </c>
      <c r="E716" s="6">
        <v>3.5883894419047E14</v>
      </c>
      <c r="F716" s="6" t="s">
        <v>686</v>
      </c>
      <c r="G716" s="6" t="s">
        <v>103</v>
      </c>
      <c r="J716" s="6">
        <v>0.0</v>
      </c>
      <c r="L716" s="6">
        <v>0.0</v>
      </c>
      <c r="M716" s="6" t="s">
        <v>4120</v>
      </c>
      <c r="N716" s="6" t="s">
        <v>2626</v>
      </c>
      <c r="O716" s="6" t="s">
        <v>2626</v>
      </c>
    </row>
    <row r="717">
      <c r="A717" s="6" t="s">
        <v>1650</v>
      </c>
      <c r="B717" s="6" t="s">
        <v>1650</v>
      </c>
      <c r="C717" s="6" t="s">
        <v>4121</v>
      </c>
      <c r="D717" s="6">
        <v>717.0</v>
      </c>
      <c r="F717" s="6" t="s">
        <v>1647</v>
      </c>
      <c r="G717" s="6" t="s">
        <v>26</v>
      </c>
      <c r="I717" s="6" t="s">
        <v>4103</v>
      </c>
      <c r="J717" s="6">
        <v>0.0</v>
      </c>
      <c r="L717" s="6">
        <v>80000.0</v>
      </c>
      <c r="M717" s="6" t="s">
        <v>4122</v>
      </c>
      <c r="N717" s="6" t="s">
        <v>2626</v>
      </c>
      <c r="O717" s="6" t="s">
        <v>2626</v>
      </c>
    </row>
    <row r="718">
      <c r="A718" s="6" t="s">
        <v>1652</v>
      </c>
      <c r="B718" s="6" t="s">
        <v>1652</v>
      </c>
      <c r="C718" s="6" t="s">
        <v>4123</v>
      </c>
      <c r="D718" s="6">
        <v>718.0</v>
      </c>
      <c r="F718" s="6" t="s">
        <v>485</v>
      </c>
      <c r="G718" s="6" t="s">
        <v>26</v>
      </c>
      <c r="I718" s="6" t="s">
        <v>4124</v>
      </c>
      <c r="J718" s="6">
        <v>0.0</v>
      </c>
      <c r="L718" s="6">
        <v>3000.0</v>
      </c>
      <c r="M718" s="6" t="s">
        <v>4125</v>
      </c>
      <c r="N718" s="6" t="s">
        <v>2626</v>
      </c>
      <c r="O718" s="6" t="s">
        <v>2626</v>
      </c>
    </row>
    <row r="719">
      <c r="A719" s="6" t="s">
        <v>1654</v>
      </c>
      <c r="B719" s="6" t="s">
        <v>1654</v>
      </c>
      <c r="C719" s="6" t="s">
        <v>4126</v>
      </c>
      <c r="D719" s="6">
        <v>719.0</v>
      </c>
      <c r="F719" s="6" t="s">
        <v>418</v>
      </c>
      <c r="G719" s="6" t="s">
        <v>121</v>
      </c>
      <c r="J719" s="6">
        <v>0.0</v>
      </c>
      <c r="L719" s="6">
        <v>0.0</v>
      </c>
      <c r="M719" s="6" t="s">
        <v>4127</v>
      </c>
      <c r="N719" s="6" t="s">
        <v>2626</v>
      </c>
      <c r="O719" s="6" t="s">
        <v>2626</v>
      </c>
    </row>
    <row r="720">
      <c r="A720" s="6" t="s">
        <v>1656</v>
      </c>
      <c r="B720" s="6" t="s">
        <v>1656</v>
      </c>
      <c r="C720" s="6" t="s">
        <v>4128</v>
      </c>
      <c r="D720" s="6">
        <v>720.0</v>
      </c>
      <c r="F720" s="6" t="s">
        <v>54</v>
      </c>
      <c r="G720" s="6" t="s">
        <v>26</v>
      </c>
      <c r="I720" s="6" t="s">
        <v>4124</v>
      </c>
      <c r="J720" s="6">
        <v>0.0</v>
      </c>
      <c r="L720" s="6">
        <v>2500.0</v>
      </c>
      <c r="M720" s="6" t="s">
        <v>4129</v>
      </c>
      <c r="N720" s="6" t="s">
        <v>2626</v>
      </c>
      <c r="O720" s="6" t="s">
        <v>2626</v>
      </c>
    </row>
    <row r="721">
      <c r="A721" s="6" t="s">
        <v>1660</v>
      </c>
      <c r="B721" s="6" t="s">
        <v>1660</v>
      </c>
      <c r="C721" s="6" t="s">
        <v>4130</v>
      </c>
      <c r="D721" s="6">
        <v>721.0</v>
      </c>
      <c r="F721" s="6" t="s">
        <v>1657</v>
      </c>
      <c r="G721" s="6" t="s">
        <v>26</v>
      </c>
      <c r="I721" s="6" t="s">
        <v>4124</v>
      </c>
      <c r="J721" s="6">
        <v>0.0</v>
      </c>
      <c r="L721" s="6">
        <v>3000.0</v>
      </c>
      <c r="M721" s="6" t="s">
        <v>4131</v>
      </c>
      <c r="N721" s="6" t="s">
        <v>2626</v>
      </c>
      <c r="O721" s="6" t="s">
        <v>2626</v>
      </c>
    </row>
    <row r="722">
      <c r="A722" s="6" t="s">
        <v>1662</v>
      </c>
      <c r="B722" s="6" t="s">
        <v>1662</v>
      </c>
      <c r="C722" s="6" t="s">
        <v>4132</v>
      </c>
      <c r="D722" s="6">
        <v>722.0</v>
      </c>
      <c r="F722" s="6" t="s">
        <v>78</v>
      </c>
      <c r="G722" s="6" t="s">
        <v>26</v>
      </c>
      <c r="I722" s="6" t="s">
        <v>4124</v>
      </c>
      <c r="J722" s="6">
        <v>0.0</v>
      </c>
      <c r="L722" s="6">
        <v>2500.0</v>
      </c>
      <c r="M722" s="6" t="s">
        <v>4133</v>
      </c>
      <c r="N722" s="6" t="s">
        <v>2626</v>
      </c>
      <c r="O722" s="6" t="s">
        <v>2626</v>
      </c>
    </row>
    <row r="723">
      <c r="A723" s="6" t="s">
        <v>1665</v>
      </c>
      <c r="B723" s="6" t="s">
        <v>1665</v>
      </c>
      <c r="C723" s="6" t="s">
        <v>4134</v>
      </c>
      <c r="D723" s="6">
        <v>723.0</v>
      </c>
      <c r="F723" s="6" t="s">
        <v>1663</v>
      </c>
      <c r="G723" s="6" t="s">
        <v>103</v>
      </c>
      <c r="J723" s="6">
        <v>0.0</v>
      </c>
      <c r="L723" s="6">
        <v>0.0</v>
      </c>
      <c r="M723" s="6" t="s">
        <v>4135</v>
      </c>
      <c r="N723" s="6" t="s">
        <v>2626</v>
      </c>
      <c r="O723" s="6" t="s">
        <v>2626</v>
      </c>
    </row>
    <row r="724">
      <c r="A724" s="6" t="s">
        <v>1667</v>
      </c>
      <c r="B724" s="6" t="s">
        <v>1667</v>
      </c>
      <c r="C724" s="6" t="s">
        <v>4136</v>
      </c>
      <c r="D724" s="6">
        <v>724.0</v>
      </c>
      <c r="F724" s="6" t="s">
        <v>306</v>
      </c>
      <c r="G724" s="6" t="s">
        <v>26</v>
      </c>
      <c r="I724" s="6" t="s">
        <v>4124</v>
      </c>
      <c r="J724" s="6">
        <v>0.0</v>
      </c>
      <c r="L724" s="6">
        <v>300000.0</v>
      </c>
      <c r="M724" s="6" t="s">
        <v>4137</v>
      </c>
      <c r="N724" s="6" t="s">
        <v>2626</v>
      </c>
      <c r="O724" s="6" t="s">
        <v>2626</v>
      </c>
    </row>
    <row r="725">
      <c r="A725" s="6" t="s">
        <v>1668</v>
      </c>
      <c r="B725" s="6" t="s">
        <v>1668</v>
      </c>
      <c r="C725" s="6" t="s">
        <v>4138</v>
      </c>
      <c r="D725" s="6">
        <v>725.0</v>
      </c>
      <c r="E725" s="6">
        <v>3.5883894419047E14</v>
      </c>
      <c r="F725" s="6" t="s">
        <v>686</v>
      </c>
      <c r="G725" s="6" t="s">
        <v>103</v>
      </c>
      <c r="J725" s="6">
        <v>0.0</v>
      </c>
      <c r="L725" s="6">
        <v>0.0</v>
      </c>
      <c r="M725" s="6" t="s">
        <v>4139</v>
      </c>
      <c r="N725" s="6" t="s">
        <v>2626</v>
      </c>
      <c r="O725" s="6" t="s">
        <v>2626</v>
      </c>
    </row>
    <row r="726">
      <c r="A726" s="6" t="s">
        <v>1671</v>
      </c>
      <c r="B726" s="6" t="s">
        <v>1671</v>
      </c>
      <c r="C726" s="6" t="s">
        <v>4140</v>
      </c>
      <c r="D726" s="6">
        <v>726.0</v>
      </c>
      <c r="E726" s="6">
        <v>3.59608203806168E14</v>
      </c>
      <c r="F726" s="6" t="s">
        <v>693</v>
      </c>
      <c r="G726" s="6" t="s">
        <v>26</v>
      </c>
      <c r="I726" s="6" t="s">
        <v>4124</v>
      </c>
      <c r="J726" s="6">
        <v>0.0</v>
      </c>
      <c r="L726" s="6">
        <v>265000.0</v>
      </c>
      <c r="M726" s="6" t="s">
        <v>4141</v>
      </c>
      <c r="N726" s="6" t="s">
        <v>2626</v>
      </c>
      <c r="O726" s="6" t="s">
        <v>2626</v>
      </c>
    </row>
    <row r="727">
      <c r="A727" s="6" t="s">
        <v>1673</v>
      </c>
      <c r="B727" s="6" t="s">
        <v>1673</v>
      </c>
      <c r="C727" s="6" t="s">
        <v>4142</v>
      </c>
      <c r="D727" s="6">
        <v>727.0</v>
      </c>
      <c r="F727" s="6" t="s">
        <v>254</v>
      </c>
      <c r="G727" s="6" t="s">
        <v>121</v>
      </c>
      <c r="J727" s="6">
        <v>0.0</v>
      </c>
      <c r="L727" s="6">
        <v>0.0</v>
      </c>
      <c r="M727" s="6" t="s">
        <v>4143</v>
      </c>
      <c r="N727" s="6" t="s">
        <v>2626</v>
      </c>
      <c r="O727" s="6" t="s">
        <v>2626</v>
      </c>
    </row>
    <row r="728">
      <c r="A728" s="6" t="s">
        <v>1675</v>
      </c>
      <c r="B728" s="6" t="s">
        <v>1675</v>
      </c>
      <c r="C728" s="6" t="s">
        <v>4144</v>
      </c>
      <c r="D728" s="6">
        <v>728.0</v>
      </c>
      <c r="F728" s="6" t="s">
        <v>54</v>
      </c>
      <c r="G728" s="6" t="s">
        <v>26</v>
      </c>
      <c r="I728" s="6" t="s">
        <v>4124</v>
      </c>
      <c r="J728" s="6">
        <v>0.0</v>
      </c>
      <c r="L728" s="6">
        <v>2500.0</v>
      </c>
      <c r="M728" s="6" t="s">
        <v>4145</v>
      </c>
      <c r="N728" s="6" t="s">
        <v>2626</v>
      </c>
      <c r="O728" s="6" t="s">
        <v>2626</v>
      </c>
    </row>
    <row r="729">
      <c r="A729" s="6" t="s">
        <v>1677</v>
      </c>
      <c r="B729" s="6" t="s">
        <v>1677</v>
      </c>
      <c r="C729" s="6" t="s">
        <v>4146</v>
      </c>
      <c r="D729" s="6">
        <v>729.0</v>
      </c>
      <c r="F729" s="6" t="s">
        <v>874</v>
      </c>
      <c r="G729" s="6" t="s">
        <v>26</v>
      </c>
      <c r="I729" s="6" t="s">
        <v>4124</v>
      </c>
      <c r="J729" s="6">
        <v>0.0</v>
      </c>
      <c r="L729" s="6">
        <v>2500.0</v>
      </c>
      <c r="M729" s="6" t="s">
        <v>4147</v>
      </c>
      <c r="N729" s="6" t="s">
        <v>2626</v>
      </c>
      <c r="O729" s="6" t="s">
        <v>2626</v>
      </c>
    </row>
    <row r="730">
      <c r="A730" s="6" t="s">
        <v>1679</v>
      </c>
      <c r="B730" s="6" t="s">
        <v>1679</v>
      </c>
      <c r="C730" s="6" t="s">
        <v>4148</v>
      </c>
      <c r="D730" s="6">
        <v>730.0</v>
      </c>
      <c r="F730" s="6" t="s">
        <v>874</v>
      </c>
      <c r="G730" s="6" t="s">
        <v>26</v>
      </c>
      <c r="I730" s="6" t="s">
        <v>4149</v>
      </c>
      <c r="J730" s="6">
        <v>0.0</v>
      </c>
      <c r="L730" s="6">
        <v>2500.0</v>
      </c>
      <c r="M730" s="6" t="s">
        <v>4150</v>
      </c>
      <c r="N730" s="6" t="s">
        <v>2626</v>
      </c>
      <c r="O730" s="6" t="s">
        <v>2626</v>
      </c>
    </row>
    <row r="731">
      <c r="A731" s="6" t="s">
        <v>1683</v>
      </c>
      <c r="B731" s="6" t="s">
        <v>1683</v>
      </c>
      <c r="C731" s="6" t="s">
        <v>4151</v>
      </c>
      <c r="D731" s="6">
        <v>731.0</v>
      </c>
      <c r="F731" s="6" t="s">
        <v>1680</v>
      </c>
      <c r="G731" s="6" t="s">
        <v>26</v>
      </c>
      <c r="I731" s="6" t="s">
        <v>4149</v>
      </c>
      <c r="J731" s="6">
        <v>0.0</v>
      </c>
      <c r="L731" s="6">
        <v>2500.0</v>
      </c>
      <c r="M731" s="6" t="s">
        <v>4152</v>
      </c>
      <c r="N731" s="6" t="s">
        <v>2626</v>
      </c>
      <c r="O731" s="6" t="s">
        <v>2626</v>
      </c>
    </row>
    <row r="732">
      <c r="A732" s="6" t="s">
        <v>1685</v>
      </c>
      <c r="B732" s="6" t="s">
        <v>1685</v>
      </c>
      <c r="C732" s="6" t="s">
        <v>4153</v>
      </c>
      <c r="D732" s="6">
        <v>732.0</v>
      </c>
      <c r="E732" s="6">
        <v>3.58355843220282E14</v>
      </c>
      <c r="F732" s="6" t="s">
        <v>1562</v>
      </c>
      <c r="G732" s="6" t="s">
        <v>103</v>
      </c>
      <c r="J732" s="6">
        <v>0.0</v>
      </c>
      <c r="L732" s="6">
        <v>0.0</v>
      </c>
      <c r="M732" s="6" t="s">
        <v>4154</v>
      </c>
      <c r="N732" s="6" t="s">
        <v>2626</v>
      </c>
      <c r="O732" s="6" t="s">
        <v>2626</v>
      </c>
    </row>
    <row r="733">
      <c r="A733" s="6" t="s">
        <v>1687</v>
      </c>
      <c r="B733" s="6" t="s">
        <v>1687</v>
      </c>
      <c r="C733" s="6" t="s">
        <v>4155</v>
      </c>
      <c r="D733" s="6">
        <v>733.0</v>
      </c>
      <c r="F733" s="6" t="s">
        <v>84</v>
      </c>
      <c r="G733" s="6" t="s">
        <v>26</v>
      </c>
      <c r="I733" s="6" t="s">
        <v>4149</v>
      </c>
      <c r="J733" s="6">
        <v>0.0</v>
      </c>
      <c r="L733" s="6">
        <v>90000.0</v>
      </c>
      <c r="M733" s="6" t="s">
        <v>4156</v>
      </c>
      <c r="N733" s="6" t="s">
        <v>2626</v>
      </c>
      <c r="O733" s="6" t="s">
        <v>2626</v>
      </c>
    </row>
    <row r="734">
      <c r="A734" s="6" t="s">
        <v>1690</v>
      </c>
      <c r="B734" s="6" t="s">
        <v>1690</v>
      </c>
      <c r="C734" s="6" t="s">
        <v>4157</v>
      </c>
      <c r="D734" s="6">
        <v>734.0</v>
      </c>
      <c r="E734" s="6">
        <v>3.53352958920199E14</v>
      </c>
      <c r="F734" s="6" t="s">
        <v>874</v>
      </c>
      <c r="G734" s="6" t="s">
        <v>26</v>
      </c>
      <c r="I734" s="6" t="s">
        <v>4149</v>
      </c>
      <c r="J734" s="6">
        <v>0.0</v>
      </c>
      <c r="L734" s="6">
        <v>490000.0</v>
      </c>
      <c r="M734" s="6" t="s">
        <v>4158</v>
      </c>
      <c r="N734" s="6" t="s">
        <v>2626</v>
      </c>
      <c r="O734" s="6" t="s">
        <v>2626</v>
      </c>
    </row>
    <row r="735">
      <c r="A735" s="6" t="s">
        <v>1695</v>
      </c>
      <c r="B735" s="6" t="s">
        <v>1695</v>
      </c>
      <c r="C735" s="6" t="s">
        <v>4159</v>
      </c>
      <c r="D735" s="6">
        <v>735.0</v>
      </c>
      <c r="E735" s="6">
        <v>3.59012141800617E14</v>
      </c>
      <c r="F735" s="6" t="s">
        <v>1691</v>
      </c>
      <c r="G735" s="6" t="s">
        <v>103</v>
      </c>
      <c r="J735" s="6">
        <v>0.0</v>
      </c>
      <c r="L735" s="6">
        <v>0.0</v>
      </c>
      <c r="M735" s="6" t="s">
        <v>4160</v>
      </c>
      <c r="N735" s="6" t="s">
        <v>2626</v>
      </c>
      <c r="O735" s="6" t="s">
        <v>2626</v>
      </c>
    </row>
    <row r="736">
      <c r="A736" s="6" t="s">
        <v>1696</v>
      </c>
      <c r="B736" s="6" t="s">
        <v>1696</v>
      </c>
      <c r="C736" s="6" t="s">
        <v>4161</v>
      </c>
      <c r="D736" s="6">
        <v>736.0</v>
      </c>
      <c r="E736" s="6" t="s">
        <v>140</v>
      </c>
      <c r="F736" s="6" t="s">
        <v>508</v>
      </c>
      <c r="G736" s="6" t="s">
        <v>195</v>
      </c>
      <c r="J736" s="6">
        <v>0.0</v>
      </c>
      <c r="L736" s="6">
        <v>0.0</v>
      </c>
      <c r="M736" s="6" t="s">
        <v>4162</v>
      </c>
      <c r="N736" s="6" t="s">
        <v>2626</v>
      </c>
      <c r="O736" s="6" t="s">
        <v>2626</v>
      </c>
    </row>
    <row r="737">
      <c r="A737" s="6" t="s">
        <v>1697</v>
      </c>
      <c r="B737" s="6" t="s">
        <v>1697</v>
      </c>
      <c r="C737" s="6" t="s">
        <v>4163</v>
      </c>
      <c r="D737" s="6">
        <v>737.0</v>
      </c>
      <c r="E737" s="6" t="s">
        <v>140</v>
      </c>
      <c r="F737" s="6" t="s">
        <v>508</v>
      </c>
      <c r="G737" s="6" t="s">
        <v>195</v>
      </c>
      <c r="J737" s="6">
        <v>0.0</v>
      </c>
      <c r="L737" s="6">
        <v>0.0</v>
      </c>
      <c r="M737" s="6" t="s">
        <v>4164</v>
      </c>
      <c r="N737" s="6" t="s">
        <v>2626</v>
      </c>
      <c r="O737" s="6" t="s">
        <v>2626</v>
      </c>
    </row>
    <row r="738">
      <c r="A738" s="6" t="s">
        <v>1698</v>
      </c>
      <c r="B738" s="6" t="s">
        <v>1698</v>
      </c>
      <c r="C738" s="6" t="s">
        <v>4165</v>
      </c>
      <c r="D738" s="6">
        <v>738.0</v>
      </c>
      <c r="E738" s="6" t="s">
        <v>140</v>
      </c>
      <c r="F738" s="6" t="s">
        <v>508</v>
      </c>
      <c r="G738" s="6" t="s">
        <v>195</v>
      </c>
      <c r="J738" s="6">
        <v>0.0</v>
      </c>
      <c r="L738" s="6">
        <v>0.0</v>
      </c>
      <c r="M738" s="6" t="s">
        <v>4166</v>
      </c>
      <c r="N738" s="6" t="s">
        <v>2626</v>
      </c>
      <c r="O738" s="6" t="s">
        <v>2626</v>
      </c>
    </row>
    <row r="739">
      <c r="A739" s="6" t="s">
        <v>1699</v>
      </c>
      <c r="B739" s="6" t="s">
        <v>1699</v>
      </c>
      <c r="C739" s="6" t="s">
        <v>4167</v>
      </c>
      <c r="D739" s="6">
        <v>739.0</v>
      </c>
      <c r="E739" s="6" t="s">
        <v>140</v>
      </c>
      <c r="F739" s="6" t="s">
        <v>508</v>
      </c>
      <c r="G739" s="6" t="s">
        <v>195</v>
      </c>
      <c r="J739" s="6">
        <v>0.0</v>
      </c>
      <c r="L739" s="6">
        <v>0.0</v>
      </c>
      <c r="M739" s="6" t="s">
        <v>4168</v>
      </c>
      <c r="N739" s="6" t="s">
        <v>2626</v>
      </c>
      <c r="O739" s="6" t="s">
        <v>2626</v>
      </c>
    </row>
    <row r="740">
      <c r="A740" s="6" t="s">
        <v>1700</v>
      </c>
      <c r="B740" s="6" t="s">
        <v>1700</v>
      </c>
      <c r="C740" s="6" t="s">
        <v>4169</v>
      </c>
      <c r="D740" s="6">
        <v>740.0</v>
      </c>
      <c r="F740" s="6" t="s">
        <v>64</v>
      </c>
      <c r="G740" s="6" t="s">
        <v>26</v>
      </c>
      <c r="I740" s="6" t="s">
        <v>4149</v>
      </c>
      <c r="J740" s="6">
        <v>0.0</v>
      </c>
      <c r="L740" s="6">
        <v>2000.0</v>
      </c>
      <c r="M740" s="6" t="s">
        <v>4170</v>
      </c>
      <c r="N740" s="6" t="s">
        <v>2626</v>
      </c>
      <c r="O740" s="6" t="s">
        <v>2626</v>
      </c>
    </row>
    <row r="741">
      <c r="A741" s="6" t="s">
        <v>1702</v>
      </c>
      <c r="B741" s="6" t="s">
        <v>1702</v>
      </c>
      <c r="C741" s="6" t="s">
        <v>4171</v>
      </c>
      <c r="D741" s="6">
        <v>741.0</v>
      </c>
      <c r="F741" s="6" t="s">
        <v>236</v>
      </c>
      <c r="G741" s="6" t="s">
        <v>26</v>
      </c>
      <c r="I741" s="6" t="s">
        <v>4149</v>
      </c>
      <c r="J741" s="6">
        <v>0.0</v>
      </c>
      <c r="L741" s="6">
        <v>5000.0</v>
      </c>
      <c r="M741" s="6" t="s">
        <v>4172</v>
      </c>
      <c r="N741" s="6" t="s">
        <v>2626</v>
      </c>
      <c r="O741" s="6" t="s">
        <v>2626</v>
      </c>
    </row>
    <row r="742">
      <c r="A742" s="6" t="s">
        <v>1704</v>
      </c>
      <c r="B742" s="6" t="s">
        <v>1704</v>
      </c>
      <c r="C742" s="6" t="s">
        <v>4173</v>
      </c>
      <c r="D742" s="6">
        <v>742.0</v>
      </c>
      <c r="F742" s="6" t="s">
        <v>46</v>
      </c>
      <c r="G742" s="6" t="s">
        <v>26</v>
      </c>
      <c r="I742" s="6" t="s">
        <v>4149</v>
      </c>
      <c r="J742" s="6">
        <v>0.0</v>
      </c>
      <c r="L742" s="6">
        <v>3000.0</v>
      </c>
      <c r="M742" s="6" t="s">
        <v>4174</v>
      </c>
      <c r="N742" s="6" t="s">
        <v>2626</v>
      </c>
      <c r="O742" s="6" t="s">
        <v>2626</v>
      </c>
    </row>
    <row r="743">
      <c r="A743" s="6" t="s">
        <v>1709</v>
      </c>
      <c r="B743" s="6" t="s">
        <v>1709</v>
      </c>
      <c r="C743" s="6" t="s">
        <v>4175</v>
      </c>
      <c r="D743" s="6">
        <v>743.0</v>
      </c>
      <c r="E743" s="6">
        <v>3.55845080208761E14</v>
      </c>
      <c r="F743" s="6" t="s">
        <v>1705</v>
      </c>
      <c r="G743" s="6" t="s">
        <v>26</v>
      </c>
      <c r="I743" s="6" t="s">
        <v>4149</v>
      </c>
      <c r="J743" s="6">
        <v>0.0</v>
      </c>
      <c r="L743" s="6">
        <v>70000.0</v>
      </c>
      <c r="M743" s="6" t="s">
        <v>4176</v>
      </c>
      <c r="N743" s="6" t="s">
        <v>2626</v>
      </c>
      <c r="O743" s="6" t="s">
        <v>2626</v>
      </c>
    </row>
    <row r="744">
      <c r="A744" s="6" t="s">
        <v>1711</v>
      </c>
      <c r="B744" s="6" t="s">
        <v>1711</v>
      </c>
      <c r="C744" s="6" t="s">
        <v>4177</v>
      </c>
      <c r="D744" s="6">
        <v>744.0</v>
      </c>
      <c r="F744" s="6" t="s">
        <v>400</v>
      </c>
      <c r="G744" s="6" t="s">
        <v>26</v>
      </c>
      <c r="I744" s="6" t="s">
        <v>4149</v>
      </c>
      <c r="J744" s="6">
        <v>0.0</v>
      </c>
      <c r="L744" s="6">
        <v>8000.0</v>
      </c>
      <c r="M744" s="6" t="s">
        <v>4178</v>
      </c>
      <c r="N744" s="6" t="s">
        <v>2626</v>
      </c>
      <c r="O744" s="6" t="s">
        <v>2626</v>
      </c>
    </row>
    <row r="745">
      <c r="A745" s="6" t="s">
        <v>1713</v>
      </c>
      <c r="B745" s="6" t="s">
        <v>1713</v>
      </c>
      <c r="C745" s="6" t="s">
        <v>4179</v>
      </c>
      <c r="D745" s="6">
        <v>745.0</v>
      </c>
      <c r="F745" s="6" t="s">
        <v>1417</v>
      </c>
      <c r="G745" s="6" t="s">
        <v>26</v>
      </c>
      <c r="I745" s="6" t="s">
        <v>4149</v>
      </c>
      <c r="J745" s="6">
        <v>0.0</v>
      </c>
      <c r="L745" s="6">
        <v>2500.0</v>
      </c>
      <c r="M745" s="6" t="s">
        <v>4180</v>
      </c>
      <c r="N745" s="6" t="s">
        <v>2626</v>
      </c>
      <c r="O745" s="6" t="s">
        <v>2626</v>
      </c>
    </row>
    <row r="746">
      <c r="A746" s="6" t="s">
        <v>1715</v>
      </c>
      <c r="B746" s="6" t="s">
        <v>1715</v>
      </c>
      <c r="C746" s="6" t="s">
        <v>4181</v>
      </c>
      <c r="D746" s="6">
        <v>746.0</v>
      </c>
      <c r="F746" s="6" t="s">
        <v>46</v>
      </c>
      <c r="G746" s="6" t="s">
        <v>26</v>
      </c>
      <c r="I746" s="6" t="s">
        <v>4149</v>
      </c>
      <c r="J746" s="6">
        <v>0.0</v>
      </c>
      <c r="L746" s="6">
        <v>1000.0</v>
      </c>
      <c r="M746" s="6" t="s">
        <v>4182</v>
      </c>
      <c r="N746" s="6" t="s">
        <v>2626</v>
      </c>
      <c r="O746" s="6" t="s">
        <v>2626</v>
      </c>
    </row>
    <row r="747">
      <c r="A747" s="6" t="s">
        <v>1718</v>
      </c>
      <c r="B747" s="6" t="s">
        <v>1718</v>
      </c>
      <c r="C747" s="6" t="s">
        <v>4183</v>
      </c>
      <c r="D747" s="6">
        <v>747.0</v>
      </c>
      <c r="F747" s="6" t="s">
        <v>1716</v>
      </c>
      <c r="G747" s="6" t="s">
        <v>26</v>
      </c>
      <c r="I747" s="6" t="s">
        <v>4149</v>
      </c>
      <c r="J747" s="6">
        <v>0.0</v>
      </c>
      <c r="L747" s="6">
        <v>5000.0</v>
      </c>
      <c r="M747" s="6" t="s">
        <v>4184</v>
      </c>
      <c r="N747" s="6" t="s">
        <v>2626</v>
      </c>
      <c r="O747" s="6" t="s">
        <v>2626</v>
      </c>
    </row>
    <row r="748">
      <c r="A748" s="6" t="s">
        <v>1722</v>
      </c>
      <c r="B748" s="6" t="s">
        <v>1722</v>
      </c>
      <c r="C748" s="6" t="s">
        <v>4185</v>
      </c>
      <c r="D748" s="6">
        <v>748.0</v>
      </c>
      <c r="F748" s="6" t="s">
        <v>1719</v>
      </c>
      <c r="G748" s="6" t="s">
        <v>26</v>
      </c>
      <c r="I748" s="6" t="s">
        <v>4149</v>
      </c>
      <c r="J748" s="6">
        <v>0.0</v>
      </c>
      <c r="L748" s="6">
        <v>2500.0</v>
      </c>
      <c r="M748" s="6" t="s">
        <v>4186</v>
      </c>
      <c r="N748" s="6" t="s">
        <v>2626</v>
      </c>
      <c r="O748" s="6" t="s">
        <v>2626</v>
      </c>
    </row>
    <row r="749">
      <c r="A749" s="6" t="s">
        <v>1724</v>
      </c>
      <c r="B749" s="6" t="s">
        <v>1724</v>
      </c>
      <c r="C749" s="6" t="s">
        <v>4187</v>
      </c>
      <c r="D749" s="6">
        <v>749.0</v>
      </c>
      <c r="E749" s="6">
        <v>3.55300183605562E14</v>
      </c>
      <c r="F749" s="6" t="s">
        <v>600</v>
      </c>
      <c r="G749" s="6" t="s">
        <v>103</v>
      </c>
      <c r="J749" s="6">
        <v>0.0</v>
      </c>
      <c r="L749" s="6">
        <v>0.0</v>
      </c>
      <c r="M749" s="6" t="s">
        <v>4188</v>
      </c>
      <c r="N749" s="6" t="s">
        <v>2626</v>
      </c>
      <c r="O749" s="6" t="s">
        <v>2626</v>
      </c>
    </row>
    <row r="750">
      <c r="A750" s="6" t="s">
        <v>1725</v>
      </c>
      <c r="B750" s="6" t="s">
        <v>1725</v>
      </c>
      <c r="C750" s="6" t="s">
        <v>4189</v>
      </c>
      <c r="D750" s="6">
        <v>750.0</v>
      </c>
      <c r="F750" s="6" t="s">
        <v>1579</v>
      </c>
      <c r="G750" s="6" t="s">
        <v>103</v>
      </c>
      <c r="J750" s="6">
        <v>0.0</v>
      </c>
      <c r="L750" s="6">
        <v>0.0</v>
      </c>
      <c r="M750" s="6" t="s">
        <v>4190</v>
      </c>
      <c r="N750" s="6" t="s">
        <v>2626</v>
      </c>
      <c r="O750" s="6" t="s">
        <v>2626</v>
      </c>
    </row>
    <row r="751">
      <c r="A751" s="6" t="s">
        <v>1727</v>
      </c>
      <c r="B751" s="6" t="s">
        <v>1727</v>
      </c>
      <c r="C751" s="6" t="s">
        <v>4191</v>
      </c>
      <c r="D751" s="6">
        <v>751.0</v>
      </c>
      <c r="F751" s="6" t="s">
        <v>1691</v>
      </c>
      <c r="G751" s="6" t="s">
        <v>26</v>
      </c>
      <c r="I751" s="6" t="s">
        <v>4192</v>
      </c>
      <c r="J751" s="6">
        <v>0.0</v>
      </c>
      <c r="L751" s="6">
        <v>2500.0</v>
      </c>
      <c r="M751" s="6" t="s">
        <v>4193</v>
      </c>
      <c r="N751" s="6" t="s">
        <v>2626</v>
      </c>
      <c r="O751" s="6" t="s">
        <v>2626</v>
      </c>
    </row>
    <row r="752">
      <c r="A752" s="6" t="s">
        <v>1729</v>
      </c>
      <c r="B752" s="6" t="s">
        <v>1729</v>
      </c>
      <c r="C752" s="6" t="s">
        <v>4194</v>
      </c>
      <c r="D752" s="6">
        <v>752.0</v>
      </c>
      <c r="F752" s="6" t="s">
        <v>1691</v>
      </c>
      <c r="G752" s="6" t="s">
        <v>26</v>
      </c>
      <c r="I752" s="6" t="s">
        <v>4192</v>
      </c>
      <c r="J752" s="6">
        <v>0.0</v>
      </c>
      <c r="L752" s="6">
        <v>5000.0</v>
      </c>
      <c r="M752" s="6" t="s">
        <v>4195</v>
      </c>
      <c r="N752" s="6" t="s">
        <v>2626</v>
      </c>
      <c r="O752" s="6" t="s">
        <v>2626</v>
      </c>
    </row>
    <row r="753">
      <c r="A753" s="6" t="s">
        <v>1730</v>
      </c>
      <c r="B753" s="6" t="s">
        <v>1730</v>
      </c>
      <c r="C753" s="6" t="s">
        <v>4196</v>
      </c>
      <c r="D753" s="6">
        <v>753.0</v>
      </c>
      <c r="F753" s="6" t="s">
        <v>70</v>
      </c>
      <c r="G753" s="6" t="s">
        <v>26</v>
      </c>
      <c r="I753" s="6" t="s">
        <v>4192</v>
      </c>
      <c r="J753" s="6">
        <v>0.0</v>
      </c>
      <c r="L753" s="6">
        <v>2500.0</v>
      </c>
      <c r="M753" s="6" t="s">
        <v>4197</v>
      </c>
      <c r="N753" s="6" t="s">
        <v>2626</v>
      </c>
      <c r="O753" s="6" t="s">
        <v>2626</v>
      </c>
    </row>
    <row r="754">
      <c r="A754" s="6" t="s">
        <v>1731</v>
      </c>
      <c r="B754" s="6" t="s">
        <v>1731</v>
      </c>
      <c r="C754" s="6" t="s">
        <v>4198</v>
      </c>
      <c r="D754" s="6">
        <v>754.0</v>
      </c>
      <c r="F754" s="6" t="s">
        <v>1691</v>
      </c>
      <c r="G754" s="6" t="s">
        <v>26</v>
      </c>
      <c r="I754" s="6" t="s">
        <v>4192</v>
      </c>
      <c r="J754" s="6">
        <v>0.0</v>
      </c>
      <c r="L754" s="6">
        <v>2500.0</v>
      </c>
      <c r="M754" s="6" t="s">
        <v>4199</v>
      </c>
      <c r="N754" s="6" t="s">
        <v>2626</v>
      </c>
      <c r="O754" s="6" t="s">
        <v>2626</v>
      </c>
    </row>
    <row r="755">
      <c r="A755" s="6" t="s">
        <v>1733</v>
      </c>
      <c r="B755" s="6" t="s">
        <v>1733</v>
      </c>
      <c r="C755" s="6" t="s">
        <v>4200</v>
      </c>
      <c r="D755" s="6">
        <v>755.0</v>
      </c>
      <c r="F755" s="6" t="s">
        <v>212</v>
      </c>
      <c r="G755" s="6" t="s">
        <v>26</v>
      </c>
      <c r="I755" s="6" t="s">
        <v>4192</v>
      </c>
      <c r="J755" s="6">
        <v>0.0</v>
      </c>
      <c r="L755" s="6">
        <v>2500.0</v>
      </c>
      <c r="M755" s="6" t="s">
        <v>4201</v>
      </c>
      <c r="N755" s="6" t="s">
        <v>2626</v>
      </c>
      <c r="O755" s="6" t="s">
        <v>2626</v>
      </c>
    </row>
    <row r="756">
      <c r="A756" s="6" t="s">
        <v>1735</v>
      </c>
      <c r="B756" s="6" t="s">
        <v>1735</v>
      </c>
      <c r="C756" s="6" t="s">
        <v>4202</v>
      </c>
      <c r="D756" s="6">
        <v>756.0</v>
      </c>
      <c r="F756" s="6" t="s">
        <v>1334</v>
      </c>
      <c r="G756" s="6" t="s">
        <v>26</v>
      </c>
      <c r="I756" s="6" t="s">
        <v>4192</v>
      </c>
      <c r="J756" s="6">
        <v>0.0</v>
      </c>
      <c r="L756" s="6">
        <v>3000.0</v>
      </c>
      <c r="M756" s="6" t="s">
        <v>4203</v>
      </c>
      <c r="N756" s="6" t="s">
        <v>2626</v>
      </c>
      <c r="O756" s="6" t="s">
        <v>2626</v>
      </c>
    </row>
    <row r="757">
      <c r="A757" s="6" t="s">
        <v>1739</v>
      </c>
      <c r="B757" s="6" t="s">
        <v>1739</v>
      </c>
      <c r="C757" s="6" t="s">
        <v>4204</v>
      </c>
      <c r="D757" s="6">
        <v>757.0</v>
      </c>
      <c r="F757" s="6" t="s">
        <v>1736</v>
      </c>
      <c r="G757" s="6" t="s">
        <v>26</v>
      </c>
      <c r="I757" s="6" t="s">
        <v>4192</v>
      </c>
      <c r="J757" s="6">
        <v>0.0</v>
      </c>
      <c r="L757" s="6">
        <v>25000.0</v>
      </c>
      <c r="M757" s="6" t="s">
        <v>4205</v>
      </c>
      <c r="N757" s="6" t="s">
        <v>2626</v>
      </c>
      <c r="O757" s="6" t="s">
        <v>2626</v>
      </c>
    </row>
    <row r="758">
      <c r="A758" s="6" t="s">
        <v>1740</v>
      </c>
      <c r="B758" s="6" t="s">
        <v>1740</v>
      </c>
      <c r="C758" s="6" t="s">
        <v>4206</v>
      </c>
      <c r="D758" s="6">
        <v>758.0</v>
      </c>
      <c r="F758" s="6" t="s">
        <v>54</v>
      </c>
      <c r="G758" s="6" t="s">
        <v>26</v>
      </c>
      <c r="I758" s="6" t="s">
        <v>4192</v>
      </c>
      <c r="J758" s="6">
        <v>0.0</v>
      </c>
      <c r="L758" s="6">
        <v>2500.0</v>
      </c>
      <c r="M758" s="6" t="s">
        <v>4207</v>
      </c>
      <c r="N758" s="6" t="s">
        <v>2626</v>
      </c>
      <c r="O758" s="6" t="s">
        <v>2626</v>
      </c>
    </row>
    <row r="759">
      <c r="A759" s="6" t="s">
        <v>1743</v>
      </c>
      <c r="B759" s="6" t="s">
        <v>1743</v>
      </c>
      <c r="C759" s="6" t="s">
        <v>4208</v>
      </c>
      <c r="D759" s="6">
        <v>759.0</v>
      </c>
      <c r="F759" s="6" t="s">
        <v>1741</v>
      </c>
      <c r="G759" s="6" t="s">
        <v>26</v>
      </c>
      <c r="I759" s="6" t="s">
        <v>4192</v>
      </c>
      <c r="J759" s="6">
        <v>0.0</v>
      </c>
      <c r="L759" s="6">
        <v>5000.0</v>
      </c>
      <c r="M759" s="6" t="s">
        <v>4209</v>
      </c>
      <c r="N759" s="6" t="s">
        <v>2626</v>
      </c>
      <c r="O759" s="6" t="s">
        <v>2626</v>
      </c>
    </row>
    <row r="760">
      <c r="A760" s="6" t="s">
        <v>1744</v>
      </c>
      <c r="B760" s="6" t="s">
        <v>1744</v>
      </c>
      <c r="C760" s="6" t="s">
        <v>4210</v>
      </c>
      <c r="D760" s="6">
        <v>760.0</v>
      </c>
      <c r="F760" s="6" t="s">
        <v>306</v>
      </c>
      <c r="G760" s="6" t="s">
        <v>26</v>
      </c>
      <c r="I760" s="6" t="s">
        <v>4192</v>
      </c>
      <c r="J760" s="6">
        <v>0.0</v>
      </c>
      <c r="L760" s="6">
        <v>5000.0</v>
      </c>
      <c r="M760" s="6" t="s">
        <v>4211</v>
      </c>
      <c r="N760" s="6" t="s">
        <v>2626</v>
      </c>
      <c r="O760" s="6" t="s">
        <v>2626</v>
      </c>
    </row>
    <row r="761">
      <c r="A761" s="6" t="s">
        <v>1748</v>
      </c>
      <c r="B761" s="6" t="s">
        <v>1748</v>
      </c>
      <c r="C761" s="6" t="s">
        <v>4212</v>
      </c>
      <c r="D761" s="6">
        <v>761.0</v>
      </c>
      <c r="F761" s="6" t="s">
        <v>1745</v>
      </c>
      <c r="G761" s="6" t="s">
        <v>26</v>
      </c>
      <c r="I761" s="6" t="s">
        <v>4192</v>
      </c>
      <c r="J761" s="6">
        <v>0.0</v>
      </c>
      <c r="L761" s="6">
        <v>70000.0</v>
      </c>
      <c r="M761" s="6" t="s">
        <v>4213</v>
      </c>
      <c r="N761" s="6" t="s">
        <v>2626</v>
      </c>
      <c r="O761" s="6" t="s">
        <v>2626</v>
      </c>
    </row>
    <row r="762">
      <c r="A762" s="6" t="s">
        <v>1751</v>
      </c>
      <c r="B762" s="6" t="s">
        <v>1751</v>
      </c>
      <c r="C762" s="6" t="s">
        <v>4214</v>
      </c>
      <c r="D762" s="6">
        <v>762.0</v>
      </c>
      <c r="E762" s="6">
        <v>3.53263428082785E14</v>
      </c>
      <c r="F762" s="6" t="s">
        <v>400</v>
      </c>
      <c r="G762" s="6" t="s">
        <v>26</v>
      </c>
      <c r="I762" s="6" t="s">
        <v>4215</v>
      </c>
      <c r="J762" s="6">
        <v>0.0</v>
      </c>
      <c r="L762" s="6">
        <v>1780000.0</v>
      </c>
      <c r="M762" s="6" t="s">
        <v>4216</v>
      </c>
      <c r="N762" s="6" t="s">
        <v>2626</v>
      </c>
      <c r="O762" s="6" t="s">
        <v>2626</v>
      </c>
    </row>
    <row r="763">
      <c r="A763" s="6" t="s">
        <v>1755</v>
      </c>
      <c r="B763" s="6" t="s">
        <v>1755</v>
      </c>
      <c r="C763" s="6" t="s">
        <v>4217</v>
      </c>
      <c r="D763" s="6">
        <v>763.0</v>
      </c>
      <c r="E763" s="6">
        <v>3.56545108980057E14</v>
      </c>
      <c r="F763" s="6" t="s">
        <v>1752</v>
      </c>
      <c r="G763" s="6" t="s">
        <v>26</v>
      </c>
      <c r="I763" s="6" t="s">
        <v>4215</v>
      </c>
      <c r="J763" s="6">
        <v>0.0</v>
      </c>
      <c r="L763" s="6">
        <v>200000.0</v>
      </c>
      <c r="M763" s="6" t="s">
        <v>4218</v>
      </c>
      <c r="N763" s="6" t="s">
        <v>2626</v>
      </c>
      <c r="O763" s="6" t="s">
        <v>2626</v>
      </c>
    </row>
    <row r="764">
      <c r="A764" s="6" t="s">
        <v>1756</v>
      </c>
      <c r="B764" s="6" t="s">
        <v>1756</v>
      </c>
      <c r="C764" s="6" t="s">
        <v>4219</v>
      </c>
      <c r="D764" s="6">
        <v>764.0</v>
      </c>
      <c r="F764" s="6" t="s">
        <v>400</v>
      </c>
      <c r="G764" s="6" t="s">
        <v>26</v>
      </c>
      <c r="I764" s="6" t="s">
        <v>4215</v>
      </c>
      <c r="J764" s="6">
        <v>0.0</v>
      </c>
      <c r="L764" s="6">
        <v>3000.0</v>
      </c>
      <c r="M764" s="6" t="s">
        <v>4220</v>
      </c>
      <c r="N764" s="6" t="s">
        <v>2626</v>
      </c>
      <c r="O764" s="6" t="s">
        <v>2626</v>
      </c>
    </row>
    <row r="765">
      <c r="A765" s="6" t="s">
        <v>1758</v>
      </c>
      <c r="B765" s="6" t="s">
        <v>1758</v>
      </c>
      <c r="C765" s="6" t="s">
        <v>4221</v>
      </c>
      <c r="D765" s="6">
        <v>765.0</v>
      </c>
      <c r="F765" s="6" t="s">
        <v>23</v>
      </c>
      <c r="G765" s="6" t="s">
        <v>121</v>
      </c>
      <c r="J765" s="6">
        <v>0.0</v>
      </c>
      <c r="L765" s="6">
        <v>0.0</v>
      </c>
      <c r="M765" s="6" t="s">
        <v>4222</v>
      </c>
      <c r="N765" s="6" t="s">
        <v>2626</v>
      </c>
      <c r="O765" s="6" t="s">
        <v>2626</v>
      </c>
    </row>
    <row r="766">
      <c r="A766" s="6" t="s">
        <v>1762</v>
      </c>
      <c r="B766" s="6" t="s">
        <v>1762</v>
      </c>
      <c r="C766" s="6" t="s">
        <v>4223</v>
      </c>
      <c r="D766" s="6">
        <v>766.0</v>
      </c>
      <c r="F766" s="6" t="s">
        <v>1759</v>
      </c>
      <c r="G766" s="6" t="s">
        <v>26</v>
      </c>
      <c r="I766" s="6" t="s">
        <v>4215</v>
      </c>
      <c r="J766" s="6">
        <v>0.0</v>
      </c>
      <c r="L766" s="6">
        <v>3000.0</v>
      </c>
      <c r="M766" s="6" t="s">
        <v>4224</v>
      </c>
      <c r="N766" s="6" t="s">
        <v>2626</v>
      </c>
      <c r="O766" s="6" t="s">
        <v>2626</v>
      </c>
    </row>
    <row r="767">
      <c r="A767" s="6" t="s">
        <v>1764</v>
      </c>
      <c r="B767" s="6" t="s">
        <v>1764</v>
      </c>
      <c r="C767" s="6" t="s">
        <v>4225</v>
      </c>
      <c r="D767" s="6">
        <v>767.0</v>
      </c>
      <c r="F767" s="6" t="s">
        <v>485</v>
      </c>
      <c r="G767" s="6" t="s">
        <v>26</v>
      </c>
      <c r="I767" s="6" t="s">
        <v>4215</v>
      </c>
      <c r="J767" s="6">
        <v>0.0</v>
      </c>
      <c r="L767" s="6">
        <v>2500.0</v>
      </c>
      <c r="M767" s="6" t="s">
        <v>4226</v>
      </c>
      <c r="N767" s="6" t="s">
        <v>2626</v>
      </c>
      <c r="O767" s="6" t="s">
        <v>2626</v>
      </c>
    </row>
    <row r="768">
      <c r="A768" s="6" t="s">
        <v>1766</v>
      </c>
      <c r="B768" s="6" t="s">
        <v>1766</v>
      </c>
      <c r="C768" s="6" t="s">
        <v>4227</v>
      </c>
      <c r="D768" s="6">
        <v>768.0</v>
      </c>
      <c r="F768" s="6" t="s">
        <v>485</v>
      </c>
      <c r="G768" s="6" t="s">
        <v>103</v>
      </c>
      <c r="J768" s="6">
        <v>0.0</v>
      </c>
      <c r="L768" s="6">
        <v>0.0</v>
      </c>
      <c r="M768" s="6" t="s">
        <v>4228</v>
      </c>
      <c r="N768" s="6" t="s">
        <v>2626</v>
      </c>
      <c r="O768" s="6" t="s">
        <v>2626</v>
      </c>
    </row>
    <row r="769">
      <c r="A769" s="6" t="s">
        <v>1768</v>
      </c>
      <c r="B769" s="6" t="s">
        <v>1768</v>
      </c>
      <c r="C769" s="6" t="s">
        <v>4229</v>
      </c>
      <c r="D769" s="6">
        <v>769.0</v>
      </c>
      <c r="F769" s="6" t="s">
        <v>424</v>
      </c>
      <c r="G769" s="6" t="s">
        <v>121</v>
      </c>
      <c r="J769" s="6">
        <v>0.0</v>
      </c>
      <c r="L769" s="6">
        <v>0.0</v>
      </c>
      <c r="M769" s="6" t="s">
        <v>4230</v>
      </c>
      <c r="N769" s="6" t="s">
        <v>2626</v>
      </c>
      <c r="O769" s="6" t="s">
        <v>2626</v>
      </c>
    </row>
    <row r="770">
      <c r="A770" s="6" t="s">
        <v>1769</v>
      </c>
      <c r="B770" s="6" t="s">
        <v>1769</v>
      </c>
      <c r="C770" s="6" t="s">
        <v>4231</v>
      </c>
      <c r="D770" s="6">
        <v>770.0</v>
      </c>
      <c r="E770" s="6">
        <v>3.59012141800617E14</v>
      </c>
      <c r="F770" s="6" t="s">
        <v>1691</v>
      </c>
      <c r="G770" s="6" t="s">
        <v>103</v>
      </c>
      <c r="J770" s="6">
        <v>0.0</v>
      </c>
      <c r="L770" s="6">
        <v>0.0</v>
      </c>
      <c r="M770" s="6" t="s">
        <v>4232</v>
      </c>
      <c r="N770" s="6" t="s">
        <v>2626</v>
      </c>
      <c r="O770" s="6" t="s">
        <v>2626</v>
      </c>
    </row>
    <row r="771">
      <c r="A771" s="6" t="s">
        <v>1771</v>
      </c>
      <c r="B771" s="6" t="s">
        <v>1771</v>
      </c>
      <c r="C771" s="6" t="s">
        <v>4233</v>
      </c>
      <c r="D771" s="6">
        <v>771.0</v>
      </c>
      <c r="F771" s="6" t="s">
        <v>74</v>
      </c>
      <c r="G771" s="6" t="s">
        <v>26</v>
      </c>
      <c r="I771" s="6" t="s">
        <v>4215</v>
      </c>
      <c r="J771" s="6">
        <v>0.0</v>
      </c>
      <c r="L771" s="6">
        <v>2500.0</v>
      </c>
      <c r="M771" s="6" t="s">
        <v>4234</v>
      </c>
      <c r="N771" s="6" t="s">
        <v>2626</v>
      </c>
      <c r="O771" s="6" t="s">
        <v>2626</v>
      </c>
    </row>
    <row r="772">
      <c r="A772" s="6" t="s">
        <v>1775</v>
      </c>
      <c r="B772" s="6" t="s">
        <v>1775</v>
      </c>
      <c r="C772" s="6" t="s">
        <v>4235</v>
      </c>
      <c r="D772" s="6">
        <v>772.0</v>
      </c>
      <c r="F772" s="6" t="s">
        <v>1772</v>
      </c>
      <c r="G772" s="6" t="s">
        <v>26</v>
      </c>
      <c r="I772" s="6" t="s">
        <v>4215</v>
      </c>
      <c r="J772" s="6">
        <v>0.0</v>
      </c>
      <c r="L772" s="6">
        <v>3000.0</v>
      </c>
      <c r="M772" s="6" t="s">
        <v>4236</v>
      </c>
      <c r="N772" s="6" t="s">
        <v>2626</v>
      </c>
      <c r="O772" s="6" t="s">
        <v>2626</v>
      </c>
    </row>
    <row r="773">
      <c r="A773" s="6" t="s">
        <v>1779</v>
      </c>
      <c r="B773" s="6" t="s">
        <v>1779</v>
      </c>
      <c r="C773" s="6" t="s">
        <v>4237</v>
      </c>
      <c r="D773" s="6">
        <v>773.0</v>
      </c>
      <c r="F773" s="6" t="s">
        <v>1776</v>
      </c>
      <c r="G773" s="6" t="s">
        <v>103</v>
      </c>
      <c r="J773" s="6">
        <v>0.0</v>
      </c>
      <c r="L773" s="6">
        <v>0.0</v>
      </c>
      <c r="M773" s="6" t="s">
        <v>4238</v>
      </c>
      <c r="N773" s="6" t="s">
        <v>2626</v>
      </c>
      <c r="O773" s="6" t="s">
        <v>2626</v>
      </c>
    </row>
    <row r="774">
      <c r="A774" s="6" t="s">
        <v>1781</v>
      </c>
      <c r="B774" s="6" t="s">
        <v>1781</v>
      </c>
      <c r="C774" s="6" t="s">
        <v>4239</v>
      </c>
      <c r="D774" s="6">
        <v>774.0</v>
      </c>
      <c r="F774" s="6" t="s">
        <v>364</v>
      </c>
      <c r="G774" s="6" t="s">
        <v>481</v>
      </c>
      <c r="J774" s="6">
        <v>0.0</v>
      </c>
      <c r="L774" s="6">
        <v>0.0</v>
      </c>
      <c r="M774" s="6" t="s">
        <v>4240</v>
      </c>
      <c r="N774" s="6" t="s">
        <v>2626</v>
      </c>
      <c r="O774" s="6" t="s">
        <v>2626</v>
      </c>
    </row>
    <row r="775">
      <c r="A775" s="6" t="s">
        <v>1785</v>
      </c>
      <c r="B775" s="6" t="s">
        <v>1785</v>
      </c>
      <c r="C775" s="6" t="s">
        <v>4241</v>
      </c>
      <c r="D775" s="6">
        <v>775.0</v>
      </c>
      <c r="F775" s="6" t="s">
        <v>1782</v>
      </c>
      <c r="G775" s="6" t="s">
        <v>26</v>
      </c>
      <c r="I775" s="6" t="s">
        <v>4215</v>
      </c>
      <c r="J775" s="6">
        <v>0.0</v>
      </c>
      <c r="L775" s="6">
        <v>20000.0</v>
      </c>
      <c r="M775" s="6" t="s">
        <v>4242</v>
      </c>
      <c r="N775" s="6" t="s">
        <v>2626</v>
      </c>
      <c r="O775" s="6" t="s">
        <v>2626</v>
      </c>
    </row>
    <row r="776">
      <c r="A776" s="6" t="s">
        <v>1789</v>
      </c>
      <c r="B776" s="6" t="s">
        <v>1789</v>
      </c>
      <c r="C776" s="6" t="s">
        <v>4243</v>
      </c>
      <c r="D776" s="6">
        <v>776.0</v>
      </c>
      <c r="F776" s="6" t="s">
        <v>1786</v>
      </c>
      <c r="G776" s="6" t="s">
        <v>26</v>
      </c>
      <c r="I776" s="6" t="s">
        <v>4215</v>
      </c>
      <c r="J776" s="6">
        <v>0.0</v>
      </c>
      <c r="L776" s="6">
        <v>5000.0</v>
      </c>
      <c r="M776" s="6" t="s">
        <v>4244</v>
      </c>
      <c r="N776" s="6" t="s">
        <v>2626</v>
      </c>
      <c r="O776" s="6" t="s">
        <v>2626</v>
      </c>
    </row>
    <row r="777">
      <c r="A777" s="6" t="s">
        <v>1790</v>
      </c>
      <c r="B777" s="6" t="s">
        <v>1790</v>
      </c>
      <c r="C777" s="6" t="s">
        <v>4245</v>
      </c>
      <c r="D777" s="6">
        <v>777.0</v>
      </c>
      <c r="E777" s="6" t="s">
        <v>285</v>
      </c>
      <c r="F777" s="6" t="s">
        <v>140</v>
      </c>
      <c r="G777" s="6" t="s">
        <v>285</v>
      </c>
      <c r="J777" s="6">
        <v>0.0</v>
      </c>
      <c r="L777" s="6">
        <v>0.0</v>
      </c>
      <c r="M777" s="6" t="s">
        <v>4246</v>
      </c>
      <c r="N777" s="6" t="s">
        <v>2626</v>
      </c>
      <c r="O777" s="6" t="s">
        <v>2626</v>
      </c>
    </row>
    <row r="778">
      <c r="A778" s="6" t="s">
        <v>1791</v>
      </c>
      <c r="B778" s="6" t="s">
        <v>1791</v>
      </c>
      <c r="C778" s="6" t="s">
        <v>4247</v>
      </c>
      <c r="D778" s="6">
        <v>778.0</v>
      </c>
      <c r="F778" s="6" t="s">
        <v>1628</v>
      </c>
      <c r="G778" s="6" t="s">
        <v>26</v>
      </c>
      <c r="I778" s="6" t="s">
        <v>4248</v>
      </c>
      <c r="J778" s="6">
        <v>0.0</v>
      </c>
      <c r="L778" s="6">
        <v>3000.0</v>
      </c>
      <c r="M778" s="6" t="s">
        <v>4249</v>
      </c>
      <c r="N778" s="6" t="s">
        <v>2626</v>
      </c>
      <c r="O778" s="6" t="s">
        <v>2626</v>
      </c>
    </row>
    <row r="779">
      <c r="A779" s="6" t="s">
        <v>1793</v>
      </c>
      <c r="B779" s="6" t="s">
        <v>1793</v>
      </c>
      <c r="C779" s="6" t="s">
        <v>4250</v>
      </c>
      <c r="D779" s="6">
        <v>779.0</v>
      </c>
      <c r="F779" s="6" t="s">
        <v>23</v>
      </c>
      <c r="G779" s="6" t="s">
        <v>121</v>
      </c>
      <c r="J779" s="6">
        <v>0.0</v>
      </c>
      <c r="L779" s="6">
        <v>0.0</v>
      </c>
      <c r="M779" s="6" t="s">
        <v>4251</v>
      </c>
      <c r="N779" s="6" t="s">
        <v>2626</v>
      </c>
      <c r="O779" s="6" t="s">
        <v>2626</v>
      </c>
    </row>
    <row r="780">
      <c r="A780" s="6" t="s">
        <v>1794</v>
      </c>
      <c r="B780" s="6" t="s">
        <v>1794</v>
      </c>
      <c r="C780" s="6" t="s">
        <v>4252</v>
      </c>
      <c r="D780" s="6">
        <v>780.0</v>
      </c>
      <c r="E780" s="6" t="s">
        <v>285</v>
      </c>
      <c r="F780" s="6" t="s">
        <v>140</v>
      </c>
      <c r="G780" s="6" t="s">
        <v>285</v>
      </c>
      <c r="J780" s="6">
        <v>0.0</v>
      </c>
      <c r="L780" s="6">
        <v>0.0</v>
      </c>
      <c r="M780" s="6" t="s">
        <v>4253</v>
      </c>
      <c r="N780" s="6" t="s">
        <v>2626</v>
      </c>
      <c r="O780" s="6" t="s">
        <v>2626</v>
      </c>
    </row>
    <row r="781">
      <c r="A781" s="6" t="s">
        <v>1795</v>
      </c>
      <c r="B781" s="6" t="s">
        <v>1795</v>
      </c>
      <c r="C781" s="6" t="s">
        <v>4254</v>
      </c>
      <c r="D781" s="6">
        <v>781.0</v>
      </c>
      <c r="E781" s="6" t="s">
        <v>285</v>
      </c>
      <c r="F781" s="6" t="s">
        <v>140</v>
      </c>
      <c r="G781" s="6" t="s">
        <v>285</v>
      </c>
      <c r="J781" s="6">
        <v>0.0</v>
      </c>
      <c r="L781" s="6">
        <v>0.0</v>
      </c>
      <c r="M781" s="6" t="s">
        <v>4255</v>
      </c>
      <c r="N781" s="6" t="s">
        <v>2626</v>
      </c>
      <c r="O781" s="6" t="s">
        <v>2626</v>
      </c>
    </row>
    <row r="782">
      <c r="A782" s="6" t="s">
        <v>1796</v>
      </c>
      <c r="B782" s="6" t="s">
        <v>1796</v>
      </c>
      <c r="C782" s="6" t="s">
        <v>4256</v>
      </c>
      <c r="D782" s="6">
        <v>782.0</v>
      </c>
      <c r="E782" s="6" t="s">
        <v>285</v>
      </c>
      <c r="F782" s="6" t="s">
        <v>140</v>
      </c>
      <c r="G782" s="6" t="s">
        <v>285</v>
      </c>
      <c r="J782" s="6">
        <v>0.0</v>
      </c>
      <c r="L782" s="6">
        <v>0.0</v>
      </c>
      <c r="M782" s="6" t="s">
        <v>4257</v>
      </c>
      <c r="N782" s="6" t="s">
        <v>2626</v>
      </c>
      <c r="O782" s="6" t="s">
        <v>2626</v>
      </c>
    </row>
    <row r="783">
      <c r="A783" s="6" t="s">
        <v>1799</v>
      </c>
      <c r="B783" s="6" t="s">
        <v>1799</v>
      </c>
      <c r="C783" s="6" t="s">
        <v>4258</v>
      </c>
      <c r="D783" s="6">
        <v>783.0</v>
      </c>
      <c r="E783" s="6">
        <v>3.50114363080305E14</v>
      </c>
      <c r="F783" s="6" t="s">
        <v>424</v>
      </c>
      <c r="G783" s="6" t="s">
        <v>103</v>
      </c>
      <c r="J783" s="6">
        <v>0.0</v>
      </c>
      <c r="L783" s="6">
        <v>0.0</v>
      </c>
      <c r="M783" s="6" t="s">
        <v>4259</v>
      </c>
      <c r="N783" s="6" t="s">
        <v>2626</v>
      </c>
      <c r="O783" s="6" t="s">
        <v>2626</v>
      </c>
    </row>
    <row r="784">
      <c r="A784" s="6" t="s">
        <v>1800</v>
      </c>
      <c r="B784" s="6" t="s">
        <v>1800</v>
      </c>
      <c r="C784" s="6" t="s">
        <v>4260</v>
      </c>
      <c r="D784" s="6">
        <v>784.0</v>
      </c>
      <c r="E784" s="6">
        <v>3.50114363080305E14</v>
      </c>
      <c r="F784" s="6" t="s">
        <v>424</v>
      </c>
      <c r="G784" s="6" t="s">
        <v>103</v>
      </c>
      <c r="J784" s="6">
        <v>0.0</v>
      </c>
      <c r="L784" s="6">
        <v>0.0</v>
      </c>
      <c r="M784" s="6" t="s">
        <v>4261</v>
      </c>
      <c r="N784" s="6" t="s">
        <v>2626</v>
      </c>
      <c r="O784" s="6" t="s">
        <v>2626</v>
      </c>
    </row>
    <row r="785">
      <c r="A785" s="6" t="s">
        <v>1801</v>
      </c>
      <c r="B785" s="6" t="s">
        <v>1801</v>
      </c>
      <c r="C785" s="6" t="s">
        <v>4262</v>
      </c>
      <c r="D785" s="6">
        <v>785.0</v>
      </c>
      <c r="F785" s="6" t="s">
        <v>198</v>
      </c>
      <c r="G785" s="6" t="s">
        <v>26</v>
      </c>
      <c r="I785" s="6" t="s">
        <v>4248</v>
      </c>
      <c r="J785" s="6">
        <v>0.0</v>
      </c>
      <c r="L785" s="6">
        <v>2500.0</v>
      </c>
      <c r="M785" s="6" t="s">
        <v>4263</v>
      </c>
      <c r="N785" s="6" t="s">
        <v>2626</v>
      </c>
      <c r="O785" s="6" t="s">
        <v>2626</v>
      </c>
    </row>
    <row r="786">
      <c r="A786" s="6" t="s">
        <v>1803</v>
      </c>
      <c r="B786" s="6" t="s">
        <v>1803</v>
      </c>
      <c r="C786" s="6" t="s">
        <v>4264</v>
      </c>
      <c r="D786" s="6">
        <v>786.0</v>
      </c>
      <c r="F786" s="6" t="s">
        <v>424</v>
      </c>
      <c r="G786" s="6" t="s">
        <v>121</v>
      </c>
      <c r="J786" s="6">
        <v>0.0</v>
      </c>
      <c r="L786" s="6">
        <v>0.0</v>
      </c>
      <c r="M786" s="6" t="s">
        <v>4265</v>
      </c>
      <c r="N786" s="6" t="s">
        <v>2626</v>
      </c>
      <c r="O786" s="6" t="s">
        <v>2626</v>
      </c>
    </row>
    <row r="787">
      <c r="A787" s="6" t="s">
        <v>1804</v>
      </c>
      <c r="B787" s="6" t="s">
        <v>1804</v>
      </c>
      <c r="C787" s="6" t="s">
        <v>4266</v>
      </c>
      <c r="D787" s="6">
        <v>787.0</v>
      </c>
      <c r="E787" s="6" t="s">
        <v>195</v>
      </c>
      <c r="F787" s="6" t="s">
        <v>195</v>
      </c>
      <c r="G787" s="6" t="s">
        <v>195</v>
      </c>
      <c r="J787" s="6">
        <v>0.0</v>
      </c>
      <c r="L787" s="6">
        <v>0.0</v>
      </c>
      <c r="M787" s="6" t="s">
        <v>4267</v>
      </c>
      <c r="N787" s="6" t="s">
        <v>2626</v>
      </c>
      <c r="O787" s="6" t="s">
        <v>2626</v>
      </c>
    </row>
    <row r="788">
      <c r="A788" s="6" t="s">
        <v>1805</v>
      </c>
      <c r="B788" s="6" t="s">
        <v>1805</v>
      </c>
      <c r="C788" s="6" t="s">
        <v>4268</v>
      </c>
      <c r="D788" s="6">
        <v>788.0</v>
      </c>
      <c r="E788" s="6" t="s">
        <v>195</v>
      </c>
      <c r="F788" s="6" t="s">
        <v>195</v>
      </c>
      <c r="G788" s="6" t="s">
        <v>195</v>
      </c>
      <c r="J788" s="6">
        <v>0.0</v>
      </c>
      <c r="L788" s="6">
        <v>0.0</v>
      </c>
      <c r="M788" s="6" t="s">
        <v>4269</v>
      </c>
      <c r="N788" s="6" t="s">
        <v>2626</v>
      </c>
      <c r="O788" s="6" t="s">
        <v>2626</v>
      </c>
    </row>
    <row r="789">
      <c r="A789" s="6" t="s">
        <v>1806</v>
      </c>
      <c r="B789" s="6" t="s">
        <v>1806</v>
      </c>
      <c r="C789" s="6" t="s">
        <v>4270</v>
      </c>
      <c r="D789" s="6">
        <v>789.0</v>
      </c>
      <c r="E789" s="6" t="s">
        <v>195</v>
      </c>
      <c r="F789" s="6" t="s">
        <v>195</v>
      </c>
      <c r="G789" s="6" t="s">
        <v>195</v>
      </c>
      <c r="J789" s="6">
        <v>0.0</v>
      </c>
      <c r="L789" s="6">
        <v>0.0</v>
      </c>
      <c r="M789" s="6" t="s">
        <v>4271</v>
      </c>
      <c r="N789" s="6" t="s">
        <v>2626</v>
      </c>
      <c r="O789" s="6" t="s">
        <v>2626</v>
      </c>
    </row>
    <row r="790">
      <c r="A790" s="6" t="s">
        <v>1808</v>
      </c>
      <c r="B790" s="6" t="s">
        <v>1808</v>
      </c>
      <c r="C790" s="6" t="s">
        <v>4272</v>
      </c>
      <c r="D790" s="6">
        <v>790.0</v>
      </c>
      <c r="F790" s="6" t="s">
        <v>74</v>
      </c>
      <c r="G790" s="6" t="s">
        <v>26</v>
      </c>
      <c r="I790" s="6" t="s">
        <v>4273</v>
      </c>
      <c r="J790" s="6">
        <v>0.0</v>
      </c>
      <c r="L790" s="6">
        <v>2500.0</v>
      </c>
      <c r="M790" s="6" t="s">
        <v>4274</v>
      </c>
      <c r="N790" s="6" t="s">
        <v>2626</v>
      </c>
      <c r="O790" s="6" t="s">
        <v>2626</v>
      </c>
    </row>
    <row r="791">
      <c r="A791" s="6" t="s">
        <v>1809</v>
      </c>
      <c r="B791" s="6" t="s">
        <v>1809</v>
      </c>
      <c r="C791" s="6" t="s">
        <v>4275</v>
      </c>
      <c r="D791" s="6">
        <v>791.0</v>
      </c>
      <c r="E791" s="6" t="s">
        <v>285</v>
      </c>
      <c r="F791" s="6" t="s">
        <v>285</v>
      </c>
      <c r="G791" s="6" t="s">
        <v>285</v>
      </c>
      <c r="J791" s="6">
        <v>0.0</v>
      </c>
      <c r="L791" s="6">
        <v>0.0</v>
      </c>
      <c r="M791" s="6" t="s">
        <v>4276</v>
      </c>
      <c r="N791" s="6" t="s">
        <v>2626</v>
      </c>
      <c r="O791" s="6" t="s">
        <v>2626</v>
      </c>
    </row>
    <row r="792">
      <c r="A792" s="6" t="s">
        <v>1810</v>
      </c>
      <c r="B792" s="6" t="s">
        <v>1810</v>
      </c>
      <c r="C792" s="6" t="s">
        <v>4277</v>
      </c>
      <c r="D792" s="6">
        <v>792.0</v>
      </c>
      <c r="E792" s="6" t="s">
        <v>285</v>
      </c>
      <c r="F792" s="6" t="s">
        <v>140</v>
      </c>
      <c r="G792" s="6" t="s">
        <v>285</v>
      </c>
      <c r="J792" s="6">
        <v>0.0</v>
      </c>
      <c r="L792" s="6">
        <v>0.0</v>
      </c>
      <c r="M792" s="6" t="s">
        <v>4278</v>
      </c>
      <c r="N792" s="6" t="s">
        <v>2626</v>
      </c>
      <c r="O792" s="6" t="s">
        <v>2626</v>
      </c>
    </row>
    <row r="793">
      <c r="A793" s="6" t="s">
        <v>1811</v>
      </c>
      <c r="B793" s="6" t="s">
        <v>1811</v>
      </c>
      <c r="C793" s="6" t="s">
        <v>4279</v>
      </c>
      <c r="D793" s="6">
        <v>793.0</v>
      </c>
      <c r="E793" s="6" t="s">
        <v>285</v>
      </c>
      <c r="F793" s="6" t="s">
        <v>140</v>
      </c>
      <c r="G793" s="6" t="s">
        <v>285</v>
      </c>
      <c r="J793" s="6">
        <v>0.0</v>
      </c>
      <c r="L793" s="6">
        <v>0.0</v>
      </c>
      <c r="M793" s="6" t="s">
        <v>4280</v>
      </c>
      <c r="N793" s="6" t="s">
        <v>2626</v>
      </c>
      <c r="O793" s="6" t="s">
        <v>2626</v>
      </c>
    </row>
    <row r="794">
      <c r="A794" s="6" t="s">
        <v>1814</v>
      </c>
      <c r="B794" s="6" t="s">
        <v>1814</v>
      </c>
      <c r="C794" s="6" t="s">
        <v>4281</v>
      </c>
      <c r="D794" s="6">
        <v>794.0</v>
      </c>
      <c r="E794" s="6" t="s">
        <v>1813</v>
      </c>
      <c r="F794" s="6" t="s">
        <v>127</v>
      </c>
      <c r="G794" s="6" t="s">
        <v>26</v>
      </c>
      <c r="I794" s="6" t="s">
        <v>4273</v>
      </c>
      <c r="J794" s="6">
        <v>0.0</v>
      </c>
      <c r="L794" s="6">
        <v>180000.0</v>
      </c>
      <c r="M794" s="6" t="s">
        <v>4282</v>
      </c>
      <c r="N794" s="6" t="s">
        <v>2626</v>
      </c>
      <c r="O794" s="6" t="s">
        <v>2626</v>
      </c>
    </row>
    <row r="795">
      <c r="A795" s="6" t="s">
        <v>1817</v>
      </c>
      <c r="B795" s="6" t="s">
        <v>1817</v>
      </c>
      <c r="C795" s="6" t="s">
        <v>4283</v>
      </c>
      <c r="D795" s="6">
        <v>795.0</v>
      </c>
      <c r="E795" s="6">
        <v>3.54741550229463E14</v>
      </c>
      <c r="F795" s="6" t="s">
        <v>133</v>
      </c>
      <c r="G795" s="6" t="s">
        <v>103</v>
      </c>
      <c r="J795" s="6">
        <v>0.0</v>
      </c>
      <c r="L795" s="6">
        <v>0.0</v>
      </c>
      <c r="M795" s="6" t="s">
        <v>4284</v>
      </c>
      <c r="N795" s="6" t="s">
        <v>2626</v>
      </c>
      <c r="O795" s="6" t="s">
        <v>2626</v>
      </c>
    </row>
    <row r="796">
      <c r="A796" s="6" t="s">
        <v>1818</v>
      </c>
      <c r="B796" s="6" t="s">
        <v>1818</v>
      </c>
      <c r="C796" s="6" t="s">
        <v>4285</v>
      </c>
      <c r="D796" s="6">
        <v>796.0</v>
      </c>
      <c r="E796" s="6">
        <v>3.58355843220282E14</v>
      </c>
      <c r="F796" s="6" t="s">
        <v>874</v>
      </c>
      <c r="G796" s="6" t="s">
        <v>103</v>
      </c>
      <c r="J796" s="6">
        <v>0.0</v>
      </c>
      <c r="L796" s="6">
        <v>0.0</v>
      </c>
      <c r="M796" s="6" t="s">
        <v>4286</v>
      </c>
      <c r="N796" s="6" t="s">
        <v>2626</v>
      </c>
      <c r="O796" s="6" t="s">
        <v>2626</v>
      </c>
    </row>
    <row r="797">
      <c r="A797" s="6" t="s">
        <v>1820</v>
      </c>
      <c r="B797" s="6" t="s">
        <v>1820</v>
      </c>
      <c r="C797" s="6" t="s">
        <v>4287</v>
      </c>
      <c r="D797" s="6">
        <v>797.0</v>
      </c>
      <c r="F797" s="6" t="s">
        <v>54</v>
      </c>
      <c r="G797" s="6" t="s">
        <v>26</v>
      </c>
      <c r="I797" s="6" t="s">
        <v>4273</v>
      </c>
      <c r="J797" s="6">
        <v>0.0</v>
      </c>
      <c r="L797" s="6">
        <v>2500.0</v>
      </c>
      <c r="M797" s="6" t="s">
        <v>4288</v>
      </c>
      <c r="N797" s="6" t="s">
        <v>2626</v>
      </c>
      <c r="O797" s="6" t="s">
        <v>2626</v>
      </c>
    </row>
    <row r="798">
      <c r="A798" s="6" t="s">
        <v>1821</v>
      </c>
      <c r="B798" s="6" t="s">
        <v>1821</v>
      </c>
      <c r="C798" s="6" t="s">
        <v>4289</v>
      </c>
      <c r="D798" s="6">
        <v>798.0</v>
      </c>
      <c r="F798" s="6" t="s">
        <v>300</v>
      </c>
      <c r="G798" s="6" t="s">
        <v>121</v>
      </c>
      <c r="J798" s="6">
        <v>0.0</v>
      </c>
      <c r="L798" s="6">
        <v>0.0</v>
      </c>
      <c r="M798" s="6" t="s">
        <v>4290</v>
      </c>
      <c r="N798" s="6" t="s">
        <v>2626</v>
      </c>
      <c r="O798" s="6" t="s">
        <v>2626</v>
      </c>
    </row>
    <row r="799">
      <c r="A799" s="6" t="s">
        <v>1823</v>
      </c>
      <c r="B799" s="6" t="s">
        <v>1823</v>
      </c>
      <c r="C799" s="6" t="s">
        <v>4291</v>
      </c>
      <c r="D799" s="6">
        <v>799.0</v>
      </c>
      <c r="F799" s="6" t="s">
        <v>485</v>
      </c>
      <c r="G799" s="6" t="s">
        <v>26</v>
      </c>
      <c r="I799" s="6" t="s">
        <v>4273</v>
      </c>
      <c r="J799" s="6">
        <v>0.0</v>
      </c>
      <c r="L799" s="6">
        <v>3000.0</v>
      </c>
      <c r="M799" s="6" t="s">
        <v>4292</v>
      </c>
      <c r="N799" s="6" t="s">
        <v>2626</v>
      </c>
      <c r="O799" s="6" t="s">
        <v>2626</v>
      </c>
    </row>
    <row r="800">
      <c r="A800" s="6" t="s">
        <v>1825</v>
      </c>
      <c r="B800" s="6" t="s">
        <v>1825</v>
      </c>
      <c r="C800" s="6" t="s">
        <v>4293</v>
      </c>
      <c r="D800" s="6">
        <v>800.0</v>
      </c>
      <c r="F800" s="6" t="s">
        <v>364</v>
      </c>
      <c r="G800" s="6" t="s">
        <v>121</v>
      </c>
      <c r="J800" s="6">
        <v>0.0</v>
      </c>
      <c r="L800" s="6">
        <v>0.0</v>
      </c>
      <c r="M800" s="6" t="s">
        <v>4294</v>
      </c>
      <c r="N800" s="6" t="s">
        <v>2626</v>
      </c>
      <c r="O800" s="6" t="s">
        <v>2626</v>
      </c>
    </row>
    <row r="801">
      <c r="A801" s="6" t="s">
        <v>1827</v>
      </c>
      <c r="B801" s="6" t="s">
        <v>1827</v>
      </c>
      <c r="C801" s="6" t="s">
        <v>4295</v>
      </c>
      <c r="D801" s="6">
        <v>801.0</v>
      </c>
      <c r="E801" s="6">
        <v>3.58355843220282E14</v>
      </c>
      <c r="F801" s="6" t="s">
        <v>874</v>
      </c>
      <c r="G801" s="6" t="s">
        <v>103</v>
      </c>
      <c r="J801" s="6">
        <v>0.0</v>
      </c>
      <c r="L801" s="6">
        <v>0.0</v>
      </c>
      <c r="M801" s="6" t="s">
        <v>4296</v>
      </c>
      <c r="N801" s="6" t="s">
        <v>2626</v>
      </c>
      <c r="O801" s="6" t="s">
        <v>2626</v>
      </c>
    </row>
    <row r="802">
      <c r="A802" s="6" t="s">
        <v>1830</v>
      </c>
      <c r="B802" s="6" t="s">
        <v>1830</v>
      </c>
      <c r="C802" s="6" t="s">
        <v>4297</v>
      </c>
      <c r="D802" s="6">
        <v>802.0</v>
      </c>
      <c r="E802" s="6">
        <v>3.5334288655529E14</v>
      </c>
      <c r="F802" s="6" t="s">
        <v>1562</v>
      </c>
      <c r="G802" s="6" t="s">
        <v>26</v>
      </c>
      <c r="I802" s="6" t="s">
        <v>4273</v>
      </c>
      <c r="J802" s="6">
        <v>0.0</v>
      </c>
      <c r="L802" s="6">
        <v>240000.0</v>
      </c>
      <c r="M802" s="6" t="s">
        <v>4298</v>
      </c>
      <c r="N802" s="6" t="s">
        <v>2626</v>
      </c>
      <c r="O802" s="6" t="s">
        <v>2626</v>
      </c>
    </row>
    <row r="803">
      <c r="A803" s="6" t="s">
        <v>1833</v>
      </c>
      <c r="B803" s="6" t="s">
        <v>1833</v>
      </c>
      <c r="C803" s="6" t="s">
        <v>4299</v>
      </c>
      <c r="D803" s="6">
        <v>803.0</v>
      </c>
      <c r="E803" s="6">
        <v>3.59012141800617E14</v>
      </c>
      <c r="F803" s="6" t="s">
        <v>1831</v>
      </c>
      <c r="G803" s="6" t="s">
        <v>26</v>
      </c>
      <c r="I803" s="6" t="s">
        <v>4273</v>
      </c>
      <c r="J803" s="6">
        <v>0.0</v>
      </c>
      <c r="L803" s="6">
        <v>855000.0</v>
      </c>
      <c r="M803" s="6" t="s">
        <v>4300</v>
      </c>
      <c r="N803" s="6" t="s">
        <v>2626</v>
      </c>
      <c r="O803" s="6" t="s">
        <v>2626</v>
      </c>
    </row>
    <row r="804">
      <c r="A804" s="6" t="s">
        <v>1835</v>
      </c>
      <c r="B804" s="6" t="s">
        <v>1835</v>
      </c>
      <c r="C804" s="6" t="s">
        <v>4301</v>
      </c>
      <c r="D804" s="6">
        <v>804.0</v>
      </c>
      <c r="F804" s="6" t="s">
        <v>400</v>
      </c>
      <c r="G804" s="6" t="s">
        <v>26</v>
      </c>
      <c r="I804" s="6" t="s">
        <v>4273</v>
      </c>
      <c r="J804" s="6">
        <v>0.0</v>
      </c>
      <c r="L804" s="6">
        <v>3000.0</v>
      </c>
      <c r="M804" s="6" t="s">
        <v>4302</v>
      </c>
      <c r="N804" s="6" t="s">
        <v>2626</v>
      </c>
      <c r="O804" s="6" t="s">
        <v>2626</v>
      </c>
    </row>
    <row r="805">
      <c r="A805" s="6" t="s">
        <v>1836</v>
      </c>
      <c r="B805" s="6" t="s">
        <v>1836</v>
      </c>
      <c r="C805" s="6" t="s">
        <v>4303</v>
      </c>
      <c r="D805" s="6">
        <v>805.0</v>
      </c>
      <c r="E805" s="6">
        <v>3.54741550229463E14</v>
      </c>
      <c r="F805" s="6" t="s">
        <v>874</v>
      </c>
      <c r="G805" s="6" t="s">
        <v>103</v>
      </c>
      <c r="J805" s="6">
        <v>0.0</v>
      </c>
      <c r="L805" s="6">
        <v>0.0</v>
      </c>
      <c r="M805" s="6" t="s">
        <v>4304</v>
      </c>
      <c r="N805" s="6" t="s">
        <v>2626</v>
      </c>
      <c r="O805" s="6" t="s">
        <v>2626</v>
      </c>
    </row>
    <row r="806">
      <c r="A806" s="6" t="s">
        <v>1840</v>
      </c>
      <c r="B806" s="6" t="s">
        <v>1840</v>
      </c>
      <c r="C806" s="6" t="s">
        <v>4305</v>
      </c>
      <c r="D806" s="6">
        <v>806.0</v>
      </c>
      <c r="F806" s="6" t="s">
        <v>1837</v>
      </c>
      <c r="G806" s="6" t="s">
        <v>26</v>
      </c>
      <c r="I806" s="6" t="s">
        <v>4273</v>
      </c>
      <c r="J806" s="6">
        <v>0.0</v>
      </c>
      <c r="L806" s="6">
        <v>2500.0</v>
      </c>
      <c r="M806" s="6" t="s">
        <v>4306</v>
      </c>
      <c r="N806" s="6" t="s">
        <v>2626</v>
      </c>
      <c r="O806" s="6" t="s">
        <v>2626</v>
      </c>
    </row>
    <row r="807">
      <c r="A807" s="6" t="s">
        <v>1844</v>
      </c>
      <c r="B807" s="6" t="s">
        <v>1844</v>
      </c>
      <c r="C807" s="6" t="s">
        <v>4307</v>
      </c>
      <c r="D807" s="6">
        <v>807.0</v>
      </c>
      <c r="F807" s="6" t="s">
        <v>1841</v>
      </c>
      <c r="G807" s="6" t="s">
        <v>26</v>
      </c>
      <c r="I807" s="6" t="s">
        <v>4273</v>
      </c>
      <c r="J807" s="6">
        <v>0.0</v>
      </c>
      <c r="L807" s="6">
        <v>2500.0</v>
      </c>
      <c r="M807" s="6" t="s">
        <v>4308</v>
      </c>
      <c r="N807" s="6" t="s">
        <v>2626</v>
      </c>
      <c r="O807" s="6" t="s">
        <v>2626</v>
      </c>
    </row>
    <row r="808">
      <c r="A808" s="6" t="s">
        <v>1845</v>
      </c>
      <c r="B808" s="6" t="s">
        <v>1845</v>
      </c>
      <c r="C808" s="6" t="s">
        <v>4309</v>
      </c>
      <c r="D808" s="6">
        <v>808.0</v>
      </c>
      <c r="F808" s="6" t="s">
        <v>1759</v>
      </c>
      <c r="G808" s="6" t="s">
        <v>26</v>
      </c>
      <c r="I808" s="6" t="s">
        <v>4273</v>
      </c>
      <c r="J808" s="6">
        <v>0.0</v>
      </c>
      <c r="L808" s="6">
        <v>5000.0</v>
      </c>
      <c r="M808" s="6" t="s">
        <v>4310</v>
      </c>
      <c r="N808" s="6" t="s">
        <v>2626</v>
      </c>
      <c r="O808" s="6" t="s">
        <v>2626</v>
      </c>
    </row>
    <row r="809">
      <c r="A809" s="6" t="s">
        <v>1847</v>
      </c>
      <c r="B809" s="6" t="s">
        <v>1847</v>
      </c>
      <c r="C809" s="6" t="s">
        <v>4311</v>
      </c>
      <c r="D809" s="6">
        <v>809.0</v>
      </c>
      <c r="F809" s="6" t="s">
        <v>70</v>
      </c>
      <c r="G809" s="6" t="s">
        <v>26</v>
      </c>
      <c r="I809" s="6" t="s">
        <v>4273</v>
      </c>
      <c r="J809" s="6">
        <v>0.0</v>
      </c>
      <c r="L809" s="6">
        <v>2500.0</v>
      </c>
      <c r="M809" s="6" t="s">
        <v>4312</v>
      </c>
      <c r="N809" s="6" t="s">
        <v>2626</v>
      </c>
      <c r="O809" s="6" t="s">
        <v>2626</v>
      </c>
    </row>
    <row r="810">
      <c r="A810" s="6" t="s">
        <v>1849</v>
      </c>
      <c r="B810" s="6" t="s">
        <v>1849</v>
      </c>
      <c r="C810" s="6" t="s">
        <v>4313</v>
      </c>
      <c r="D810" s="6">
        <v>810.0</v>
      </c>
      <c r="F810" s="6" t="s">
        <v>78</v>
      </c>
      <c r="G810" s="6" t="s">
        <v>26</v>
      </c>
      <c r="I810" s="6" t="s">
        <v>4273</v>
      </c>
      <c r="J810" s="6">
        <v>0.0</v>
      </c>
      <c r="L810" s="6">
        <v>2500.0</v>
      </c>
      <c r="M810" s="6" t="s">
        <v>4314</v>
      </c>
      <c r="N810" s="6" t="s">
        <v>2626</v>
      </c>
      <c r="O810" s="6" t="s">
        <v>2626</v>
      </c>
    </row>
    <row r="811">
      <c r="A811" s="6" t="s">
        <v>1853</v>
      </c>
      <c r="B811" s="6" t="s">
        <v>1853</v>
      </c>
      <c r="C811" s="6" t="s">
        <v>4315</v>
      </c>
      <c r="D811" s="6">
        <v>811.0</v>
      </c>
      <c r="F811" s="6" t="s">
        <v>1850</v>
      </c>
      <c r="G811" s="6" t="s">
        <v>26</v>
      </c>
      <c r="I811" s="6" t="s">
        <v>4273</v>
      </c>
      <c r="J811" s="6">
        <v>0.0</v>
      </c>
      <c r="L811" s="6">
        <v>25000.0</v>
      </c>
      <c r="M811" s="6" t="s">
        <v>4316</v>
      </c>
      <c r="N811" s="6" t="s">
        <v>2626</v>
      </c>
      <c r="O811" s="6" t="s">
        <v>2626</v>
      </c>
    </row>
    <row r="812">
      <c r="A812" s="6" t="s">
        <v>1857</v>
      </c>
      <c r="B812" s="6" t="s">
        <v>1857</v>
      </c>
      <c r="C812" s="6" t="s">
        <v>4317</v>
      </c>
      <c r="D812" s="6">
        <v>812.0</v>
      </c>
      <c r="F812" s="6" t="s">
        <v>1854</v>
      </c>
      <c r="G812" s="6" t="s">
        <v>26</v>
      </c>
      <c r="I812" s="6" t="s">
        <v>4273</v>
      </c>
      <c r="J812" s="6">
        <v>0.0</v>
      </c>
      <c r="L812" s="6">
        <v>5000.0</v>
      </c>
      <c r="M812" s="6" t="s">
        <v>4318</v>
      </c>
      <c r="N812" s="6" t="s">
        <v>2626</v>
      </c>
      <c r="O812" s="6" t="s">
        <v>2626</v>
      </c>
    </row>
    <row r="813">
      <c r="A813" s="6" t="s">
        <v>1860</v>
      </c>
      <c r="B813" s="6" t="s">
        <v>1860</v>
      </c>
      <c r="C813" s="6" t="s">
        <v>4319</v>
      </c>
      <c r="D813" s="6">
        <v>813.0</v>
      </c>
      <c r="E813" s="6">
        <v>3.5506754871544E14</v>
      </c>
      <c r="F813" s="6" t="s">
        <v>386</v>
      </c>
      <c r="G813" s="6" t="s">
        <v>26</v>
      </c>
      <c r="I813" s="6" t="s">
        <v>4273</v>
      </c>
      <c r="J813" s="6">
        <v>0.0</v>
      </c>
      <c r="L813" s="6">
        <v>1100000.0</v>
      </c>
      <c r="M813" s="6" t="s">
        <v>4320</v>
      </c>
      <c r="N813" s="6" t="s">
        <v>2626</v>
      </c>
      <c r="O813" s="6" t="s">
        <v>2626</v>
      </c>
    </row>
    <row r="814">
      <c r="A814" s="6" t="s">
        <v>1862</v>
      </c>
      <c r="B814" s="6" t="s">
        <v>1862</v>
      </c>
      <c r="C814" s="6" t="s">
        <v>4321</v>
      </c>
      <c r="D814" s="6">
        <v>814.0</v>
      </c>
      <c r="F814" s="6" t="s">
        <v>418</v>
      </c>
      <c r="G814" s="6" t="s">
        <v>26</v>
      </c>
      <c r="I814" s="6" t="s">
        <v>4273</v>
      </c>
      <c r="J814" s="6">
        <v>0.0</v>
      </c>
      <c r="L814" s="6">
        <v>5000.0</v>
      </c>
      <c r="M814" s="6" t="s">
        <v>4322</v>
      </c>
      <c r="N814" s="6" t="s">
        <v>2626</v>
      </c>
      <c r="O814" s="6" t="s">
        <v>2626</v>
      </c>
    </row>
    <row r="815">
      <c r="A815" s="6" t="s">
        <v>1863</v>
      </c>
      <c r="B815" s="6" t="s">
        <v>1863</v>
      </c>
      <c r="C815" s="6" t="s">
        <v>4323</v>
      </c>
      <c r="D815" s="6">
        <v>815.0</v>
      </c>
      <c r="E815" s="6" t="s">
        <v>285</v>
      </c>
      <c r="F815" s="6" t="s">
        <v>140</v>
      </c>
      <c r="G815" s="6" t="s">
        <v>285</v>
      </c>
      <c r="J815" s="6">
        <v>0.0</v>
      </c>
      <c r="L815" s="6">
        <v>0.0</v>
      </c>
      <c r="M815" s="6" t="s">
        <v>4324</v>
      </c>
      <c r="N815" s="6" t="s">
        <v>2626</v>
      </c>
      <c r="O815" s="6" t="s">
        <v>2626</v>
      </c>
    </row>
    <row r="816">
      <c r="A816" s="6" t="s">
        <v>1864</v>
      </c>
      <c r="B816" s="6" t="s">
        <v>1864</v>
      </c>
      <c r="C816" s="6" t="s">
        <v>4325</v>
      </c>
      <c r="D816" s="6">
        <v>816.0</v>
      </c>
      <c r="E816" s="6" t="s">
        <v>285</v>
      </c>
      <c r="F816" s="6" t="s">
        <v>140</v>
      </c>
      <c r="G816" s="6" t="s">
        <v>285</v>
      </c>
      <c r="J816" s="6">
        <v>0.0</v>
      </c>
      <c r="L816" s="6">
        <v>0.0</v>
      </c>
      <c r="M816" s="6" t="s">
        <v>4326</v>
      </c>
      <c r="N816" s="6" t="s">
        <v>2626</v>
      </c>
      <c r="O816" s="6" t="s">
        <v>2626</v>
      </c>
    </row>
    <row r="817">
      <c r="A817" s="6" t="s">
        <v>1865</v>
      </c>
      <c r="B817" s="6" t="s">
        <v>1865</v>
      </c>
      <c r="C817" s="6" t="s">
        <v>4327</v>
      </c>
      <c r="D817" s="6">
        <v>817.0</v>
      </c>
      <c r="E817" s="6" t="s">
        <v>285</v>
      </c>
      <c r="F817" s="6" t="s">
        <v>140</v>
      </c>
      <c r="G817" s="6" t="s">
        <v>285</v>
      </c>
      <c r="J817" s="6">
        <v>0.0</v>
      </c>
      <c r="L817" s="6">
        <v>0.0</v>
      </c>
      <c r="M817" s="6" t="s">
        <v>4328</v>
      </c>
      <c r="N817" s="6" t="s">
        <v>2626</v>
      </c>
      <c r="O817" s="6" t="s">
        <v>2626</v>
      </c>
    </row>
    <row r="818">
      <c r="A818" s="6" t="s">
        <v>1867</v>
      </c>
      <c r="B818" s="6" t="s">
        <v>1867</v>
      </c>
      <c r="C818" s="6" t="s">
        <v>4329</v>
      </c>
      <c r="D818" s="6">
        <v>818.0</v>
      </c>
      <c r="E818" s="6">
        <v>3.58355843220282E14</v>
      </c>
      <c r="F818" s="6" t="s">
        <v>851</v>
      </c>
      <c r="G818" s="6" t="s">
        <v>26</v>
      </c>
      <c r="I818" s="6" t="s">
        <v>4330</v>
      </c>
      <c r="J818" s="6">
        <v>0.0</v>
      </c>
      <c r="L818" s="6">
        <v>560000.0</v>
      </c>
      <c r="M818" s="6" t="s">
        <v>4331</v>
      </c>
      <c r="N818" s="6" t="s">
        <v>2626</v>
      </c>
      <c r="O818" s="6" t="s">
        <v>2626</v>
      </c>
    </row>
    <row r="819">
      <c r="A819" s="6" t="s">
        <v>1869</v>
      </c>
      <c r="B819" s="6" t="s">
        <v>1869</v>
      </c>
      <c r="C819" s="6" t="s">
        <v>4332</v>
      </c>
      <c r="D819" s="6">
        <v>819.0</v>
      </c>
      <c r="F819" s="6" t="s">
        <v>306</v>
      </c>
      <c r="G819" s="6" t="s">
        <v>121</v>
      </c>
      <c r="J819" s="6">
        <v>0.0</v>
      </c>
      <c r="L819" s="6">
        <v>0.0</v>
      </c>
      <c r="M819" s="6" t="s">
        <v>4333</v>
      </c>
      <c r="N819" s="6" t="s">
        <v>2626</v>
      </c>
      <c r="O819" s="6" t="s">
        <v>2626</v>
      </c>
    </row>
    <row r="820">
      <c r="A820" s="6" t="s">
        <v>1872</v>
      </c>
      <c r="B820" s="6" t="s">
        <v>1872</v>
      </c>
      <c r="C820" s="6" t="s">
        <v>4334</v>
      </c>
      <c r="D820" s="6">
        <v>820.0</v>
      </c>
      <c r="E820" s="6">
        <v>3.5883894419047E14</v>
      </c>
      <c r="F820" s="6" t="s">
        <v>1870</v>
      </c>
      <c r="G820" s="6" t="s">
        <v>26</v>
      </c>
      <c r="I820" s="6" t="s">
        <v>4330</v>
      </c>
      <c r="J820" s="6">
        <v>0.0</v>
      </c>
      <c r="L820" s="6">
        <v>1100000.0</v>
      </c>
      <c r="M820" s="6" t="s">
        <v>4335</v>
      </c>
      <c r="N820" s="6" t="s">
        <v>2626</v>
      </c>
      <c r="O820" s="6" t="s">
        <v>2626</v>
      </c>
    </row>
    <row r="821">
      <c r="A821" s="6" t="s">
        <v>1873</v>
      </c>
      <c r="B821" s="6" t="s">
        <v>1873</v>
      </c>
      <c r="C821" s="6" t="s">
        <v>4336</v>
      </c>
      <c r="D821" s="6">
        <v>821.0</v>
      </c>
      <c r="E821" s="6" t="s">
        <v>285</v>
      </c>
      <c r="F821" s="6" t="s">
        <v>140</v>
      </c>
      <c r="G821" s="6" t="s">
        <v>285</v>
      </c>
      <c r="J821" s="6">
        <v>0.0</v>
      </c>
      <c r="L821" s="6">
        <v>0.0</v>
      </c>
      <c r="M821" s="6" t="s">
        <v>4337</v>
      </c>
      <c r="N821" s="6" t="s">
        <v>2626</v>
      </c>
      <c r="O821" s="6" t="s">
        <v>2626</v>
      </c>
    </row>
    <row r="822">
      <c r="A822" s="6" t="s">
        <v>1874</v>
      </c>
      <c r="B822" s="6" t="s">
        <v>1874</v>
      </c>
      <c r="C822" s="6" t="s">
        <v>4338</v>
      </c>
      <c r="D822" s="6">
        <v>822.0</v>
      </c>
      <c r="E822" s="6" t="s">
        <v>285</v>
      </c>
      <c r="F822" s="6" t="s">
        <v>140</v>
      </c>
      <c r="G822" s="6" t="s">
        <v>285</v>
      </c>
      <c r="J822" s="6">
        <v>0.0</v>
      </c>
      <c r="L822" s="6">
        <v>0.0</v>
      </c>
      <c r="M822" s="6" t="s">
        <v>4339</v>
      </c>
      <c r="N822" s="6" t="s">
        <v>2626</v>
      </c>
      <c r="O822" s="6" t="s">
        <v>2626</v>
      </c>
    </row>
    <row r="823">
      <c r="A823" s="6" t="s">
        <v>1875</v>
      </c>
      <c r="B823" s="6" t="s">
        <v>1875</v>
      </c>
      <c r="C823" s="6" t="s">
        <v>4340</v>
      </c>
      <c r="D823" s="6">
        <v>823.0</v>
      </c>
      <c r="E823" s="6" t="s">
        <v>285</v>
      </c>
      <c r="F823" s="6" t="s">
        <v>140</v>
      </c>
      <c r="G823" s="6" t="s">
        <v>285</v>
      </c>
      <c r="J823" s="6">
        <v>0.0</v>
      </c>
      <c r="L823" s="6">
        <v>0.0</v>
      </c>
      <c r="M823" s="6" t="s">
        <v>4341</v>
      </c>
      <c r="N823" s="6" t="s">
        <v>2626</v>
      </c>
      <c r="O823" s="6" t="s">
        <v>2626</v>
      </c>
    </row>
    <row r="824">
      <c r="A824" s="6" t="s">
        <v>1878</v>
      </c>
      <c r="B824" s="6" t="s">
        <v>1878</v>
      </c>
      <c r="C824" s="6" t="s">
        <v>4342</v>
      </c>
      <c r="D824" s="6">
        <v>824.0</v>
      </c>
      <c r="F824" s="6" t="s">
        <v>1876</v>
      </c>
      <c r="G824" s="6" t="s">
        <v>26</v>
      </c>
      <c r="I824" s="6" t="s">
        <v>4330</v>
      </c>
      <c r="J824" s="6">
        <v>0.0</v>
      </c>
      <c r="L824" s="6">
        <v>4000.0</v>
      </c>
      <c r="M824" s="6" t="s">
        <v>4343</v>
      </c>
      <c r="N824" s="6" t="s">
        <v>2626</v>
      </c>
      <c r="O824" s="6" t="s">
        <v>2626</v>
      </c>
    </row>
    <row r="825">
      <c r="A825" s="6" t="s">
        <v>1882</v>
      </c>
      <c r="B825" s="6" t="s">
        <v>1882</v>
      </c>
      <c r="C825" s="6" t="s">
        <v>4344</v>
      </c>
      <c r="D825" s="6">
        <v>825.0</v>
      </c>
      <c r="F825" s="6" t="s">
        <v>1879</v>
      </c>
      <c r="G825" s="6" t="s">
        <v>26</v>
      </c>
      <c r="I825" s="6" t="s">
        <v>4330</v>
      </c>
      <c r="J825" s="6">
        <v>0.0</v>
      </c>
      <c r="L825" s="6">
        <v>5000.0</v>
      </c>
      <c r="M825" s="6" t="s">
        <v>4345</v>
      </c>
      <c r="N825" s="6" t="s">
        <v>2626</v>
      </c>
      <c r="O825" s="6" t="s">
        <v>2626</v>
      </c>
    </row>
    <row r="826">
      <c r="A826" s="6" t="s">
        <v>1884</v>
      </c>
      <c r="B826" s="6" t="s">
        <v>1884</v>
      </c>
      <c r="C826" s="6" t="s">
        <v>4346</v>
      </c>
      <c r="D826" s="6">
        <v>826.0</v>
      </c>
      <c r="F826" s="6" t="s">
        <v>1782</v>
      </c>
      <c r="G826" s="6" t="s">
        <v>26</v>
      </c>
      <c r="I826" s="6" t="s">
        <v>4330</v>
      </c>
      <c r="J826" s="6">
        <v>0.0</v>
      </c>
      <c r="L826" s="6">
        <v>2500.0</v>
      </c>
      <c r="M826" s="6" t="s">
        <v>4347</v>
      </c>
      <c r="N826" s="6" t="s">
        <v>2626</v>
      </c>
      <c r="O826" s="6" t="s">
        <v>2626</v>
      </c>
    </row>
    <row r="827">
      <c r="A827" s="6" t="s">
        <v>1886</v>
      </c>
      <c r="B827" s="6" t="s">
        <v>1886</v>
      </c>
      <c r="C827" s="6" t="s">
        <v>4348</v>
      </c>
      <c r="D827" s="6">
        <v>827.0</v>
      </c>
      <c r="F827" s="6" t="s">
        <v>1782</v>
      </c>
      <c r="G827" s="6" t="s">
        <v>26</v>
      </c>
      <c r="I827" s="6" t="s">
        <v>4330</v>
      </c>
      <c r="J827" s="6">
        <v>0.0</v>
      </c>
      <c r="L827" s="6">
        <v>2500.0</v>
      </c>
      <c r="M827" s="6" t="s">
        <v>4349</v>
      </c>
      <c r="N827" s="6" t="s">
        <v>2626</v>
      </c>
      <c r="O827" s="6" t="s">
        <v>2626</v>
      </c>
    </row>
    <row r="828">
      <c r="A828" s="6" t="s">
        <v>1888</v>
      </c>
      <c r="B828" s="6" t="s">
        <v>1888</v>
      </c>
      <c r="C828" s="6" t="s">
        <v>4350</v>
      </c>
      <c r="D828" s="6">
        <v>828.0</v>
      </c>
      <c r="F828" s="6" t="s">
        <v>1782</v>
      </c>
      <c r="G828" s="6" t="s">
        <v>26</v>
      </c>
      <c r="I828" s="6" t="s">
        <v>4330</v>
      </c>
      <c r="J828" s="6">
        <v>0.0</v>
      </c>
      <c r="L828" s="6">
        <v>2500.0</v>
      </c>
      <c r="M828" s="6" t="s">
        <v>4351</v>
      </c>
      <c r="N828" s="6" t="s">
        <v>2626</v>
      </c>
      <c r="O828" s="6" t="s">
        <v>2626</v>
      </c>
    </row>
    <row r="829">
      <c r="A829" s="6" t="s">
        <v>1890</v>
      </c>
      <c r="B829" s="6" t="s">
        <v>1890</v>
      </c>
      <c r="C829" s="6" t="s">
        <v>4352</v>
      </c>
      <c r="D829" s="6">
        <v>829.0</v>
      </c>
      <c r="F829" s="6" t="s">
        <v>1154</v>
      </c>
      <c r="G829" s="6" t="s">
        <v>121</v>
      </c>
      <c r="J829" s="6">
        <v>0.0</v>
      </c>
      <c r="L829" s="6">
        <v>0.0</v>
      </c>
      <c r="M829" s="6" t="s">
        <v>4353</v>
      </c>
      <c r="N829" s="6" t="s">
        <v>2626</v>
      </c>
      <c r="O829" s="6" t="s">
        <v>2626</v>
      </c>
    </row>
    <row r="830">
      <c r="A830" s="6" t="s">
        <v>1892</v>
      </c>
      <c r="B830" s="6" t="s">
        <v>1892</v>
      </c>
      <c r="C830" s="6" t="s">
        <v>4354</v>
      </c>
      <c r="D830" s="6">
        <v>830.0</v>
      </c>
      <c r="F830" s="6" t="s">
        <v>620</v>
      </c>
      <c r="G830" s="6" t="s">
        <v>26</v>
      </c>
      <c r="I830" s="6" t="s">
        <v>4330</v>
      </c>
      <c r="J830" s="6">
        <v>0.0</v>
      </c>
      <c r="L830" s="6">
        <v>3000.0</v>
      </c>
      <c r="M830" s="6" t="s">
        <v>4355</v>
      </c>
      <c r="N830" s="6" t="s">
        <v>2626</v>
      </c>
      <c r="O830" s="6" t="s">
        <v>2626</v>
      </c>
    </row>
    <row r="831">
      <c r="A831" s="6" t="s">
        <v>1893</v>
      </c>
      <c r="B831" s="6" t="s">
        <v>1893</v>
      </c>
      <c r="C831" s="6" t="s">
        <v>4356</v>
      </c>
      <c r="D831" s="6">
        <v>831.0</v>
      </c>
      <c r="E831" s="6" t="s">
        <v>285</v>
      </c>
      <c r="F831" s="6" t="s">
        <v>140</v>
      </c>
      <c r="G831" s="6" t="s">
        <v>285</v>
      </c>
      <c r="J831" s="6">
        <v>0.0</v>
      </c>
      <c r="L831" s="6">
        <v>0.0</v>
      </c>
      <c r="M831" s="6" t="s">
        <v>4357</v>
      </c>
      <c r="N831" s="6" t="s">
        <v>2626</v>
      </c>
      <c r="O831" s="6" t="s">
        <v>2626</v>
      </c>
    </row>
    <row r="832">
      <c r="A832" s="6" t="s">
        <v>1894</v>
      </c>
      <c r="B832" s="6" t="s">
        <v>1894</v>
      </c>
      <c r="C832" s="6" t="s">
        <v>4358</v>
      </c>
      <c r="D832" s="6">
        <v>832.0</v>
      </c>
      <c r="E832" s="6" t="s">
        <v>285</v>
      </c>
      <c r="F832" s="6" t="s">
        <v>140</v>
      </c>
      <c r="G832" s="6" t="s">
        <v>285</v>
      </c>
      <c r="J832" s="6">
        <v>0.0</v>
      </c>
      <c r="L832" s="6">
        <v>0.0</v>
      </c>
      <c r="M832" s="6" t="s">
        <v>4359</v>
      </c>
      <c r="N832" s="6" t="s">
        <v>2626</v>
      </c>
      <c r="O832" s="6" t="s">
        <v>2626</v>
      </c>
    </row>
    <row r="833">
      <c r="A833" s="6" t="s">
        <v>1895</v>
      </c>
      <c r="B833" s="6" t="s">
        <v>1895</v>
      </c>
      <c r="C833" s="6" t="s">
        <v>4360</v>
      </c>
      <c r="D833" s="6">
        <v>833.0</v>
      </c>
      <c r="E833" s="6" t="s">
        <v>285</v>
      </c>
      <c r="F833" s="6" t="s">
        <v>140</v>
      </c>
      <c r="G833" s="6" t="s">
        <v>285</v>
      </c>
      <c r="J833" s="6">
        <v>0.0</v>
      </c>
      <c r="L833" s="6">
        <v>0.0</v>
      </c>
      <c r="M833" s="6" t="s">
        <v>4361</v>
      </c>
      <c r="N833" s="6" t="s">
        <v>2626</v>
      </c>
      <c r="O833" s="6" t="s">
        <v>2626</v>
      </c>
    </row>
    <row r="834">
      <c r="A834" s="6" t="s">
        <v>1897</v>
      </c>
      <c r="B834" s="6" t="s">
        <v>1897</v>
      </c>
      <c r="C834" s="6" t="s">
        <v>4362</v>
      </c>
      <c r="D834" s="6">
        <v>834.0</v>
      </c>
      <c r="E834" s="6">
        <v>3.56478843889559E14</v>
      </c>
      <c r="F834" s="6" t="s">
        <v>1782</v>
      </c>
      <c r="G834" s="6" t="s">
        <v>481</v>
      </c>
      <c r="J834" s="6">
        <v>0.0</v>
      </c>
      <c r="L834" s="6">
        <v>0.0</v>
      </c>
      <c r="M834" s="6" t="s">
        <v>4363</v>
      </c>
      <c r="N834" s="6" t="s">
        <v>2626</v>
      </c>
      <c r="O834" s="6" t="s">
        <v>2626</v>
      </c>
    </row>
    <row r="835">
      <c r="A835" s="6" t="s">
        <v>1899</v>
      </c>
      <c r="B835" s="6" t="s">
        <v>1899</v>
      </c>
      <c r="C835" s="6" t="s">
        <v>4364</v>
      </c>
      <c r="D835" s="6">
        <v>835.0</v>
      </c>
      <c r="F835" s="6" t="s">
        <v>23</v>
      </c>
      <c r="G835" s="6" t="s">
        <v>121</v>
      </c>
      <c r="J835" s="6">
        <v>0.0</v>
      </c>
      <c r="L835" s="6">
        <v>0.0</v>
      </c>
      <c r="M835" s="6" t="s">
        <v>4365</v>
      </c>
      <c r="N835" s="6" t="s">
        <v>2626</v>
      </c>
      <c r="O835" s="6" t="s">
        <v>2626</v>
      </c>
    </row>
    <row r="836">
      <c r="A836" s="6" t="s">
        <v>1901</v>
      </c>
      <c r="B836" s="6" t="s">
        <v>1901</v>
      </c>
      <c r="C836" s="6" t="s">
        <v>4366</v>
      </c>
      <c r="D836" s="6">
        <v>836.0</v>
      </c>
      <c r="F836" s="6" t="s">
        <v>620</v>
      </c>
      <c r="G836" s="6" t="s">
        <v>26</v>
      </c>
      <c r="I836" s="6" t="s">
        <v>4367</v>
      </c>
      <c r="J836" s="6">
        <v>0.0</v>
      </c>
      <c r="L836" s="6">
        <v>3000.0</v>
      </c>
      <c r="M836" s="6" t="s">
        <v>4368</v>
      </c>
      <c r="N836" s="6" t="s">
        <v>2626</v>
      </c>
      <c r="O836" s="6" t="s">
        <v>2626</v>
      </c>
    </row>
    <row r="837">
      <c r="A837" s="6" t="s">
        <v>1903</v>
      </c>
      <c r="B837" s="6" t="s">
        <v>1903</v>
      </c>
      <c r="C837" s="6" t="s">
        <v>4369</v>
      </c>
      <c r="D837" s="6">
        <v>837.0</v>
      </c>
      <c r="F837" s="6" t="s">
        <v>664</v>
      </c>
      <c r="G837" s="6" t="s">
        <v>26</v>
      </c>
      <c r="I837" s="6" t="s">
        <v>4367</v>
      </c>
      <c r="J837" s="6">
        <v>0.0</v>
      </c>
      <c r="L837" s="6">
        <v>130000.0</v>
      </c>
      <c r="M837" s="6" t="s">
        <v>4370</v>
      </c>
      <c r="N837" s="6" t="s">
        <v>2626</v>
      </c>
      <c r="O837" s="6" t="s">
        <v>2626</v>
      </c>
    </row>
    <row r="838">
      <c r="A838" s="6" t="s">
        <v>1905</v>
      </c>
      <c r="B838" s="6" t="s">
        <v>1905</v>
      </c>
      <c r="C838" s="6" t="s">
        <v>4371</v>
      </c>
      <c r="D838" s="6">
        <v>838.0</v>
      </c>
      <c r="F838" s="6" t="s">
        <v>408</v>
      </c>
      <c r="G838" s="6" t="s">
        <v>121</v>
      </c>
      <c r="J838" s="6">
        <v>0.0</v>
      </c>
      <c r="L838" s="6">
        <v>0.0</v>
      </c>
      <c r="M838" s="6" t="s">
        <v>4372</v>
      </c>
      <c r="N838" s="6" t="s">
        <v>2626</v>
      </c>
      <c r="O838" s="6" t="s">
        <v>2626</v>
      </c>
    </row>
    <row r="839">
      <c r="A839" s="6" t="s">
        <v>1908</v>
      </c>
      <c r="B839" s="6" t="s">
        <v>1908</v>
      </c>
      <c r="C839" s="6" t="s">
        <v>4373</v>
      </c>
      <c r="D839" s="6">
        <v>839.0</v>
      </c>
      <c r="F839" s="6" t="s">
        <v>1906</v>
      </c>
      <c r="G839" s="6" t="s">
        <v>26</v>
      </c>
      <c r="I839" s="6" t="s">
        <v>4367</v>
      </c>
      <c r="J839" s="6">
        <v>0.0</v>
      </c>
      <c r="L839" s="6">
        <v>5000.0</v>
      </c>
      <c r="M839" s="6" t="s">
        <v>4374</v>
      </c>
      <c r="N839" s="6" t="s">
        <v>2626</v>
      </c>
      <c r="O839" s="6" t="s">
        <v>2626</v>
      </c>
    </row>
    <row r="840">
      <c r="A840" s="6" t="s">
        <v>1910</v>
      </c>
      <c r="B840" s="6" t="s">
        <v>1910</v>
      </c>
      <c r="C840" s="6" t="s">
        <v>4375</v>
      </c>
      <c r="D840" s="6">
        <v>840.0</v>
      </c>
      <c r="F840" s="6" t="s">
        <v>855</v>
      </c>
      <c r="G840" s="6" t="s">
        <v>26</v>
      </c>
      <c r="I840" s="6" t="s">
        <v>4367</v>
      </c>
      <c r="J840" s="6">
        <v>0.0</v>
      </c>
      <c r="L840" s="6">
        <v>55000.0</v>
      </c>
      <c r="M840" s="6" t="s">
        <v>4376</v>
      </c>
      <c r="N840" s="6" t="s">
        <v>2626</v>
      </c>
      <c r="O840" s="6" t="s">
        <v>2626</v>
      </c>
    </row>
    <row r="841">
      <c r="A841" s="6" t="s">
        <v>1912</v>
      </c>
      <c r="B841" s="6" t="s">
        <v>1912</v>
      </c>
      <c r="C841" s="6" t="s">
        <v>4377</v>
      </c>
      <c r="D841" s="6">
        <v>841.0</v>
      </c>
      <c r="F841" s="6" t="s">
        <v>93</v>
      </c>
      <c r="G841" s="6" t="s">
        <v>26</v>
      </c>
      <c r="I841" s="6" t="s">
        <v>4367</v>
      </c>
      <c r="J841" s="6">
        <v>0.0</v>
      </c>
      <c r="L841" s="6">
        <v>2500.0</v>
      </c>
      <c r="M841" s="6" t="s">
        <v>4378</v>
      </c>
      <c r="N841" s="6" t="s">
        <v>2626</v>
      </c>
      <c r="O841" s="6" t="s">
        <v>2626</v>
      </c>
    </row>
    <row r="842">
      <c r="A842" s="6" t="s">
        <v>1916</v>
      </c>
      <c r="B842" s="6" t="s">
        <v>1916</v>
      </c>
      <c r="C842" s="6" t="s">
        <v>4379</v>
      </c>
      <c r="D842" s="6">
        <v>842.0</v>
      </c>
      <c r="F842" s="6" t="s">
        <v>1913</v>
      </c>
      <c r="G842" s="6" t="s">
        <v>26</v>
      </c>
      <c r="I842" s="6" t="s">
        <v>4367</v>
      </c>
      <c r="J842" s="6">
        <v>0.0</v>
      </c>
      <c r="L842" s="6">
        <v>35000.0</v>
      </c>
      <c r="M842" s="6" t="s">
        <v>4380</v>
      </c>
      <c r="N842" s="6" t="s">
        <v>2626</v>
      </c>
      <c r="O842" s="6" t="s">
        <v>2626</v>
      </c>
    </row>
    <row r="843">
      <c r="A843" s="6" t="s">
        <v>1918</v>
      </c>
      <c r="B843" s="6" t="s">
        <v>1918</v>
      </c>
      <c r="C843" s="6" t="s">
        <v>4381</v>
      </c>
      <c r="D843" s="6">
        <v>843.0</v>
      </c>
      <c r="F843" s="6" t="s">
        <v>1691</v>
      </c>
      <c r="G843" s="6" t="s">
        <v>121</v>
      </c>
      <c r="J843" s="6">
        <v>0.0</v>
      </c>
      <c r="L843" s="6">
        <v>0.0</v>
      </c>
      <c r="M843" s="6" t="s">
        <v>4382</v>
      </c>
      <c r="N843" s="6" t="s">
        <v>2626</v>
      </c>
      <c r="O843" s="6" t="s">
        <v>2626</v>
      </c>
    </row>
    <row r="844">
      <c r="A844" s="6" t="s">
        <v>1920</v>
      </c>
      <c r="B844" s="6" t="s">
        <v>1920</v>
      </c>
      <c r="C844" s="6" t="s">
        <v>4383</v>
      </c>
      <c r="D844" s="6">
        <v>844.0</v>
      </c>
      <c r="F844" s="6" t="s">
        <v>50</v>
      </c>
      <c r="G844" s="6" t="s">
        <v>121</v>
      </c>
      <c r="J844" s="6">
        <v>0.0</v>
      </c>
      <c r="L844" s="6">
        <v>0.0</v>
      </c>
      <c r="M844" s="6" t="s">
        <v>4384</v>
      </c>
      <c r="N844" s="6" t="s">
        <v>2626</v>
      </c>
      <c r="O844" s="6" t="s">
        <v>2626</v>
      </c>
    </row>
    <row r="845">
      <c r="A845" s="6" t="s">
        <v>1922</v>
      </c>
      <c r="B845" s="6" t="s">
        <v>1922</v>
      </c>
      <c r="C845" s="6" t="s">
        <v>4385</v>
      </c>
      <c r="D845" s="6">
        <v>845.0</v>
      </c>
      <c r="F845" s="6" t="s">
        <v>1340</v>
      </c>
      <c r="G845" s="6" t="s">
        <v>26</v>
      </c>
      <c r="I845" s="6" t="s">
        <v>4367</v>
      </c>
      <c r="J845" s="6">
        <v>0.0</v>
      </c>
      <c r="L845" s="6">
        <v>2500.0</v>
      </c>
      <c r="M845" s="6" t="s">
        <v>4386</v>
      </c>
      <c r="N845" s="6" t="s">
        <v>2626</v>
      </c>
      <c r="O845" s="6" t="s">
        <v>2626</v>
      </c>
    </row>
    <row r="846">
      <c r="A846" s="6" t="s">
        <v>1924</v>
      </c>
      <c r="B846" s="6" t="s">
        <v>1924</v>
      </c>
      <c r="C846" s="6" t="s">
        <v>4387</v>
      </c>
      <c r="D846" s="6">
        <v>846.0</v>
      </c>
      <c r="F846" s="6" t="s">
        <v>64</v>
      </c>
      <c r="G846" s="6" t="s">
        <v>26</v>
      </c>
      <c r="I846" s="6" t="s">
        <v>4367</v>
      </c>
      <c r="J846" s="6">
        <v>0.0</v>
      </c>
      <c r="L846" s="6">
        <v>2000.0</v>
      </c>
      <c r="M846" s="6" t="s">
        <v>4388</v>
      </c>
      <c r="N846" s="6" t="s">
        <v>2626</v>
      </c>
      <c r="O846" s="6" t="s">
        <v>2626</v>
      </c>
    </row>
    <row r="847">
      <c r="A847" s="6" t="s">
        <v>1925</v>
      </c>
      <c r="B847" s="6" t="s">
        <v>1925</v>
      </c>
      <c r="C847" s="6" t="s">
        <v>4389</v>
      </c>
      <c r="D847" s="6">
        <v>847.0</v>
      </c>
      <c r="F847" s="6" t="s">
        <v>400</v>
      </c>
      <c r="G847" s="6" t="s">
        <v>121</v>
      </c>
      <c r="J847" s="6">
        <v>0.0</v>
      </c>
      <c r="L847" s="6">
        <v>0.0</v>
      </c>
      <c r="M847" s="6" t="s">
        <v>4390</v>
      </c>
      <c r="N847" s="6" t="s">
        <v>2626</v>
      </c>
      <c r="O847" s="6" t="s">
        <v>2626</v>
      </c>
    </row>
    <row r="848">
      <c r="A848" s="6" t="s">
        <v>1926</v>
      </c>
      <c r="B848" s="6" t="s">
        <v>1926</v>
      </c>
      <c r="C848" s="6" t="s">
        <v>4391</v>
      </c>
      <c r="D848" s="6">
        <v>848.0</v>
      </c>
      <c r="E848" s="6" t="s">
        <v>285</v>
      </c>
      <c r="F848" s="6" t="s">
        <v>140</v>
      </c>
      <c r="G848" s="6" t="s">
        <v>285</v>
      </c>
      <c r="J848" s="6">
        <v>0.0</v>
      </c>
      <c r="L848" s="6">
        <v>0.0</v>
      </c>
      <c r="M848" s="6" t="s">
        <v>4392</v>
      </c>
      <c r="N848" s="6" t="s">
        <v>2626</v>
      </c>
      <c r="O848" s="6" t="s">
        <v>2626</v>
      </c>
    </row>
    <row r="849">
      <c r="A849" s="6" t="s">
        <v>1927</v>
      </c>
      <c r="B849" s="6" t="s">
        <v>1927</v>
      </c>
      <c r="C849" s="6" t="s">
        <v>4393</v>
      </c>
      <c r="D849" s="6">
        <v>849.0</v>
      </c>
      <c r="E849" s="6" t="s">
        <v>285</v>
      </c>
      <c r="F849" s="6" t="s">
        <v>285</v>
      </c>
      <c r="G849" s="6" t="s">
        <v>285</v>
      </c>
      <c r="J849" s="6">
        <v>0.0</v>
      </c>
      <c r="L849" s="6">
        <v>0.0</v>
      </c>
      <c r="M849" s="6" t="s">
        <v>4394</v>
      </c>
      <c r="N849" s="6" t="s">
        <v>2626</v>
      </c>
      <c r="O849" s="6" t="s">
        <v>2626</v>
      </c>
    </row>
    <row r="850">
      <c r="A850" s="6" t="s">
        <v>1928</v>
      </c>
      <c r="B850" s="6" t="s">
        <v>1928</v>
      </c>
      <c r="C850" s="6" t="s">
        <v>4395</v>
      </c>
      <c r="D850" s="6">
        <v>850.0</v>
      </c>
      <c r="E850" s="6" t="s">
        <v>285</v>
      </c>
      <c r="F850" s="6" t="s">
        <v>285</v>
      </c>
      <c r="G850" s="6" t="s">
        <v>285</v>
      </c>
      <c r="J850" s="6">
        <v>0.0</v>
      </c>
      <c r="L850" s="6">
        <v>0.0</v>
      </c>
      <c r="M850" s="6" t="s">
        <v>4396</v>
      </c>
      <c r="N850" s="6" t="s">
        <v>2626</v>
      </c>
      <c r="O850" s="6" t="s">
        <v>2626</v>
      </c>
    </row>
    <row r="851">
      <c r="A851" s="6" t="s">
        <v>1931</v>
      </c>
      <c r="B851" s="6" t="s">
        <v>1931</v>
      </c>
      <c r="C851" s="6" t="s">
        <v>4397</v>
      </c>
      <c r="D851" s="6">
        <v>851.0</v>
      </c>
      <c r="E851" s="6">
        <v>3.51188229101645E14</v>
      </c>
      <c r="F851" s="6" t="s">
        <v>108</v>
      </c>
      <c r="G851" s="6" t="s">
        <v>26</v>
      </c>
      <c r="I851" s="6" t="s">
        <v>4367</v>
      </c>
      <c r="J851" s="6">
        <v>0.0</v>
      </c>
      <c r="L851" s="6">
        <v>650000.0</v>
      </c>
      <c r="M851" s="6" t="s">
        <v>4398</v>
      </c>
      <c r="N851" s="6" t="s">
        <v>2626</v>
      </c>
      <c r="O851" s="6" t="s">
        <v>2626</v>
      </c>
    </row>
    <row r="852">
      <c r="A852" s="6" t="s">
        <v>1933</v>
      </c>
      <c r="B852" s="6" t="s">
        <v>1933</v>
      </c>
      <c r="C852" s="6" t="s">
        <v>4399</v>
      </c>
      <c r="D852" s="6">
        <v>852.0</v>
      </c>
      <c r="E852" s="6">
        <v>3.50114363080305E14</v>
      </c>
      <c r="F852" s="6" t="s">
        <v>948</v>
      </c>
      <c r="G852" s="6" t="s">
        <v>103</v>
      </c>
      <c r="J852" s="6">
        <v>0.0</v>
      </c>
      <c r="L852" s="6">
        <v>0.0</v>
      </c>
      <c r="M852" s="6" t="s">
        <v>4400</v>
      </c>
      <c r="N852" s="6" t="s">
        <v>2626</v>
      </c>
      <c r="O852" s="6" t="s">
        <v>2626</v>
      </c>
    </row>
    <row r="853">
      <c r="A853" s="6" t="s">
        <v>1934</v>
      </c>
      <c r="B853" s="6" t="s">
        <v>1934</v>
      </c>
      <c r="C853" s="6" t="s">
        <v>4401</v>
      </c>
      <c r="D853" s="6">
        <v>853.0</v>
      </c>
      <c r="E853" s="6" t="s">
        <v>285</v>
      </c>
      <c r="F853" s="6" t="s">
        <v>140</v>
      </c>
      <c r="G853" s="6" t="s">
        <v>285</v>
      </c>
      <c r="J853" s="6">
        <v>0.0</v>
      </c>
      <c r="L853" s="6">
        <v>0.0</v>
      </c>
      <c r="M853" s="6" t="s">
        <v>4402</v>
      </c>
      <c r="N853" s="6" t="s">
        <v>2626</v>
      </c>
      <c r="O853" s="6" t="s">
        <v>2626</v>
      </c>
    </row>
    <row r="854">
      <c r="A854" s="6" t="s">
        <v>1935</v>
      </c>
      <c r="B854" s="6" t="s">
        <v>1935</v>
      </c>
      <c r="C854" s="6" t="s">
        <v>4403</v>
      </c>
      <c r="D854" s="6">
        <v>854.0</v>
      </c>
      <c r="E854" s="6" t="s">
        <v>285</v>
      </c>
      <c r="F854" s="6" t="s">
        <v>140</v>
      </c>
      <c r="G854" s="6" t="s">
        <v>285</v>
      </c>
      <c r="J854" s="6">
        <v>0.0</v>
      </c>
      <c r="L854" s="6">
        <v>0.0</v>
      </c>
      <c r="M854" s="6" t="s">
        <v>4404</v>
      </c>
      <c r="N854" s="6" t="s">
        <v>2626</v>
      </c>
      <c r="O854" s="6" t="s">
        <v>2626</v>
      </c>
    </row>
    <row r="855">
      <c r="A855" s="6" t="s">
        <v>1939</v>
      </c>
      <c r="B855" s="6" t="s">
        <v>1939</v>
      </c>
      <c r="C855" s="6" t="s">
        <v>4405</v>
      </c>
      <c r="D855" s="6">
        <v>855.0</v>
      </c>
      <c r="E855" s="6">
        <v>3.57136795531251E14</v>
      </c>
      <c r="F855" s="6" t="s">
        <v>605</v>
      </c>
      <c r="G855" s="6" t="s">
        <v>121</v>
      </c>
      <c r="J855" s="6">
        <v>0.0</v>
      </c>
      <c r="L855" s="6">
        <v>0.0</v>
      </c>
      <c r="M855" s="6" t="s">
        <v>4406</v>
      </c>
      <c r="N855" s="6" t="s">
        <v>2626</v>
      </c>
      <c r="O855" s="6" t="s">
        <v>2626</v>
      </c>
    </row>
    <row r="856">
      <c r="A856" s="6" t="s">
        <v>1943</v>
      </c>
      <c r="B856" s="6" t="s">
        <v>1943</v>
      </c>
      <c r="C856" s="6" t="s">
        <v>4407</v>
      </c>
      <c r="D856" s="6">
        <v>856.0</v>
      </c>
      <c r="F856" s="6" t="s">
        <v>1940</v>
      </c>
      <c r="G856" s="6" t="s">
        <v>121</v>
      </c>
      <c r="J856" s="6">
        <v>0.0</v>
      </c>
      <c r="L856" s="6">
        <v>0.0</v>
      </c>
      <c r="M856" s="6" t="s">
        <v>4408</v>
      </c>
      <c r="N856" s="6" t="s">
        <v>2626</v>
      </c>
      <c r="O856" s="6" t="s">
        <v>2626</v>
      </c>
    </row>
    <row r="857">
      <c r="A857" s="6" t="s">
        <v>1945</v>
      </c>
      <c r="B857" s="6" t="s">
        <v>1945</v>
      </c>
      <c r="C857" s="6" t="s">
        <v>4409</v>
      </c>
      <c r="D857" s="6">
        <v>857.0</v>
      </c>
      <c r="F857" s="6" t="s">
        <v>74</v>
      </c>
      <c r="G857" s="6" t="s">
        <v>26</v>
      </c>
      <c r="I857" s="6" t="s">
        <v>4410</v>
      </c>
      <c r="J857" s="6">
        <v>0.0</v>
      </c>
      <c r="L857" s="6">
        <v>2500.0</v>
      </c>
      <c r="M857" s="6" t="s">
        <v>4411</v>
      </c>
      <c r="N857" s="6" t="s">
        <v>2626</v>
      </c>
      <c r="O857" s="6" t="s">
        <v>2626</v>
      </c>
    </row>
    <row r="858">
      <c r="A858" s="6" t="s">
        <v>1947</v>
      </c>
      <c r="B858" s="6" t="s">
        <v>1947</v>
      </c>
      <c r="C858" s="6" t="s">
        <v>4412</v>
      </c>
      <c r="D858" s="6">
        <v>858.0</v>
      </c>
      <c r="F858" s="6" t="s">
        <v>78</v>
      </c>
      <c r="G858" s="6" t="s">
        <v>103</v>
      </c>
      <c r="J858" s="6">
        <v>0.0</v>
      </c>
      <c r="L858" s="6">
        <v>0.0</v>
      </c>
      <c r="M858" s="6" t="s">
        <v>4413</v>
      </c>
      <c r="N858" s="6" t="s">
        <v>2626</v>
      </c>
      <c r="O858" s="6" t="s">
        <v>2626</v>
      </c>
    </row>
    <row r="859">
      <c r="A859" s="6" t="s">
        <v>1949</v>
      </c>
      <c r="B859" s="6" t="s">
        <v>1949</v>
      </c>
      <c r="C859" s="6" t="s">
        <v>4414</v>
      </c>
      <c r="D859" s="6">
        <v>859.0</v>
      </c>
      <c r="F859" s="6" t="s">
        <v>442</v>
      </c>
      <c r="G859" s="6" t="s">
        <v>26</v>
      </c>
      <c r="I859" s="6" t="s">
        <v>4410</v>
      </c>
      <c r="J859" s="6">
        <v>0.0</v>
      </c>
      <c r="L859" s="6">
        <v>2500.0</v>
      </c>
      <c r="M859" s="6" t="s">
        <v>4415</v>
      </c>
      <c r="N859" s="6" t="s">
        <v>2626</v>
      </c>
      <c r="O859" s="6" t="s">
        <v>2626</v>
      </c>
    </row>
    <row r="860">
      <c r="A860" s="6" t="s">
        <v>1951</v>
      </c>
      <c r="B860" s="6" t="s">
        <v>1951</v>
      </c>
      <c r="C860" s="6" t="s">
        <v>4416</v>
      </c>
      <c r="D860" s="6">
        <v>860.0</v>
      </c>
      <c r="E860" s="6">
        <v>3.57170546854167E14</v>
      </c>
      <c r="F860" s="6" t="s">
        <v>54</v>
      </c>
      <c r="G860" s="6" t="s">
        <v>481</v>
      </c>
      <c r="J860" s="6">
        <v>0.0</v>
      </c>
      <c r="L860" s="6">
        <v>0.0</v>
      </c>
      <c r="M860" s="6" t="s">
        <v>4417</v>
      </c>
      <c r="N860" s="6" t="s">
        <v>2626</v>
      </c>
      <c r="O860" s="6" t="s">
        <v>2626</v>
      </c>
    </row>
    <row r="861">
      <c r="A861" s="6" t="s">
        <v>1954</v>
      </c>
      <c r="B861" s="6" t="s">
        <v>1954</v>
      </c>
      <c r="C861" s="6" t="s">
        <v>4418</v>
      </c>
      <c r="D861" s="6">
        <v>861.0</v>
      </c>
      <c r="E861" s="6">
        <v>3.50114363080305E14</v>
      </c>
      <c r="F861" s="6" t="s">
        <v>1952</v>
      </c>
      <c r="G861" s="6" t="s">
        <v>103</v>
      </c>
      <c r="J861" s="6">
        <v>0.0</v>
      </c>
      <c r="L861" s="6">
        <v>0.0</v>
      </c>
      <c r="M861" s="6" t="s">
        <v>4419</v>
      </c>
      <c r="N861" s="6" t="s">
        <v>2626</v>
      </c>
      <c r="O861" s="6" t="s">
        <v>2626</v>
      </c>
    </row>
    <row r="862">
      <c r="A862" s="6" t="s">
        <v>1956</v>
      </c>
      <c r="B862" s="6" t="s">
        <v>1956</v>
      </c>
      <c r="C862" s="6" t="s">
        <v>4420</v>
      </c>
      <c r="D862" s="6">
        <v>862.0</v>
      </c>
      <c r="F862" s="6" t="s">
        <v>64</v>
      </c>
      <c r="G862" s="6" t="s">
        <v>26</v>
      </c>
      <c r="I862" s="6" t="s">
        <v>4410</v>
      </c>
      <c r="J862" s="6">
        <v>0.0</v>
      </c>
      <c r="L862" s="6">
        <v>2000.0</v>
      </c>
      <c r="M862" s="6" t="s">
        <v>4421</v>
      </c>
      <c r="N862" s="6" t="s">
        <v>2626</v>
      </c>
      <c r="O862" s="6" t="s">
        <v>2626</v>
      </c>
    </row>
    <row r="863">
      <c r="A863" s="6" t="s">
        <v>1958</v>
      </c>
      <c r="B863" s="6" t="s">
        <v>1958</v>
      </c>
      <c r="C863" s="6" t="s">
        <v>4422</v>
      </c>
      <c r="D863" s="6">
        <v>863.0</v>
      </c>
      <c r="F863" s="6" t="s">
        <v>64</v>
      </c>
      <c r="G863" s="6" t="s">
        <v>26</v>
      </c>
      <c r="I863" s="6" t="s">
        <v>4410</v>
      </c>
      <c r="J863" s="6">
        <v>0.0</v>
      </c>
      <c r="L863" s="6">
        <v>2000.0</v>
      </c>
      <c r="M863" s="6" t="s">
        <v>4423</v>
      </c>
      <c r="N863" s="6" t="s">
        <v>2626</v>
      </c>
      <c r="O863" s="6" t="s">
        <v>2626</v>
      </c>
    </row>
    <row r="864">
      <c r="A864" s="6" t="s">
        <v>1962</v>
      </c>
      <c r="B864" s="6" t="s">
        <v>1962</v>
      </c>
      <c r="C864" s="6" t="s">
        <v>4424</v>
      </c>
      <c r="D864" s="6">
        <v>864.0</v>
      </c>
      <c r="F864" s="6" t="s">
        <v>1959</v>
      </c>
      <c r="G864" s="6" t="s">
        <v>26</v>
      </c>
      <c r="I864" s="6" t="s">
        <v>4410</v>
      </c>
      <c r="J864" s="6">
        <v>0.0</v>
      </c>
      <c r="L864" s="6">
        <v>28000.0</v>
      </c>
      <c r="M864" s="6" t="s">
        <v>4425</v>
      </c>
      <c r="N864" s="6" t="s">
        <v>2626</v>
      </c>
      <c r="O864" s="6" t="s">
        <v>2626</v>
      </c>
    </row>
    <row r="865">
      <c r="A865" s="6" t="s">
        <v>1966</v>
      </c>
      <c r="B865" s="6" t="s">
        <v>1966</v>
      </c>
      <c r="C865" s="6" t="s">
        <v>4426</v>
      </c>
      <c r="D865" s="6">
        <v>865.0</v>
      </c>
      <c r="F865" s="6" t="s">
        <v>1963</v>
      </c>
      <c r="G865" s="6" t="s">
        <v>121</v>
      </c>
      <c r="J865" s="6">
        <v>0.0</v>
      </c>
      <c r="L865" s="6">
        <v>0.0</v>
      </c>
      <c r="M865" s="6" t="s">
        <v>4427</v>
      </c>
      <c r="N865" s="6" t="s">
        <v>2626</v>
      </c>
      <c r="O865" s="6" t="s">
        <v>2626</v>
      </c>
    </row>
    <row r="866">
      <c r="A866" s="6" t="s">
        <v>1970</v>
      </c>
      <c r="B866" s="6" t="s">
        <v>1970</v>
      </c>
      <c r="C866" s="6" t="s">
        <v>4428</v>
      </c>
      <c r="D866" s="6">
        <v>866.0</v>
      </c>
      <c r="F866" s="6" t="s">
        <v>1967</v>
      </c>
      <c r="G866" s="6" t="s">
        <v>121</v>
      </c>
      <c r="J866" s="6">
        <v>0.0</v>
      </c>
      <c r="L866" s="6">
        <v>0.0</v>
      </c>
      <c r="M866" s="6" t="s">
        <v>4429</v>
      </c>
      <c r="N866" s="6" t="s">
        <v>2626</v>
      </c>
      <c r="O866" s="6" t="s">
        <v>2626</v>
      </c>
    </row>
    <row r="867">
      <c r="A867" s="6" t="s">
        <v>1974</v>
      </c>
      <c r="B867" s="6" t="s">
        <v>1974</v>
      </c>
      <c r="C867" s="6" t="s">
        <v>4430</v>
      </c>
      <c r="D867" s="6">
        <v>867.0</v>
      </c>
      <c r="F867" s="6" t="s">
        <v>1971</v>
      </c>
      <c r="G867" s="6" t="s">
        <v>26</v>
      </c>
      <c r="I867" s="6" t="s">
        <v>4431</v>
      </c>
      <c r="J867" s="6">
        <v>0.0</v>
      </c>
      <c r="L867" s="6">
        <v>3000.0</v>
      </c>
      <c r="M867" s="6" t="s">
        <v>4432</v>
      </c>
      <c r="N867" s="6" t="s">
        <v>2626</v>
      </c>
      <c r="O867" s="6" t="s">
        <v>2626</v>
      </c>
    </row>
    <row r="868">
      <c r="A868" s="6" t="s">
        <v>1975</v>
      </c>
      <c r="B868" s="6" t="s">
        <v>1975</v>
      </c>
      <c r="C868" s="6" t="s">
        <v>4433</v>
      </c>
      <c r="D868" s="6">
        <v>868.0</v>
      </c>
      <c r="E868" s="6">
        <v>3.50114363080305E14</v>
      </c>
      <c r="F868" s="6" t="s">
        <v>874</v>
      </c>
      <c r="G868" s="6" t="s">
        <v>103</v>
      </c>
      <c r="J868" s="6">
        <v>0.0</v>
      </c>
      <c r="L868" s="6">
        <v>0.0</v>
      </c>
      <c r="M868" s="6" t="s">
        <v>4434</v>
      </c>
      <c r="N868" s="6" t="s">
        <v>2626</v>
      </c>
      <c r="O868" s="6" t="s">
        <v>2626</v>
      </c>
    </row>
    <row r="869">
      <c r="A869" s="6" t="s">
        <v>1976</v>
      </c>
      <c r="B869" s="6" t="s">
        <v>1976</v>
      </c>
      <c r="C869" s="6" t="s">
        <v>4435</v>
      </c>
      <c r="D869" s="6">
        <v>869.0</v>
      </c>
      <c r="E869" s="6">
        <v>3.50114363080305E14</v>
      </c>
      <c r="F869" s="6" t="s">
        <v>46</v>
      </c>
      <c r="G869" s="6" t="s">
        <v>103</v>
      </c>
      <c r="J869" s="6">
        <v>0.0</v>
      </c>
      <c r="L869" s="6">
        <v>0.0</v>
      </c>
      <c r="M869" s="6" t="s">
        <v>4436</v>
      </c>
      <c r="N869" s="6" t="s">
        <v>2626</v>
      </c>
      <c r="O869" s="6" t="s">
        <v>2626</v>
      </c>
    </row>
    <row r="870">
      <c r="A870" s="6" t="s">
        <v>1978</v>
      </c>
      <c r="B870" s="6" t="s">
        <v>1978</v>
      </c>
      <c r="C870" s="6" t="s">
        <v>4437</v>
      </c>
      <c r="D870" s="6">
        <v>870.0</v>
      </c>
      <c r="F870" s="6" t="s">
        <v>254</v>
      </c>
      <c r="G870" s="6" t="s">
        <v>121</v>
      </c>
      <c r="J870" s="6">
        <v>0.0</v>
      </c>
      <c r="L870" s="6">
        <v>0.0</v>
      </c>
      <c r="M870" s="6" t="s">
        <v>4438</v>
      </c>
      <c r="N870" s="6" t="s">
        <v>2626</v>
      </c>
      <c r="O870" s="6" t="s">
        <v>2626</v>
      </c>
    </row>
    <row r="871">
      <c r="A871" s="6" t="s">
        <v>1979</v>
      </c>
      <c r="B871" s="6" t="s">
        <v>1979</v>
      </c>
      <c r="C871" s="6" t="s">
        <v>4439</v>
      </c>
      <c r="D871" s="6">
        <v>871.0</v>
      </c>
      <c r="E871" s="6">
        <v>3.50114363080305E14</v>
      </c>
      <c r="F871" s="6" t="s">
        <v>874</v>
      </c>
      <c r="G871" s="6" t="s">
        <v>103</v>
      </c>
      <c r="J871" s="6">
        <v>0.0</v>
      </c>
      <c r="L871" s="6">
        <v>0.0</v>
      </c>
      <c r="M871" s="6" t="s">
        <v>4440</v>
      </c>
      <c r="N871" s="6" t="s">
        <v>2626</v>
      </c>
      <c r="O871" s="6" t="s">
        <v>2626</v>
      </c>
    </row>
    <row r="872">
      <c r="A872" s="6" t="s">
        <v>1983</v>
      </c>
      <c r="B872" s="6" t="s">
        <v>1983</v>
      </c>
      <c r="C872" s="6" t="s">
        <v>4441</v>
      </c>
      <c r="D872" s="6">
        <v>872.0</v>
      </c>
      <c r="F872" s="6" t="s">
        <v>1980</v>
      </c>
      <c r="G872" s="6" t="s">
        <v>26</v>
      </c>
      <c r="I872" s="6" t="s">
        <v>4431</v>
      </c>
      <c r="J872" s="6">
        <v>0.0</v>
      </c>
      <c r="L872" s="6">
        <v>18000.0</v>
      </c>
      <c r="M872" s="6" t="s">
        <v>4442</v>
      </c>
      <c r="N872" s="6" t="s">
        <v>2626</v>
      </c>
      <c r="O872" s="6" t="s">
        <v>2626</v>
      </c>
    </row>
    <row r="873">
      <c r="A873" s="6" t="s">
        <v>1985</v>
      </c>
      <c r="B873" s="6" t="s">
        <v>1985</v>
      </c>
      <c r="C873" s="6" t="s">
        <v>4443</v>
      </c>
      <c r="D873" s="6">
        <v>873.0</v>
      </c>
      <c r="F873" s="6" t="s">
        <v>212</v>
      </c>
      <c r="G873" s="6" t="s">
        <v>26</v>
      </c>
      <c r="I873" s="6" t="s">
        <v>4431</v>
      </c>
      <c r="J873" s="6">
        <v>0.0</v>
      </c>
      <c r="L873" s="6">
        <v>3000.0</v>
      </c>
      <c r="M873" s="6" t="s">
        <v>4444</v>
      </c>
      <c r="N873" s="6" t="s">
        <v>2626</v>
      </c>
      <c r="O873" s="6" t="s">
        <v>2626</v>
      </c>
    </row>
    <row r="874">
      <c r="A874" s="6" t="s">
        <v>1986</v>
      </c>
      <c r="B874" s="6" t="s">
        <v>1986</v>
      </c>
      <c r="C874" s="6" t="s">
        <v>4445</v>
      </c>
      <c r="D874" s="6">
        <v>874.0</v>
      </c>
      <c r="F874" s="6" t="s">
        <v>1597</v>
      </c>
      <c r="G874" s="6" t="s">
        <v>121</v>
      </c>
      <c r="J874" s="6">
        <v>0.0</v>
      </c>
      <c r="L874" s="6">
        <v>0.0</v>
      </c>
      <c r="M874" s="6" t="s">
        <v>4446</v>
      </c>
      <c r="N874" s="6" t="s">
        <v>2626</v>
      </c>
      <c r="O874" s="6" t="s">
        <v>2626</v>
      </c>
    </row>
    <row r="875">
      <c r="A875" s="6" t="s">
        <v>1988</v>
      </c>
      <c r="B875" s="6" t="s">
        <v>1988</v>
      </c>
      <c r="C875" s="6" t="s">
        <v>4447</v>
      </c>
      <c r="D875" s="6">
        <v>875.0</v>
      </c>
      <c r="F875" s="6" t="s">
        <v>198</v>
      </c>
      <c r="G875" s="6" t="s">
        <v>26</v>
      </c>
      <c r="I875" s="6" t="s">
        <v>4431</v>
      </c>
      <c r="J875" s="6">
        <v>0.0</v>
      </c>
      <c r="L875" s="6">
        <v>2500.0</v>
      </c>
      <c r="M875" s="6" t="s">
        <v>4448</v>
      </c>
      <c r="N875" s="6" t="s">
        <v>2626</v>
      </c>
      <c r="O875" s="6" t="s">
        <v>2626</v>
      </c>
    </row>
    <row r="876">
      <c r="A876" s="6" t="s">
        <v>1989</v>
      </c>
      <c r="B876" s="6" t="s">
        <v>1989</v>
      </c>
      <c r="C876" s="6" t="s">
        <v>4449</v>
      </c>
      <c r="D876" s="6">
        <v>876.0</v>
      </c>
      <c r="E876" s="6">
        <v>3.50114363080305E14</v>
      </c>
      <c r="F876" s="6" t="s">
        <v>874</v>
      </c>
      <c r="G876" s="6" t="s">
        <v>103</v>
      </c>
      <c r="J876" s="6">
        <v>0.0</v>
      </c>
      <c r="L876" s="6">
        <v>0.0</v>
      </c>
      <c r="M876" s="6" t="s">
        <v>4450</v>
      </c>
      <c r="N876" s="6" t="s">
        <v>2626</v>
      </c>
      <c r="O876" s="6" t="s">
        <v>2626</v>
      </c>
    </row>
    <row r="877">
      <c r="A877" s="6" t="s">
        <v>1993</v>
      </c>
      <c r="B877" s="6" t="s">
        <v>1993</v>
      </c>
      <c r="C877" s="6" t="s">
        <v>4451</v>
      </c>
      <c r="D877" s="6">
        <v>877.0</v>
      </c>
      <c r="F877" s="6" t="s">
        <v>1990</v>
      </c>
      <c r="G877" s="6" t="s">
        <v>26</v>
      </c>
      <c r="I877" s="6" t="s">
        <v>4431</v>
      </c>
      <c r="J877" s="6">
        <v>0.0</v>
      </c>
      <c r="L877" s="6">
        <v>3000.0</v>
      </c>
      <c r="M877" s="6" t="s">
        <v>4452</v>
      </c>
      <c r="N877" s="6" t="s">
        <v>2626</v>
      </c>
      <c r="O877" s="6" t="s">
        <v>2626</v>
      </c>
    </row>
    <row r="878">
      <c r="A878" s="6" t="s">
        <v>1996</v>
      </c>
      <c r="B878" s="6" t="s">
        <v>1996</v>
      </c>
      <c r="C878" s="6" t="s">
        <v>4453</v>
      </c>
      <c r="D878" s="6">
        <v>878.0</v>
      </c>
      <c r="F878" s="6" t="s">
        <v>1994</v>
      </c>
      <c r="G878" s="6" t="s">
        <v>26</v>
      </c>
      <c r="I878" s="6" t="s">
        <v>4431</v>
      </c>
      <c r="J878" s="6">
        <v>0.0</v>
      </c>
      <c r="L878" s="6">
        <v>2000.0</v>
      </c>
      <c r="M878" s="6" t="s">
        <v>4454</v>
      </c>
      <c r="N878" s="6" t="s">
        <v>2626</v>
      </c>
      <c r="O878" s="6" t="s">
        <v>2626</v>
      </c>
    </row>
    <row r="879">
      <c r="A879" s="6" t="s">
        <v>1998</v>
      </c>
      <c r="B879" s="6" t="s">
        <v>1998</v>
      </c>
      <c r="C879" s="6" t="s">
        <v>4455</v>
      </c>
      <c r="D879" s="6">
        <v>879.0</v>
      </c>
      <c r="F879" s="6" t="s">
        <v>64</v>
      </c>
      <c r="G879" s="6" t="s">
        <v>26</v>
      </c>
      <c r="I879" s="6" t="s">
        <v>4431</v>
      </c>
      <c r="J879" s="6">
        <v>0.0</v>
      </c>
      <c r="L879" s="6">
        <v>2000.0</v>
      </c>
      <c r="M879" s="6" t="s">
        <v>4456</v>
      </c>
      <c r="N879" s="6" t="s">
        <v>2626</v>
      </c>
      <c r="O879" s="6" t="s">
        <v>2626</v>
      </c>
    </row>
    <row r="880">
      <c r="A880" s="6" t="s">
        <v>2000</v>
      </c>
      <c r="B880" s="6" t="s">
        <v>2000</v>
      </c>
      <c r="C880" s="6" t="s">
        <v>4457</v>
      </c>
      <c r="D880" s="6">
        <v>880.0</v>
      </c>
      <c r="F880" s="6" t="s">
        <v>198</v>
      </c>
      <c r="G880" s="6" t="s">
        <v>26</v>
      </c>
      <c r="I880" s="6" t="s">
        <v>4431</v>
      </c>
      <c r="J880" s="6">
        <v>0.0</v>
      </c>
      <c r="L880" s="6">
        <v>2500.0</v>
      </c>
      <c r="M880" s="6" t="s">
        <v>4458</v>
      </c>
      <c r="N880" s="6" t="s">
        <v>2626</v>
      </c>
      <c r="O880" s="6" t="s">
        <v>2626</v>
      </c>
    </row>
    <row r="881">
      <c r="A881" s="6" t="s">
        <v>2003</v>
      </c>
      <c r="B881" s="6" t="s">
        <v>2003</v>
      </c>
      <c r="C881" s="6" t="s">
        <v>4459</v>
      </c>
      <c r="D881" s="6">
        <v>881.0</v>
      </c>
      <c r="F881" s="6" t="s">
        <v>89</v>
      </c>
      <c r="G881" s="6" t="s">
        <v>121</v>
      </c>
      <c r="J881" s="6">
        <v>0.0</v>
      </c>
      <c r="L881" s="6">
        <v>0.0</v>
      </c>
      <c r="M881" s="6" t="s">
        <v>4460</v>
      </c>
      <c r="N881" s="6" t="s">
        <v>2626</v>
      </c>
      <c r="O881" s="6" t="s">
        <v>2626</v>
      </c>
    </row>
    <row r="882">
      <c r="A882" s="6" t="s">
        <v>2005</v>
      </c>
      <c r="B882" s="6" t="s">
        <v>2005</v>
      </c>
      <c r="C882" s="6" t="s">
        <v>4461</v>
      </c>
      <c r="D882" s="6">
        <v>882.0</v>
      </c>
      <c r="F882" s="6" t="s">
        <v>1647</v>
      </c>
      <c r="G882" s="6" t="s">
        <v>26</v>
      </c>
      <c r="I882" s="6" t="s">
        <v>4462</v>
      </c>
      <c r="J882" s="6">
        <v>0.0</v>
      </c>
      <c r="L882" s="6">
        <v>35000.0</v>
      </c>
      <c r="M882" s="6" t="s">
        <v>4463</v>
      </c>
      <c r="N882" s="6" t="s">
        <v>2626</v>
      </c>
      <c r="O882" s="6" t="s">
        <v>2626</v>
      </c>
    </row>
    <row r="883">
      <c r="A883" s="6" t="s">
        <v>2010</v>
      </c>
      <c r="B883" s="6" t="s">
        <v>2010</v>
      </c>
      <c r="C883" s="6" t="s">
        <v>4464</v>
      </c>
      <c r="D883" s="6">
        <v>883.0</v>
      </c>
      <c r="E883" s="6" t="s">
        <v>2008</v>
      </c>
      <c r="F883" s="6" t="s">
        <v>2006</v>
      </c>
      <c r="G883" s="6" t="s">
        <v>26</v>
      </c>
      <c r="I883" s="6" t="s">
        <v>4462</v>
      </c>
      <c r="J883" s="6">
        <v>0.0</v>
      </c>
      <c r="L883" s="6">
        <v>230000.0</v>
      </c>
      <c r="M883" s="6" t="s">
        <v>4465</v>
      </c>
      <c r="N883" s="6" t="s">
        <v>2626</v>
      </c>
      <c r="O883" s="6" t="s">
        <v>2626</v>
      </c>
    </row>
    <row r="884">
      <c r="A884" s="6" t="s">
        <v>2013</v>
      </c>
      <c r="B884" s="6" t="s">
        <v>2013</v>
      </c>
      <c r="C884" s="6" t="s">
        <v>4466</v>
      </c>
      <c r="D884" s="6">
        <v>884.0</v>
      </c>
      <c r="E884" s="6">
        <v>3.56258487038139E14</v>
      </c>
      <c r="F884" s="6" t="s">
        <v>1302</v>
      </c>
      <c r="G884" s="6" t="s">
        <v>103</v>
      </c>
      <c r="J884" s="6">
        <v>0.0</v>
      </c>
      <c r="L884" s="6">
        <v>0.0</v>
      </c>
      <c r="M884" s="6" t="s">
        <v>4467</v>
      </c>
      <c r="N884" s="6" t="s">
        <v>2626</v>
      </c>
      <c r="O884" s="6" t="s">
        <v>2626</v>
      </c>
    </row>
    <row r="885">
      <c r="A885" s="6" t="s">
        <v>2015</v>
      </c>
      <c r="B885" s="6" t="s">
        <v>2015</v>
      </c>
      <c r="C885" s="6" t="s">
        <v>4468</v>
      </c>
      <c r="D885" s="6">
        <v>885.0</v>
      </c>
      <c r="F885" s="6" t="s">
        <v>1940</v>
      </c>
      <c r="G885" s="6" t="s">
        <v>121</v>
      </c>
      <c r="J885" s="6">
        <v>0.0</v>
      </c>
      <c r="L885" s="6">
        <v>0.0</v>
      </c>
      <c r="M885" s="6" t="s">
        <v>4469</v>
      </c>
      <c r="N885" s="6" t="s">
        <v>2626</v>
      </c>
      <c r="O885" s="6" t="s">
        <v>2626</v>
      </c>
    </row>
    <row r="886">
      <c r="A886" s="6" t="s">
        <v>2017</v>
      </c>
      <c r="B886" s="6" t="s">
        <v>2017</v>
      </c>
      <c r="C886" s="6" t="s">
        <v>4470</v>
      </c>
      <c r="D886" s="6">
        <v>886.0</v>
      </c>
      <c r="F886" s="6" t="s">
        <v>364</v>
      </c>
      <c r="G886" s="6" t="s">
        <v>121</v>
      </c>
      <c r="J886" s="6">
        <v>0.0</v>
      </c>
      <c r="L886" s="6">
        <v>0.0</v>
      </c>
      <c r="M886" s="6" t="s">
        <v>4471</v>
      </c>
      <c r="N886" s="6" t="s">
        <v>2626</v>
      </c>
      <c r="O886" s="6" t="s">
        <v>2626</v>
      </c>
    </row>
    <row r="887">
      <c r="A887" s="6" t="s">
        <v>2022</v>
      </c>
      <c r="B887" s="6" t="s">
        <v>2022</v>
      </c>
      <c r="C887" s="6" t="s">
        <v>4472</v>
      </c>
      <c r="D887" s="6">
        <v>887.0</v>
      </c>
      <c r="E887" s="6">
        <v>3.53268399262753E14</v>
      </c>
      <c r="F887" s="6" t="s">
        <v>2018</v>
      </c>
      <c r="G887" s="6" t="s">
        <v>26</v>
      </c>
      <c r="I887" s="6" t="s">
        <v>4462</v>
      </c>
      <c r="J887" s="6">
        <v>0.0</v>
      </c>
      <c r="L887" s="6">
        <v>950000.0</v>
      </c>
      <c r="M887" s="6" t="s">
        <v>4473</v>
      </c>
      <c r="N887" s="6" t="s">
        <v>2626</v>
      </c>
      <c r="O887" s="6" t="s">
        <v>2626</v>
      </c>
    </row>
    <row r="888">
      <c r="A888" s="6" t="s">
        <v>2024</v>
      </c>
      <c r="B888" s="6" t="s">
        <v>2024</v>
      </c>
      <c r="C888" s="6" t="s">
        <v>4474</v>
      </c>
      <c r="D888" s="6">
        <v>888.0</v>
      </c>
      <c r="F888" s="6" t="s">
        <v>424</v>
      </c>
      <c r="G888" s="6" t="s">
        <v>121</v>
      </c>
      <c r="J888" s="6">
        <v>0.0</v>
      </c>
      <c r="L888" s="6">
        <v>0.0</v>
      </c>
      <c r="M888" s="6" t="s">
        <v>4475</v>
      </c>
      <c r="N888" s="6" t="s">
        <v>2626</v>
      </c>
      <c r="O888" s="6" t="s">
        <v>2626</v>
      </c>
    </row>
    <row r="889">
      <c r="A889" s="6" t="s">
        <v>2027</v>
      </c>
      <c r="B889" s="6" t="s">
        <v>2027</v>
      </c>
      <c r="C889" s="6" t="s">
        <v>4476</v>
      </c>
      <c r="D889" s="6">
        <v>889.0</v>
      </c>
      <c r="F889" s="6" t="s">
        <v>2025</v>
      </c>
      <c r="G889" s="6" t="s">
        <v>121</v>
      </c>
      <c r="J889" s="6">
        <v>0.0</v>
      </c>
      <c r="L889" s="6">
        <v>0.0</v>
      </c>
      <c r="M889" s="6" t="s">
        <v>4477</v>
      </c>
      <c r="N889" s="6" t="s">
        <v>2626</v>
      </c>
      <c r="O889" s="6" t="s">
        <v>2626</v>
      </c>
    </row>
    <row r="890">
      <c r="A890" s="6" t="s">
        <v>2028</v>
      </c>
      <c r="B890" s="6" t="s">
        <v>2028</v>
      </c>
      <c r="C890" s="6" t="s">
        <v>4478</v>
      </c>
      <c r="D890" s="6">
        <v>890.0</v>
      </c>
      <c r="F890" s="6" t="s">
        <v>70</v>
      </c>
      <c r="G890" s="6" t="s">
        <v>26</v>
      </c>
      <c r="I890" s="6" t="s">
        <v>4479</v>
      </c>
      <c r="J890" s="6">
        <v>0.0</v>
      </c>
      <c r="L890" s="6">
        <v>2500.0</v>
      </c>
      <c r="M890" s="6" t="s">
        <v>4480</v>
      </c>
      <c r="N890" s="6" t="s">
        <v>2626</v>
      </c>
      <c r="O890" s="6" t="s">
        <v>2626</v>
      </c>
    </row>
    <row r="891">
      <c r="A891" s="6" t="s">
        <v>2030</v>
      </c>
      <c r="B891" s="6" t="s">
        <v>2030</v>
      </c>
      <c r="C891" s="6" t="s">
        <v>4481</v>
      </c>
      <c r="D891" s="6">
        <v>891.0</v>
      </c>
      <c r="F891" s="6" t="s">
        <v>54</v>
      </c>
      <c r="G891" s="6" t="s">
        <v>121</v>
      </c>
      <c r="J891" s="6">
        <v>0.0</v>
      </c>
      <c r="L891" s="6">
        <v>0.0</v>
      </c>
      <c r="M891" s="6" t="s">
        <v>4482</v>
      </c>
      <c r="N891" s="6" t="s">
        <v>2626</v>
      </c>
      <c r="O891" s="6" t="s">
        <v>2626</v>
      </c>
    </row>
    <row r="892">
      <c r="A892" s="6" t="s">
        <v>2032</v>
      </c>
      <c r="B892" s="6" t="s">
        <v>2032</v>
      </c>
      <c r="C892" s="6" t="s">
        <v>4483</v>
      </c>
      <c r="D892" s="6">
        <v>892.0</v>
      </c>
      <c r="F892" s="6" t="s">
        <v>70</v>
      </c>
      <c r="G892" s="6" t="s">
        <v>26</v>
      </c>
      <c r="I892" s="6" t="s">
        <v>4479</v>
      </c>
      <c r="J892" s="6">
        <v>0.0</v>
      </c>
      <c r="L892" s="6">
        <v>2500.0</v>
      </c>
      <c r="M892" s="6" t="s">
        <v>4484</v>
      </c>
      <c r="N892" s="6" t="s">
        <v>2626</v>
      </c>
      <c r="O892" s="6" t="s">
        <v>2626</v>
      </c>
    </row>
    <row r="893">
      <c r="A893" s="6" t="s">
        <v>2034</v>
      </c>
      <c r="B893" s="6" t="s">
        <v>2034</v>
      </c>
      <c r="C893" s="6" t="s">
        <v>4485</v>
      </c>
      <c r="D893" s="6">
        <v>893.0</v>
      </c>
      <c r="F893" s="6" t="s">
        <v>18</v>
      </c>
      <c r="G893" s="6" t="s">
        <v>121</v>
      </c>
      <c r="J893" s="6">
        <v>0.0</v>
      </c>
      <c r="L893" s="6">
        <v>0.0</v>
      </c>
      <c r="M893" s="6" t="s">
        <v>4486</v>
      </c>
      <c r="N893" s="6" t="s">
        <v>2626</v>
      </c>
      <c r="O893" s="6" t="s">
        <v>2626</v>
      </c>
    </row>
    <row r="894">
      <c r="A894" s="6" t="s">
        <v>2036</v>
      </c>
      <c r="B894" s="6" t="s">
        <v>2036</v>
      </c>
      <c r="C894" s="6" t="s">
        <v>4487</v>
      </c>
      <c r="D894" s="6">
        <v>894.0</v>
      </c>
      <c r="F894" s="6" t="s">
        <v>368</v>
      </c>
      <c r="G894" s="6" t="s">
        <v>26</v>
      </c>
      <c r="I894" s="6" t="s">
        <v>4479</v>
      </c>
      <c r="J894" s="6">
        <v>0.0</v>
      </c>
      <c r="L894" s="6">
        <v>5000.0</v>
      </c>
      <c r="M894" s="6" t="s">
        <v>4488</v>
      </c>
      <c r="N894" s="6" t="s">
        <v>2626</v>
      </c>
      <c r="O894" s="6" t="s">
        <v>2626</v>
      </c>
    </row>
    <row r="895">
      <c r="A895" s="6" t="s">
        <v>2038</v>
      </c>
      <c r="B895" s="6" t="s">
        <v>2038</v>
      </c>
      <c r="C895" s="6" t="s">
        <v>4489</v>
      </c>
      <c r="D895" s="6">
        <v>895.0</v>
      </c>
      <c r="F895" s="6" t="s">
        <v>74</v>
      </c>
      <c r="G895" s="6" t="s">
        <v>26</v>
      </c>
      <c r="I895" s="6" t="s">
        <v>4479</v>
      </c>
      <c r="J895" s="6">
        <v>0.0</v>
      </c>
      <c r="L895" s="6">
        <v>2500.0</v>
      </c>
      <c r="M895" s="6" t="s">
        <v>4490</v>
      </c>
      <c r="N895" s="6" t="s">
        <v>2626</v>
      </c>
      <c r="O895" s="6" t="s">
        <v>2626</v>
      </c>
    </row>
    <row r="896">
      <c r="A896" s="6" t="s">
        <v>2040</v>
      </c>
      <c r="B896" s="6" t="s">
        <v>2040</v>
      </c>
      <c r="C896" s="6" t="s">
        <v>4491</v>
      </c>
      <c r="D896" s="6">
        <v>896.0</v>
      </c>
      <c r="F896" s="6" t="s">
        <v>1597</v>
      </c>
      <c r="G896" s="6" t="s">
        <v>26</v>
      </c>
      <c r="I896" s="6" t="s">
        <v>4479</v>
      </c>
      <c r="J896" s="6">
        <v>0.0</v>
      </c>
      <c r="L896" s="6">
        <v>2500.0</v>
      </c>
      <c r="M896" s="6" t="s">
        <v>4492</v>
      </c>
      <c r="N896" s="6" t="s">
        <v>2626</v>
      </c>
      <c r="O896" s="6" t="s">
        <v>2626</v>
      </c>
    </row>
    <row r="897">
      <c r="A897" s="6" t="s">
        <v>2041</v>
      </c>
      <c r="B897" s="6" t="s">
        <v>2041</v>
      </c>
      <c r="C897" s="6" t="s">
        <v>4493</v>
      </c>
      <c r="D897" s="6">
        <v>897.0</v>
      </c>
      <c r="F897" s="6" t="s">
        <v>70</v>
      </c>
      <c r="G897" s="6" t="s">
        <v>26</v>
      </c>
      <c r="I897" s="6" t="s">
        <v>4479</v>
      </c>
      <c r="J897" s="6">
        <v>0.0</v>
      </c>
      <c r="L897" s="6">
        <v>5000.0</v>
      </c>
      <c r="M897" s="6" t="s">
        <v>4494</v>
      </c>
      <c r="N897" s="6" t="s">
        <v>2626</v>
      </c>
      <c r="O897" s="6" t="s">
        <v>2626</v>
      </c>
    </row>
    <row r="898">
      <c r="A898" s="6" t="s">
        <v>2043</v>
      </c>
      <c r="B898" s="6" t="s">
        <v>2043</v>
      </c>
      <c r="C898" s="6" t="s">
        <v>4495</v>
      </c>
      <c r="D898" s="6">
        <v>898.0</v>
      </c>
      <c r="F898" s="6" t="s">
        <v>1472</v>
      </c>
      <c r="G898" s="6" t="s">
        <v>26</v>
      </c>
      <c r="I898" s="6" t="s">
        <v>4479</v>
      </c>
      <c r="J898" s="6">
        <v>0.0</v>
      </c>
      <c r="L898" s="6">
        <v>2500.0</v>
      </c>
      <c r="M898" s="6" t="s">
        <v>4496</v>
      </c>
      <c r="N898" s="6" t="s">
        <v>2626</v>
      </c>
      <c r="O898" s="6" t="s">
        <v>2626</v>
      </c>
    </row>
    <row r="899">
      <c r="A899" s="6" t="s">
        <v>2044</v>
      </c>
      <c r="B899" s="6" t="s">
        <v>2044</v>
      </c>
      <c r="C899" s="6" t="s">
        <v>4497</v>
      </c>
      <c r="D899" s="6">
        <v>899.0</v>
      </c>
      <c r="E899" s="6">
        <v>3.56258487038139E14</v>
      </c>
      <c r="F899" s="6" t="s">
        <v>620</v>
      </c>
      <c r="G899" s="6" t="s">
        <v>26</v>
      </c>
      <c r="I899" s="6" t="s">
        <v>4479</v>
      </c>
      <c r="J899" s="6">
        <v>0.0</v>
      </c>
      <c r="L899" s="6">
        <v>650000.0</v>
      </c>
      <c r="M899" s="6" t="s">
        <v>4498</v>
      </c>
      <c r="N899" s="6" t="s">
        <v>2626</v>
      </c>
      <c r="O899" s="6" t="s">
        <v>2626</v>
      </c>
    </row>
    <row r="900">
      <c r="A900" s="6" t="s">
        <v>2047</v>
      </c>
      <c r="B900" s="6" t="s">
        <v>2047</v>
      </c>
      <c r="C900" s="6" t="s">
        <v>4499</v>
      </c>
      <c r="D900" s="6">
        <v>900.0</v>
      </c>
      <c r="E900" s="6">
        <v>3.5776226784246E14</v>
      </c>
      <c r="F900" s="6" t="s">
        <v>620</v>
      </c>
      <c r="G900" s="6" t="s">
        <v>103</v>
      </c>
      <c r="J900" s="6">
        <v>0.0</v>
      </c>
      <c r="L900" s="6">
        <v>0.0</v>
      </c>
      <c r="M900" s="6" t="s">
        <v>4500</v>
      </c>
      <c r="N900" s="6" t="s">
        <v>2626</v>
      </c>
      <c r="O900" s="6" t="s">
        <v>2626</v>
      </c>
    </row>
    <row r="901">
      <c r="A901" s="6" t="s">
        <v>2052</v>
      </c>
      <c r="B901" s="6" t="s">
        <v>2052</v>
      </c>
      <c r="C901" s="6" t="s">
        <v>4501</v>
      </c>
      <c r="D901" s="6">
        <v>901.0</v>
      </c>
      <c r="E901" s="6">
        <v>3.53431655327849E14</v>
      </c>
      <c r="F901" s="6" t="s">
        <v>2048</v>
      </c>
      <c r="G901" s="6" t="s">
        <v>26</v>
      </c>
      <c r="I901" s="6" t="s">
        <v>4479</v>
      </c>
      <c r="J901" s="6">
        <v>0.0</v>
      </c>
      <c r="L901" s="6">
        <v>645000.0</v>
      </c>
      <c r="M901" s="6" t="s">
        <v>4502</v>
      </c>
      <c r="N901" s="6" t="s">
        <v>2626</v>
      </c>
      <c r="O901" s="6" t="s">
        <v>2626</v>
      </c>
    </row>
    <row r="902">
      <c r="A902" s="6" t="s">
        <v>2053</v>
      </c>
      <c r="B902" s="6" t="s">
        <v>2053</v>
      </c>
      <c r="C902" s="6" t="s">
        <v>4503</v>
      </c>
      <c r="D902" s="6">
        <v>902.0</v>
      </c>
      <c r="F902" s="6" t="s">
        <v>70</v>
      </c>
      <c r="G902" s="6" t="s">
        <v>26</v>
      </c>
      <c r="I902" s="6" t="s">
        <v>4504</v>
      </c>
      <c r="J902" s="6">
        <v>0.0</v>
      </c>
      <c r="L902" s="6">
        <v>4000.0</v>
      </c>
      <c r="M902" s="6" t="s">
        <v>4505</v>
      </c>
      <c r="N902" s="6" t="s">
        <v>2626</v>
      </c>
      <c r="O902" s="6" t="s">
        <v>2626</v>
      </c>
    </row>
    <row r="903">
      <c r="A903" s="6" t="s">
        <v>2056</v>
      </c>
      <c r="B903" s="6" t="s">
        <v>2056</v>
      </c>
      <c r="C903" s="6" t="s">
        <v>4506</v>
      </c>
      <c r="D903" s="6">
        <v>903.0</v>
      </c>
      <c r="F903" s="6" t="s">
        <v>2054</v>
      </c>
      <c r="G903" s="6" t="s">
        <v>26</v>
      </c>
      <c r="I903" s="6" t="s">
        <v>4504</v>
      </c>
      <c r="J903" s="6">
        <v>0.0</v>
      </c>
      <c r="L903" s="6">
        <v>3000.0</v>
      </c>
      <c r="M903" s="6" t="s">
        <v>4507</v>
      </c>
      <c r="N903" s="6" t="s">
        <v>2626</v>
      </c>
      <c r="O903" s="6" t="s">
        <v>2626</v>
      </c>
    </row>
    <row r="904">
      <c r="A904" s="6" t="s">
        <v>2058</v>
      </c>
      <c r="B904" s="6" t="s">
        <v>2058</v>
      </c>
      <c r="C904" s="6" t="s">
        <v>4508</v>
      </c>
      <c r="D904" s="6">
        <v>904.0</v>
      </c>
      <c r="F904" s="6" t="s">
        <v>1719</v>
      </c>
      <c r="G904" s="6" t="s">
        <v>26</v>
      </c>
      <c r="I904" s="6" t="s">
        <v>4504</v>
      </c>
      <c r="J904" s="6">
        <v>0.0</v>
      </c>
      <c r="L904" s="6">
        <v>2500.0</v>
      </c>
      <c r="M904" s="6" t="s">
        <v>4509</v>
      </c>
      <c r="N904" s="6" t="s">
        <v>2626</v>
      </c>
      <c r="O904" s="6" t="s">
        <v>2626</v>
      </c>
    </row>
    <row r="905">
      <c r="A905" s="6" t="s">
        <v>2059</v>
      </c>
      <c r="B905" s="6" t="s">
        <v>2059</v>
      </c>
      <c r="C905" s="6" t="s">
        <v>4510</v>
      </c>
      <c r="D905" s="6">
        <v>905.0</v>
      </c>
      <c r="E905" s="6">
        <v>3.50114363080305E14</v>
      </c>
      <c r="F905" s="6" t="s">
        <v>1391</v>
      </c>
      <c r="G905" s="6" t="s">
        <v>103</v>
      </c>
      <c r="J905" s="6">
        <v>0.0</v>
      </c>
      <c r="L905" s="6">
        <v>0.0</v>
      </c>
      <c r="M905" s="6" t="s">
        <v>4511</v>
      </c>
      <c r="N905" s="6" t="s">
        <v>2626</v>
      </c>
      <c r="O905" s="6" t="s">
        <v>2626</v>
      </c>
    </row>
    <row r="906">
      <c r="A906" s="6" t="s">
        <v>2063</v>
      </c>
      <c r="B906" s="6" t="s">
        <v>2063</v>
      </c>
      <c r="C906" s="6" t="s">
        <v>4512</v>
      </c>
      <c r="D906" s="6">
        <v>906.0</v>
      </c>
      <c r="F906" s="6" t="s">
        <v>2060</v>
      </c>
      <c r="G906" s="6" t="s">
        <v>26</v>
      </c>
      <c r="I906" s="6" t="s">
        <v>4504</v>
      </c>
      <c r="J906" s="6">
        <v>0.0</v>
      </c>
      <c r="L906" s="6">
        <v>2500.0</v>
      </c>
      <c r="M906" s="6" t="s">
        <v>4513</v>
      </c>
      <c r="N906" s="6" t="s">
        <v>2626</v>
      </c>
      <c r="O906" s="6" t="s">
        <v>2626</v>
      </c>
    </row>
    <row r="907">
      <c r="A907" s="6" t="s">
        <v>2066</v>
      </c>
      <c r="B907" s="6" t="s">
        <v>2066</v>
      </c>
      <c r="C907" s="6" t="s">
        <v>4514</v>
      </c>
      <c r="D907" s="6">
        <v>907.0</v>
      </c>
      <c r="F907" s="6" t="s">
        <v>2064</v>
      </c>
      <c r="G907" s="6" t="s">
        <v>26</v>
      </c>
      <c r="I907" s="6" t="s">
        <v>4504</v>
      </c>
      <c r="J907" s="6">
        <v>0.0</v>
      </c>
      <c r="L907" s="6">
        <v>3000.0</v>
      </c>
      <c r="M907" s="6" t="s">
        <v>4515</v>
      </c>
      <c r="N907" s="6" t="s">
        <v>2626</v>
      </c>
      <c r="O907" s="6" t="s">
        <v>2626</v>
      </c>
    </row>
    <row r="908">
      <c r="A908" s="6" t="s">
        <v>2068</v>
      </c>
      <c r="B908" s="6" t="s">
        <v>2068</v>
      </c>
      <c r="C908" s="6" t="s">
        <v>4516</v>
      </c>
      <c r="D908" s="6">
        <v>908.0</v>
      </c>
      <c r="F908" s="6" t="s">
        <v>2064</v>
      </c>
      <c r="G908" s="6" t="s">
        <v>26</v>
      </c>
      <c r="I908" s="6" t="s">
        <v>4504</v>
      </c>
      <c r="J908" s="6">
        <v>0.0</v>
      </c>
      <c r="L908" s="6">
        <v>3000.0</v>
      </c>
      <c r="M908" s="6" t="s">
        <v>4517</v>
      </c>
      <c r="N908" s="6" t="s">
        <v>2626</v>
      </c>
      <c r="O908" s="6" t="s">
        <v>2626</v>
      </c>
    </row>
    <row r="909">
      <c r="A909" s="6" t="s">
        <v>2069</v>
      </c>
      <c r="B909" s="6" t="s">
        <v>2069</v>
      </c>
      <c r="C909" s="6" t="s">
        <v>4518</v>
      </c>
      <c r="D909" s="6">
        <v>909.0</v>
      </c>
      <c r="F909" s="6" t="s">
        <v>442</v>
      </c>
      <c r="G909" s="6" t="s">
        <v>121</v>
      </c>
      <c r="J909" s="6">
        <v>0.0</v>
      </c>
      <c r="L909" s="6">
        <v>0.0</v>
      </c>
      <c r="M909" s="6" t="s">
        <v>4519</v>
      </c>
      <c r="N909" s="6" t="s">
        <v>2626</v>
      </c>
      <c r="O909" s="6" t="s">
        <v>2626</v>
      </c>
    </row>
    <row r="910">
      <c r="A910" s="6" t="s">
        <v>2071</v>
      </c>
      <c r="B910" s="6" t="s">
        <v>2071</v>
      </c>
      <c r="C910" s="6" t="s">
        <v>4520</v>
      </c>
      <c r="D910" s="6">
        <v>910.0</v>
      </c>
      <c r="F910" s="6" t="s">
        <v>1302</v>
      </c>
      <c r="G910" s="6" t="s">
        <v>121</v>
      </c>
      <c r="J910" s="6">
        <v>0.0</v>
      </c>
      <c r="L910" s="6">
        <v>0.0</v>
      </c>
      <c r="M910" s="6" t="s">
        <v>4521</v>
      </c>
      <c r="N910" s="6" t="s">
        <v>2626</v>
      </c>
      <c r="O910" s="6" t="s">
        <v>2626</v>
      </c>
    </row>
    <row r="911">
      <c r="A911" s="6" t="s">
        <v>2075</v>
      </c>
      <c r="B911" s="6" t="s">
        <v>2075</v>
      </c>
      <c r="C911" s="6" t="s">
        <v>4522</v>
      </c>
      <c r="D911" s="6">
        <v>911.0</v>
      </c>
      <c r="F911" s="6" t="s">
        <v>2072</v>
      </c>
      <c r="G911" s="6" t="s">
        <v>26</v>
      </c>
      <c r="I911" s="6" t="s">
        <v>4504</v>
      </c>
      <c r="J911" s="6">
        <v>0.0</v>
      </c>
      <c r="L911" s="6">
        <v>2000.0</v>
      </c>
      <c r="M911" s="6" t="s">
        <v>4523</v>
      </c>
      <c r="N911" s="6" t="s">
        <v>2626</v>
      </c>
      <c r="O911" s="6" t="s">
        <v>2626</v>
      </c>
    </row>
    <row r="912">
      <c r="A912" s="6" t="s">
        <v>2076</v>
      </c>
      <c r="B912" s="6" t="s">
        <v>2076</v>
      </c>
      <c r="C912" s="6" t="s">
        <v>4524</v>
      </c>
      <c r="D912" s="6">
        <v>912.0</v>
      </c>
      <c r="F912" s="6" t="s">
        <v>54</v>
      </c>
      <c r="G912" s="6" t="s">
        <v>121</v>
      </c>
      <c r="J912" s="6">
        <v>0.0</v>
      </c>
      <c r="L912" s="6">
        <v>0.0</v>
      </c>
      <c r="M912" s="6" t="s">
        <v>4525</v>
      </c>
      <c r="N912" s="6" t="s">
        <v>2626</v>
      </c>
      <c r="O912" s="6" t="s">
        <v>2626</v>
      </c>
    </row>
    <row r="913">
      <c r="A913" s="6" t="s">
        <v>2078</v>
      </c>
      <c r="B913" s="6" t="s">
        <v>2078</v>
      </c>
      <c r="C913" s="6" t="s">
        <v>4526</v>
      </c>
      <c r="D913" s="6">
        <v>913.0</v>
      </c>
      <c r="F913" s="6" t="s">
        <v>442</v>
      </c>
      <c r="G913" s="6" t="s">
        <v>121</v>
      </c>
      <c r="J913" s="6">
        <v>0.0</v>
      </c>
      <c r="L913" s="6">
        <v>0.0</v>
      </c>
      <c r="M913" s="6" t="s">
        <v>4527</v>
      </c>
      <c r="N913" s="6" t="s">
        <v>2626</v>
      </c>
      <c r="O913" s="6" t="s">
        <v>2626</v>
      </c>
    </row>
    <row r="914">
      <c r="A914" s="6" t="s">
        <v>2080</v>
      </c>
      <c r="B914" s="6" t="s">
        <v>2080</v>
      </c>
      <c r="C914" s="6" t="s">
        <v>4528</v>
      </c>
      <c r="D914" s="6">
        <v>914.0</v>
      </c>
      <c r="F914" s="6" t="s">
        <v>686</v>
      </c>
      <c r="G914" s="6" t="s">
        <v>26</v>
      </c>
      <c r="I914" s="6" t="s">
        <v>4529</v>
      </c>
      <c r="J914" s="6">
        <v>0.0</v>
      </c>
      <c r="L914" s="6">
        <v>3000.0</v>
      </c>
      <c r="M914" s="6" t="s">
        <v>4530</v>
      </c>
      <c r="N914" s="6" t="s">
        <v>2626</v>
      </c>
      <c r="O914" s="6" t="s">
        <v>2626</v>
      </c>
    </row>
    <row r="915">
      <c r="A915" s="6" t="s">
        <v>2084</v>
      </c>
      <c r="B915" s="6" t="s">
        <v>2084</v>
      </c>
      <c r="C915" s="6" t="s">
        <v>4531</v>
      </c>
      <c r="D915" s="6">
        <v>915.0</v>
      </c>
      <c r="E915" s="6">
        <v>3.53992319885357E14</v>
      </c>
      <c r="F915" s="6" t="s">
        <v>2081</v>
      </c>
      <c r="G915" s="6" t="s">
        <v>26</v>
      </c>
      <c r="I915" s="6" t="s">
        <v>4529</v>
      </c>
      <c r="J915" s="6">
        <v>0.0</v>
      </c>
      <c r="L915" s="6">
        <v>520000.0</v>
      </c>
      <c r="M915" s="6" t="s">
        <v>4532</v>
      </c>
      <c r="N915" s="6" t="s">
        <v>2626</v>
      </c>
      <c r="O915" s="6" t="s">
        <v>2626</v>
      </c>
    </row>
    <row r="916">
      <c r="A916" s="6" t="s">
        <v>2087</v>
      </c>
      <c r="B916" s="6" t="s">
        <v>2087</v>
      </c>
      <c r="C916" s="6" t="s">
        <v>4533</v>
      </c>
      <c r="D916" s="6">
        <v>916.0</v>
      </c>
      <c r="E916" s="6">
        <v>3.53906104909362E14</v>
      </c>
      <c r="F916" s="6" t="s">
        <v>855</v>
      </c>
      <c r="G916" s="6" t="s">
        <v>26</v>
      </c>
      <c r="I916" s="6" t="s">
        <v>4529</v>
      </c>
      <c r="J916" s="6">
        <v>0.0</v>
      </c>
      <c r="L916" s="6">
        <v>350000.0</v>
      </c>
      <c r="M916" s="6" t="s">
        <v>4534</v>
      </c>
      <c r="N916" s="6" t="s">
        <v>2626</v>
      </c>
      <c r="O916" s="6" t="s">
        <v>2626</v>
      </c>
    </row>
    <row r="917">
      <c r="A917" s="6" t="s">
        <v>2092</v>
      </c>
      <c r="B917" s="6" t="s">
        <v>2092</v>
      </c>
      <c r="C917" s="6" t="s">
        <v>4535</v>
      </c>
      <c r="D917" s="6">
        <v>917.0</v>
      </c>
      <c r="E917" s="6">
        <v>3.57498197864031E14</v>
      </c>
      <c r="F917" s="6" t="s">
        <v>2088</v>
      </c>
      <c r="G917" s="6" t="s">
        <v>26</v>
      </c>
      <c r="I917" s="6" t="s">
        <v>4529</v>
      </c>
      <c r="J917" s="6">
        <v>0.0</v>
      </c>
      <c r="L917" s="6">
        <v>870000.0</v>
      </c>
      <c r="M917" s="6" t="s">
        <v>4536</v>
      </c>
      <c r="N917" s="6" t="s">
        <v>2626</v>
      </c>
      <c r="O917" s="6" t="s">
        <v>2626</v>
      </c>
    </row>
    <row r="918">
      <c r="A918" s="6" t="s">
        <v>2094</v>
      </c>
      <c r="B918" s="6" t="s">
        <v>2094</v>
      </c>
      <c r="C918" s="6" t="s">
        <v>4537</v>
      </c>
      <c r="D918" s="6">
        <v>918.0</v>
      </c>
      <c r="F918" s="6" t="s">
        <v>1583</v>
      </c>
      <c r="G918" s="6" t="s">
        <v>26</v>
      </c>
      <c r="I918" s="6" t="s">
        <v>4529</v>
      </c>
      <c r="J918" s="6">
        <v>0.0</v>
      </c>
      <c r="L918" s="6">
        <v>3000.0</v>
      </c>
      <c r="M918" s="6" t="s">
        <v>4538</v>
      </c>
      <c r="N918" s="6" t="s">
        <v>2626</v>
      </c>
      <c r="O918" s="6" t="s">
        <v>2626</v>
      </c>
    </row>
    <row r="919">
      <c r="A919" s="6" t="s">
        <v>2096</v>
      </c>
      <c r="B919" s="6" t="s">
        <v>2096</v>
      </c>
      <c r="C919" s="6" t="s">
        <v>4539</v>
      </c>
      <c r="D919" s="6">
        <v>919.0</v>
      </c>
      <c r="F919" s="6" t="s">
        <v>133</v>
      </c>
      <c r="G919" s="6" t="s">
        <v>26</v>
      </c>
      <c r="I919" s="6" t="s">
        <v>4529</v>
      </c>
      <c r="J919" s="6">
        <v>0.0</v>
      </c>
      <c r="L919" s="6">
        <v>2500.0</v>
      </c>
      <c r="M919" s="6" t="s">
        <v>4540</v>
      </c>
      <c r="N919" s="6" t="s">
        <v>2626</v>
      </c>
      <c r="O919" s="6" t="s">
        <v>2626</v>
      </c>
    </row>
    <row r="920">
      <c r="A920" s="6" t="s">
        <v>2101</v>
      </c>
      <c r="B920" s="6" t="s">
        <v>2101</v>
      </c>
      <c r="C920" s="6" t="s">
        <v>4541</v>
      </c>
      <c r="D920" s="6">
        <v>920.0</v>
      </c>
      <c r="E920" s="6">
        <v>3.58933738239243E14</v>
      </c>
      <c r="F920" s="6" t="s">
        <v>2097</v>
      </c>
      <c r="G920" s="6" t="s">
        <v>26</v>
      </c>
      <c r="I920" s="6" t="s">
        <v>4529</v>
      </c>
      <c r="J920" s="6">
        <v>0.0</v>
      </c>
      <c r="L920" s="6">
        <v>355000.0</v>
      </c>
      <c r="M920" s="6" t="s">
        <v>4542</v>
      </c>
      <c r="N920" s="6" t="s">
        <v>2626</v>
      </c>
      <c r="O920" s="6" t="s">
        <v>2626</v>
      </c>
    </row>
    <row r="921">
      <c r="A921" s="6" t="s">
        <v>2102</v>
      </c>
      <c r="B921" s="6" t="s">
        <v>2102</v>
      </c>
      <c r="C921" s="6" t="s">
        <v>4543</v>
      </c>
      <c r="D921" s="6">
        <v>921.0</v>
      </c>
      <c r="F921" s="6" t="s">
        <v>358</v>
      </c>
      <c r="G921" s="6" t="s">
        <v>121</v>
      </c>
      <c r="J921" s="6">
        <v>0.0</v>
      </c>
      <c r="L921" s="6">
        <v>0.0</v>
      </c>
      <c r="M921" s="6" t="s">
        <v>4544</v>
      </c>
      <c r="N921" s="6" t="s">
        <v>2626</v>
      </c>
      <c r="O921" s="6" t="s">
        <v>2626</v>
      </c>
    </row>
    <row r="922">
      <c r="A922" s="6" t="s">
        <v>2104</v>
      </c>
      <c r="B922" s="6" t="s">
        <v>2104</v>
      </c>
      <c r="C922" s="6" t="s">
        <v>4545</v>
      </c>
      <c r="D922" s="6">
        <v>922.0</v>
      </c>
      <c r="F922" s="6" t="s">
        <v>309</v>
      </c>
      <c r="G922" s="6" t="s">
        <v>26</v>
      </c>
      <c r="I922" s="6" t="s">
        <v>4529</v>
      </c>
      <c r="J922" s="6">
        <v>0.0</v>
      </c>
      <c r="L922" s="6">
        <v>200000.0</v>
      </c>
      <c r="M922" s="6" t="s">
        <v>4546</v>
      </c>
      <c r="N922" s="6" t="s">
        <v>2626</v>
      </c>
      <c r="O922" s="6" t="s">
        <v>2626</v>
      </c>
    </row>
    <row r="923">
      <c r="A923" s="6" t="s">
        <v>2105</v>
      </c>
      <c r="B923" s="6" t="s">
        <v>2105</v>
      </c>
      <c r="C923" s="6" t="s">
        <v>4547</v>
      </c>
      <c r="D923" s="6">
        <v>923.0</v>
      </c>
      <c r="F923" s="6" t="s">
        <v>89</v>
      </c>
      <c r="G923" s="6" t="s">
        <v>121</v>
      </c>
      <c r="J923" s="6">
        <v>0.0</v>
      </c>
      <c r="L923" s="6">
        <v>0.0</v>
      </c>
      <c r="M923" s="6" t="s">
        <v>4548</v>
      </c>
      <c r="N923" s="6" t="s">
        <v>2626</v>
      </c>
      <c r="O923" s="6" t="s">
        <v>2626</v>
      </c>
    </row>
    <row r="924">
      <c r="A924" s="6" t="s">
        <v>2110</v>
      </c>
      <c r="B924" s="6" t="s">
        <v>2110</v>
      </c>
      <c r="C924" s="6" t="s">
        <v>4549</v>
      </c>
      <c r="D924" s="6">
        <v>924.0</v>
      </c>
      <c r="E924" s="6">
        <v>3.5002296365904E14</v>
      </c>
      <c r="F924" s="6" t="s">
        <v>2106</v>
      </c>
      <c r="G924" s="6" t="s">
        <v>26</v>
      </c>
      <c r="I924" s="6" t="s">
        <v>4550</v>
      </c>
      <c r="J924" s="6">
        <v>0.0</v>
      </c>
      <c r="L924" s="6">
        <v>400000.0</v>
      </c>
      <c r="M924" s="6" t="s">
        <v>4551</v>
      </c>
      <c r="N924" s="6" t="s">
        <v>2626</v>
      </c>
      <c r="O924" s="6" t="s">
        <v>2626</v>
      </c>
    </row>
    <row r="925">
      <c r="A925" s="6" t="s">
        <v>2115</v>
      </c>
      <c r="B925" s="6" t="s">
        <v>2115</v>
      </c>
      <c r="C925" s="6" t="s">
        <v>4552</v>
      </c>
      <c r="D925" s="6">
        <v>925.0</v>
      </c>
      <c r="E925" s="6" t="s">
        <v>2113</v>
      </c>
      <c r="F925" s="6" t="s">
        <v>2111</v>
      </c>
      <c r="G925" s="6" t="s">
        <v>26</v>
      </c>
      <c r="I925" s="6" t="s">
        <v>4550</v>
      </c>
      <c r="J925" s="6">
        <v>0.0</v>
      </c>
      <c r="L925" s="6">
        <v>1200000.0</v>
      </c>
      <c r="M925" s="6" t="s">
        <v>4553</v>
      </c>
      <c r="N925" s="6" t="s">
        <v>2626</v>
      </c>
      <c r="O925" s="6" t="s">
        <v>2626</v>
      </c>
    </row>
    <row r="926">
      <c r="A926" s="6" t="s">
        <v>2117</v>
      </c>
      <c r="B926" s="6" t="s">
        <v>2117</v>
      </c>
      <c r="C926" s="6" t="s">
        <v>4554</v>
      </c>
      <c r="D926" s="6">
        <v>926.0</v>
      </c>
      <c r="F926" s="6" t="s">
        <v>1340</v>
      </c>
      <c r="G926" s="6" t="s">
        <v>26</v>
      </c>
      <c r="I926" s="6" t="s">
        <v>4550</v>
      </c>
      <c r="J926" s="6">
        <v>0.0</v>
      </c>
      <c r="L926" s="6">
        <v>2000.0</v>
      </c>
      <c r="M926" s="6" t="s">
        <v>4555</v>
      </c>
      <c r="N926" s="6" t="s">
        <v>2626</v>
      </c>
      <c r="O926" s="6" t="s">
        <v>2626</v>
      </c>
    </row>
    <row r="927">
      <c r="A927" s="6" t="s">
        <v>2121</v>
      </c>
      <c r="B927" s="6" t="s">
        <v>2121</v>
      </c>
      <c r="C927" s="6" t="s">
        <v>4556</v>
      </c>
      <c r="D927" s="6">
        <v>927.0</v>
      </c>
      <c r="F927" s="6" t="s">
        <v>2118</v>
      </c>
      <c r="G927" s="6" t="s">
        <v>26</v>
      </c>
      <c r="I927" s="6" t="s">
        <v>4550</v>
      </c>
      <c r="J927" s="6">
        <v>0.0</v>
      </c>
      <c r="L927" s="6">
        <v>10000.0</v>
      </c>
      <c r="M927" s="6" t="s">
        <v>4557</v>
      </c>
      <c r="N927" s="6" t="s">
        <v>2626</v>
      </c>
      <c r="O927" s="6" t="s">
        <v>2626</v>
      </c>
    </row>
    <row r="928">
      <c r="A928" s="6" t="s">
        <v>2123</v>
      </c>
      <c r="B928" s="6" t="s">
        <v>2123</v>
      </c>
      <c r="C928" s="6" t="s">
        <v>4558</v>
      </c>
      <c r="D928" s="6">
        <v>928.0</v>
      </c>
      <c r="F928" s="6" t="s">
        <v>50</v>
      </c>
      <c r="G928" s="6" t="s">
        <v>121</v>
      </c>
      <c r="J928" s="6">
        <v>0.0</v>
      </c>
      <c r="L928" s="6">
        <v>0.0</v>
      </c>
      <c r="M928" s="6" t="s">
        <v>4559</v>
      </c>
      <c r="N928" s="6" t="s">
        <v>2626</v>
      </c>
      <c r="O928" s="6" t="s">
        <v>2626</v>
      </c>
    </row>
    <row r="929">
      <c r="A929" s="6" t="s">
        <v>2125</v>
      </c>
      <c r="B929" s="6" t="s">
        <v>2125</v>
      </c>
      <c r="C929" s="6" t="s">
        <v>4560</v>
      </c>
      <c r="D929" s="6">
        <v>929.0</v>
      </c>
      <c r="F929" s="6" t="s">
        <v>1302</v>
      </c>
      <c r="G929" s="6" t="s">
        <v>121</v>
      </c>
      <c r="J929" s="6">
        <v>0.0</v>
      </c>
      <c r="L929" s="6">
        <v>0.0</v>
      </c>
      <c r="M929" s="6" t="s">
        <v>4561</v>
      </c>
      <c r="N929" s="6" t="s">
        <v>2626</v>
      </c>
      <c r="O929" s="6" t="s">
        <v>2626</v>
      </c>
    </row>
    <row r="930">
      <c r="A930" s="6" t="s">
        <v>2128</v>
      </c>
      <c r="B930" s="6" t="s">
        <v>2128</v>
      </c>
      <c r="C930" s="6" t="s">
        <v>4562</v>
      </c>
      <c r="D930" s="6">
        <v>930.0</v>
      </c>
      <c r="F930" s="6" t="s">
        <v>2126</v>
      </c>
      <c r="G930" s="6" t="s">
        <v>26</v>
      </c>
      <c r="I930" s="6" t="s">
        <v>4550</v>
      </c>
      <c r="J930" s="6">
        <v>0.0</v>
      </c>
      <c r="L930" s="6">
        <v>5000.0</v>
      </c>
      <c r="M930" s="6" t="s">
        <v>4563</v>
      </c>
      <c r="N930" s="6" t="s">
        <v>2626</v>
      </c>
      <c r="O930" s="6" t="s">
        <v>2626</v>
      </c>
    </row>
    <row r="931">
      <c r="A931" s="6" t="s">
        <v>2131</v>
      </c>
      <c r="B931" s="6" t="s">
        <v>2131</v>
      </c>
      <c r="C931" s="6" t="s">
        <v>4564</v>
      </c>
      <c r="D931" s="6">
        <v>931.0</v>
      </c>
      <c r="E931" s="6">
        <v>3.51284086814162E14</v>
      </c>
      <c r="F931" s="6" t="s">
        <v>605</v>
      </c>
      <c r="G931" s="6" t="s">
        <v>26</v>
      </c>
      <c r="I931" s="6" t="s">
        <v>4550</v>
      </c>
      <c r="J931" s="6">
        <v>0.0</v>
      </c>
      <c r="L931" s="6">
        <v>450000.0</v>
      </c>
      <c r="M931" s="6" t="s">
        <v>4565</v>
      </c>
      <c r="N931" s="6" t="s">
        <v>2626</v>
      </c>
      <c r="O931" s="6" t="s">
        <v>2626</v>
      </c>
    </row>
    <row r="932">
      <c r="A932" s="6" t="s">
        <v>2133</v>
      </c>
      <c r="B932" s="6" t="s">
        <v>2133</v>
      </c>
      <c r="C932" s="6" t="s">
        <v>4566</v>
      </c>
      <c r="D932" s="6">
        <v>932.0</v>
      </c>
      <c r="F932" s="6" t="s">
        <v>198</v>
      </c>
      <c r="G932" s="6" t="s">
        <v>26</v>
      </c>
      <c r="I932" s="6" t="s">
        <v>4550</v>
      </c>
      <c r="J932" s="6">
        <v>0.0</v>
      </c>
      <c r="L932" s="6">
        <v>2500.0</v>
      </c>
      <c r="M932" s="6" t="s">
        <v>4567</v>
      </c>
      <c r="N932" s="6" t="s">
        <v>2626</v>
      </c>
      <c r="O932" s="6" t="s">
        <v>2626</v>
      </c>
    </row>
    <row r="933">
      <c r="A933" s="6" t="s">
        <v>2135</v>
      </c>
      <c r="B933" s="6" t="s">
        <v>2135</v>
      </c>
      <c r="C933" s="6" t="s">
        <v>4568</v>
      </c>
      <c r="D933" s="6">
        <v>933.0</v>
      </c>
      <c r="F933" s="6" t="s">
        <v>485</v>
      </c>
      <c r="G933" s="6" t="s">
        <v>26</v>
      </c>
      <c r="I933" s="6" t="s">
        <v>4550</v>
      </c>
      <c r="J933" s="6">
        <v>0.0</v>
      </c>
      <c r="L933" s="6">
        <v>3000.0</v>
      </c>
      <c r="M933" s="6" t="s">
        <v>4569</v>
      </c>
      <c r="N933" s="6" t="s">
        <v>2626</v>
      </c>
      <c r="O933" s="6" t="s">
        <v>2626</v>
      </c>
    </row>
    <row r="934">
      <c r="A934" s="6" t="s">
        <v>2136</v>
      </c>
      <c r="B934" s="6" t="s">
        <v>2136</v>
      </c>
      <c r="C934" s="6" t="s">
        <v>4570</v>
      </c>
      <c r="D934" s="6">
        <v>934.0</v>
      </c>
      <c r="F934" s="6" t="s">
        <v>1913</v>
      </c>
      <c r="G934" s="6" t="s">
        <v>26</v>
      </c>
      <c r="I934" s="6" t="s">
        <v>4550</v>
      </c>
      <c r="J934" s="6">
        <v>0.0</v>
      </c>
      <c r="L934" s="6">
        <v>70000.0</v>
      </c>
      <c r="M934" s="6" t="s">
        <v>4571</v>
      </c>
      <c r="N934" s="6" t="s">
        <v>2626</v>
      </c>
      <c r="O934" s="6" t="s">
        <v>2626</v>
      </c>
    </row>
    <row r="935">
      <c r="A935" s="6" t="s">
        <v>2140</v>
      </c>
      <c r="B935" s="6" t="s">
        <v>2140</v>
      </c>
      <c r="C935" s="6" t="s">
        <v>4572</v>
      </c>
      <c r="D935" s="6">
        <v>935.0</v>
      </c>
      <c r="F935" s="6" t="s">
        <v>2137</v>
      </c>
      <c r="G935" s="6" t="s">
        <v>26</v>
      </c>
      <c r="I935" s="6" t="s">
        <v>4550</v>
      </c>
      <c r="J935" s="6">
        <v>0.0</v>
      </c>
      <c r="L935" s="6">
        <v>70000.0</v>
      </c>
      <c r="M935" s="6" t="s">
        <v>4573</v>
      </c>
      <c r="N935" s="6" t="s">
        <v>2626</v>
      </c>
      <c r="O935" s="6" t="s">
        <v>2626</v>
      </c>
    </row>
    <row r="936">
      <c r="A936" s="6" t="s">
        <v>2142</v>
      </c>
      <c r="B936" s="6" t="s">
        <v>2142</v>
      </c>
      <c r="C936" s="6" t="s">
        <v>4574</v>
      </c>
      <c r="D936" s="6">
        <v>936.0</v>
      </c>
      <c r="F936" s="6" t="s">
        <v>23</v>
      </c>
      <c r="G936" s="6" t="s">
        <v>103</v>
      </c>
      <c r="J936" s="6">
        <v>0.0</v>
      </c>
      <c r="L936" s="6">
        <v>0.0</v>
      </c>
      <c r="M936" s="6" t="s">
        <v>4575</v>
      </c>
      <c r="N936" s="6" t="s">
        <v>2626</v>
      </c>
      <c r="O936" s="6" t="s">
        <v>2626</v>
      </c>
    </row>
    <row r="937">
      <c r="A937" s="6" t="s">
        <v>2145</v>
      </c>
      <c r="B937" s="6" t="s">
        <v>2145</v>
      </c>
      <c r="C937" s="6" t="s">
        <v>4576</v>
      </c>
      <c r="D937" s="6">
        <v>937.0</v>
      </c>
      <c r="F937" s="6" t="s">
        <v>2143</v>
      </c>
      <c r="G937" s="6" t="s">
        <v>26</v>
      </c>
      <c r="I937" s="6" t="s">
        <v>4577</v>
      </c>
      <c r="J937" s="6">
        <v>0.0</v>
      </c>
      <c r="L937" s="6">
        <v>5000.0</v>
      </c>
      <c r="M937" s="6" t="s">
        <v>4578</v>
      </c>
      <c r="N937" s="6" t="s">
        <v>2626</v>
      </c>
      <c r="O937" s="6" t="s">
        <v>2626</v>
      </c>
    </row>
    <row r="938">
      <c r="A938" s="6" t="s">
        <v>2147</v>
      </c>
      <c r="B938" s="6" t="s">
        <v>2147</v>
      </c>
      <c r="C938" s="6" t="s">
        <v>4579</v>
      </c>
      <c r="D938" s="6">
        <v>938.0</v>
      </c>
      <c r="F938" s="6" t="s">
        <v>50</v>
      </c>
      <c r="G938" s="6" t="s">
        <v>26</v>
      </c>
      <c r="I938" s="6" t="s">
        <v>4577</v>
      </c>
      <c r="J938" s="6">
        <v>0.0</v>
      </c>
      <c r="L938" s="6">
        <v>125000.0</v>
      </c>
      <c r="M938" s="6" t="s">
        <v>4580</v>
      </c>
      <c r="N938" s="6" t="s">
        <v>2626</v>
      </c>
      <c r="O938" s="6" t="s">
        <v>2626</v>
      </c>
    </row>
    <row r="939">
      <c r="A939" s="6" t="s">
        <v>2150</v>
      </c>
      <c r="B939" s="6" t="s">
        <v>2150</v>
      </c>
      <c r="C939" s="6" t="s">
        <v>4581</v>
      </c>
      <c r="D939" s="6">
        <v>939.0</v>
      </c>
      <c r="E939" s="6" t="s">
        <v>2149</v>
      </c>
      <c r="F939" s="6" t="s">
        <v>605</v>
      </c>
      <c r="G939" s="6" t="s">
        <v>26</v>
      </c>
      <c r="I939" s="6" t="s">
        <v>4577</v>
      </c>
      <c r="J939" s="6">
        <v>0.0</v>
      </c>
      <c r="L939" s="6">
        <v>760000.0</v>
      </c>
      <c r="M939" s="6" t="s">
        <v>4582</v>
      </c>
      <c r="N939" s="6" t="s">
        <v>2626</v>
      </c>
      <c r="O939" s="6" t="s">
        <v>2626</v>
      </c>
    </row>
    <row r="940">
      <c r="A940" s="6" t="s">
        <v>2152</v>
      </c>
      <c r="B940" s="6" t="s">
        <v>2152</v>
      </c>
      <c r="C940" s="6" t="s">
        <v>4583</v>
      </c>
      <c r="D940" s="6">
        <v>940.0</v>
      </c>
      <c r="F940" s="6" t="s">
        <v>664</v>
      </c>
      <c r="G940" s="6" t="s">
        <v>121</v>
      </c>
      <c r="J940" s="6">
        <v>0.0</v>
      </c>
      <c r="L940" s="6">
        <v>0.0</v>
      </c>
      <c r="M940" s="6" t="s">
        <v>4584</v>
      </c>
      <c r="N940" s="6" t="s">
        <v>2626</v>
      </c>
      <c r="O940" s="6" t="s">
        <v>2626</v>
      </c>
    </row>
    <row r="941">
      <c r="A941" s="6" t="s">
        <v>2153</v>
      </c>
      <c r="B941" s="6" t="s">
        <v>2153</v>
      </c>
      <c r="C941" s="6" t="s">
        <v>4585</v>
      </c>
      <c r="D941" s="6">
        <v>941.0</v>
      </c>
      <c r="F941" s="6" t="s">
        <v>485</v>
      </c>
      <c r="G941" s="6" t="s">
        <v>26</v>
      </c>
      <c r="I941" s="6" t="s">
        <v>4577</v>
      </c>
      <c r="J941" s="6">
        <v>0.0</v>
      </c>
      <c r="L941" s="6">
        <v>3000.0</v>
      </c>
      <c r="M941" s="6" t="s">
        <v>4586</v>
      </c>
      <c r="N941" s="6" t="s">
        <v>2626</v>
      </c>
      <c r="O941" s="6" t="s">
        <v>2626</v>
      </c>
    </row>
    <row r="942">
      <c r="A942" s="6" t="s">
        <v>2155</v>
      </c>
      <c r="B942" s="6" t="s">
        <v>2155</v>
      </c>
      <c r="C942" s="6" t="s">
        <v>4587</v>
      </c>
      <c r="D942" s="6">
        <v>942.0</v>
      </c>
      <c r="F942" s="6" t="s">
        <v>473</v>
      </c>
      <c r="G942" s="6" t="s">
        <v>26</v>
      </c>
      <c r="I942" s="6" t="s">
        <v>4577</v>
      </c>
      <c r="J942" s="6">
        <v>0.0</v>
      </c>
      <c r="L942" s="6">
        <v>2500.0</v>
      </c>
      <c r="M942" s="6" t="s">
        <v>4588</v>
      </c>
      <c r="N942" s="6" t="s">
        <v>2626</v>
      </c>
      <c r="O942" s="6" t="s">
        <v>2626</v>
      </c>
    </row>
    <row r="943">
      <c r="A943" s="6" t="s">
        <v>2156</v>
      </c>
      <c r="B943" s="6" t="s">
        <v>2156</v>
      </c>
      <c r="C943" s="6" t="s">
        <v>4589</v>
      </c>
      <c r="D943" s="6">
        <v>943.0</v>
      </c>
      <c r="E943" s="6" t="s">
        <v>285</v>
      </c>
      <c r="F943" s="6" t="s">
        <v>140</v>
      </c>
      <c r="G943" s="6" t="s">
        <v>285</v>
      </c>
      <c r="J943" s="6">
        <v>0.0</v>
      </c>
      <c r="L943" s="6">
        <v>0.0</v>
      </c>
      <c r="M943" s="6" t="s">
        <v>4590</v>
      </c>
      <c r="N943" s="6" t="s">
        <v>2626</v>
      </c>
      <c r="O943" s="6" t="s">
        <v>2626</v>
      </c>
    </row>
    <row r="944">
      <c r="A944" s="6" t="s">
        <v>2157</v>
      </c>
      <c r="B944" s="6" t="s">
        <v>2157</v>
      </c>
      <c r="C944" s="6" t="s">
        <v>4591</v>
      </c>
      <c r="D944" s="6">
        <v>944.0</v>
      </c>
      <c r="F944" s="6" t="s">
        <v>23</v>
      </c>
      <c r="G944" s="6" t="s">
        <v>121</v>
      </c>
      <c r="J944" s="6">
        <v>0.0</v>
      </c>
      <c r="L944" s="6">
        <v>0.0</v>
      </c>
      <c r="M944" s="6" t="s">
        <v>4592</v>
      </c>
      <c r="N944" s="6" t="s">
        <v>2626</v>
      </c>
      <c r="O944" s="6" t="s">
        <v>2626</v>
      </c>
    </row>
    <row r="945">
      <c r="A945" s="6" t="s">
        <v>2159</v>
      </c>
      <c r="B945" s="6" t="s">
        <v>2159</v>
      </c>
      <c r="C945" s="6" t="s">
        <v>4593</v>
      </c>
      <c r="D945" s="6">
        <v>945.0</v>
      </c>
      <c r="E945" s="6">
        <v>3.54029285395035E14</v>
      </c>
      <c r="F945" s="6" t="s">
        <v>851</v>
      </c>
      <c r="G945" s="6" t="s">
        <v>26</v>
      </c>
      <c r="I945" s="6" t="s">
        <v>4577</v>
      </c>
      <c r="J945" s="6">
        <v>0.0</v>
      </c>
      <c r="L945" s="6">
        <v>560000.0</v>
      </c>
      <c r="M945" s="6" t="s">
        <v>4594</v>
      </c>
      <c r="N945" s="6" t="s">
        <v>2626</v>
      </c>
      <c r="O945" s="6" t="s">
        <v>2626</v>
      </c>
    </row>
    <row r="946">
      <c r="A946" s="6" t="s">
        <v>2160</v>
      </c>
      <c r="B946" s="6" t="s">
        <v>2160</v>
      </c>
      <c r="C946" s="6" t="s">
        <v>4595</v>
      </c>
      <c r="D946" s="6">
        <v>946.0</v>
      </c>
      <c r="E946" s="6">
        <v>3.5776226784246E14</v>
      </c>
      <c r="F946" s="6" t="s">
        <v>1759</v>
      </c>
      <c r="G946" s="6" t="s">
        <v>26</v>
      </c>
      <c r="I946" s="6" t="s">
        <v>4577</v>
      </c>
      <c r="J946" s="6">
        <v>0.0</v>
      </c>
      <c r="L946" s="6">
        <v>755000.0</v>
      </c>
      <c r="M946" s="6" t="s">
        <v>4596</v>
      </c>
      <c r="N946" s="6" t="s">
        <v>2626</v>
      </c>
      <c r="O946" s="6" t="s">
        <v>2626</v>
      </c>
    </row>
    <row r="947">
      <c r="A947" s="6" t="s">
        <v>2162</v>
      </c>
      <c r="B947" s="6" t="s">
        <v>2162</v>
      </c>
      <c r="C947" s="6" t="s">
        <v>4597</v>
      </c>
      <c r="D947" s="6">
        <v>947.0</v>
      </c>
      <c r="F947" s="6" t="s">
        <v>78</v>
      </c>
      <c r="G947" s="6" t="s">
        <v>121</v>
      </c>
      <c r="J947" s="6">
        <v>0.0</v>
      </c>
      <c r="L947" s="6">
        <v>0.0</v>
      </c>
      <c r="M947" s="6" t="s">
        <v>4598</v>
      </c>
      <c r="N947" s="6" t="s">
        <v>2626</v>
      </c>
      <c r="O947" s="6" t="s">
        <v>2626</v>
      </c>
    </row>
    <row r="948">
      <c r="A948" s="6" t="s">
        <v>2164</v>
      </c>
      <c r="B948" s="6" t="s">
        <v>2164</v>
      </c>
      <c r="C948" s="6" t="s">
        <v>4599</v>
      </c>
      <c r="D948" s="6">
        <v>948.0</v>
      </c>
      <c r="F948" s="6" t="s">
        <v>254</v>
      </c>
      <c r="G948" s="6" t="s">
        <v>121</v>
      </c>
      <c r="J948" s="6">
        <v>0.0</v>
      </c>
      <c r="L948" s="6">
        <v>0.0</v>
      </c>
      <c r="M948" s="6" t="s">
        <v>4600</v>
      </c>
      <c r="N948" s="6" t="s">
        <v>2626</v>
      </c>
      <c r="O948" s="6" t="s">
        <v>2626</v>
      </c>
    </row>
    <row r="949">
      <c r="A949" s="6" t="s">
        <v>2166</v>
      </c>
      <c r="B949" s="6" t="s">
        <v>2166</v>
      </c>
      <c r="C949" s="6" t="s">
        <v>4601</v>
      </c>
      <c r="D949" s="6">
        <v>949.0</v>
      </c>
      <c r="F949" s="6" t="s">
        <v>424</v>
      </c>
      <c r="G949" s="6" t="s">
        <v>121</v>
      </c>
      <c r="J949" s="6">
        <v>0.0</v>
      </c>
      <c r="L949" s="6">
        <v>0.0</v>
      </c>
      <c r="M949" s="6" t="s">
        <v>4602</v>
      </c>
      <c r="N949" s="6" t="s">
        <v>2626</v>
      </c>
      <c r="O949" s="6" t="s">
        <v>2626</v>
      </c>
    </row>
    <row r="950">
      <c r="A950" s="6" t="s">
        <v>2167</v>
      </c>
      <c r="B950" s="6" t="s">
        <v>2167</v>
      </c>
      <c r="C950" s="6" t="s">
        <v>4603</v>
      </c>
      <c r="D950" s="6">
        <v>950.0</v>
      </c>
      <c r="E950" s="6">
        <v>3.50114363080305E14</v>
      </c>
      <c r="F950" s="6" t="s">
        <v>620</v>
      </c>
      <c r="G950" s="6" t="s">
        <v>103</v>
      </c>
      <c r="J950" s="6">
        <v>0.0</v>
      </c>
      <c r="L950" s="6">
        <v>0.0</v>
      </c>
      <c r="M950" s="6" t="s">
        <v>4604</v>
      </c>
      <c r="N950" s="6" t="s">
        <v>2626</v>
      </c>
      <c r="O950" s="6" t="s">
        <v>2626</v>
      </c>
    </row>
    <row r="951">
      <c r="A951" s="6" t="s">
        <v>2169</v>
      </c>
      <c r="B951" s="6" t="s">
        <v>2169</v>
      </c>
      <c r="C951" s="6" t="s">
        <v>4605</v>
      </c>
      <c r="D951" s="6">
        <v>951.0</v>
      </c>
      <c r="F951" s="6" t="s">
        <v>984</v>
      </c>
      <c r="G951" s="6" t="s">
        <v>121</v>
      </c>
      <c r="J951" s="6">
        <v>0.0</v>
      </c>
      <c r="L951" s="6">
        <v>0.0</v>
      </c>
      <c r="M951" s="6" t="s">
        <v>4606</v>
      </c>
      <c r="N951" s="6" t="s">
        <v>2626</v>
      </c>
      <c r="O951" s="6" t="s">
        <v>2626</v>
      </c>
    </row>
    <row r="952">
      <c r="A952" s="6" t="s">
        <v>2171</v>
      </c>
      <c r="B952" s="6" t="s">
        <v>2171</v>
      </c>
      <c r="C952" s="6" t="s">
        <v>4607</v>
      </c>
      <c r="D952" s="6">
        <v>952.0</v>
      </c>
      <c r="F952" s="6" t="s">
        <v>46</v>
      </c>
      <c r="G952" s="6" t="s">
        <v>121</v>
      </c>
      <c r="J952" s="6">
        <v>0.0</v>
      </c>
      <c r="L952" s="6">
        <v>0.0</v>
      </c>
      <c r="M952" s="6" t="s">
        <v>4608</v>
      </c>
      <c r="N952" s="6" t="s">
        <v>2626</v>
      </c>
      <c r="O952" s="6" t="s">
        <v>2626</v>
      </c>
    </row>
    <row r="953">
      <c r="A953" s="6" t="s">
        <v>2172</v>
      </c>
      <c r="B953" s="6" t="s">
        <v>2172</v>
      </c>
      <c r="C953" s="6" t="s">
        <v>4609</v>
      </c>
      <c r="D953" s="6">
        <v>953.0</v>
      </c>
      <c r="F953" s="6" t="s">
        <v>828</v>
      </c>
      <c r="G953" s="6" t="s">
        <v>26</v>
      </c>
      <c r="I953" s="6" t="s">
        <v>4577</v>
      </c>
      <c r="J953" s="6">
        <v>0.0</v>
      </c>
      <c r="L953" s="6">
        <v>160000.0</v>
      </c>
      <c r="M953" s="6" t="s">
        <v>4610</v>
      </c>
      <c r="N953" s="6" t="s">
        <v>2626</v>
      </c>
      <c r="O953" s="6" t="s">
        <v>2626</v>
      </c>
    </row>
    <row r="954">
      <c r="A954" s="6" t="s">
        <v>2177</v>
      </c>
      <c r="B954" s="6" t="s">
        <v>2177</v>
      </c>
      <c r="C954" s="6" t="s">
        <v>4611</v>
      </c>
      <c r="D954" s="6">
        <v>954.0</v>
      </c>
      <c r="E954" s="6">
        <v>3.56200546566213E14</v>
      </c>
      <c r="F954" s="6" t="s">
        <v>2173</v>
      </c>
      <c r="G954" s="6" t="s">
        <v>103</v>
      </c>
      <c r="J954" s="6">
        <v>0.0</v>
      </c>
      <c r="L954" s="6">
        <v>0.0</v>
      </c>
      <c r="M954" s="6" t="s">
        <v>4612</v>
      </c>
      <c r="N954" s="6" t="s">
        <v>2626</v>
      </c>
      <c r="O954" s="6" t="s">
        <v>2626</v>
      </c>
    </row>
    <row r="955">
      <c r="A955" s="6" t="s">
        <v>2179</v>
      </c>
      <c r="B955" s="6" t="s">
        <v>2179</v>
      </c>
      <c r="C955" s="6" t="s">
        <v>4613</v>
      </c>
      <c r="D955" s="6">
        <v>955.0</v>
      </c>
      <c r="F955" s="6" t="s">
        <v>1302</v>
      </c>
      <c r="G955" s="6" t="s">
        <v>121</v>
      </c>
      <c r="J955" s="6">
        <v>0.0</v>
      </c>
      <c r="L955" s="6">
        <v>0.0</v>
      </c>
      <c r="M955" s="6" t="s">
        <v>4614</v>
      </c>
      <c r="N955" s="6" t="s">
        <v>2626</v>
      </c>
      <c r="O955" s="6" t="s">
        <v>2626</v>
      </c>
    </row>
    <row r="956">
      <c r="A956" s="6" t="s">
        <v>2183</v>
      </c>
      <c r="B956" s="6" t="s">
        <v>2183</v>
      </c>
      <c r="C956" s="6" t="s">
        <v>4615</v>
      </c>
      <c r="D956" s="6">
        <v>956.0</v>
      </c>
      <c r="F956" s="6" t="s">
        <v>2180</v>
      </c>
      <c r="G956" s="6" t="s">
        <v>26</v>
      </c>
      <c r="I956" s="6" t="s">
        <v>4577</v>
      </c>
      <c r="J956" s="6">
        <v>0.0</v>
      </c>
      <c r="L956" s="6">
        <v>70000.0</v>
      </c>
      <c r="M956" s="6" t="s">
        <v>4616</v>
      </c>
      <c r="N956" s="6" t="s">
        <v>2626</v>
      </c>
      <c r="O956" s="6" t="s">
        <v>2626</v>
      </c>
    </row>
    <row r="957">
      <c r="A957" s="6" t="s">
        <v>2187</v>
      </c>
      <c r="B957" s="6" t="s">
        <v>2187</v>
      </c>
      <c r="C957" s="6" t="s">
        <v>4617</v>
      </c>
      <c r="D957" s="6">
        <v>957.0</v>
      </c>
      <c r="F957" s="6" t="s">
        <v>2184</v>
      </c>
      <c r="G957" s="6" t="s">
        <v>26</v>
      </c>
      <c r="I957" s="6" t="s">
        <v>4577</v>
      </c>
      <c r="J957" s="6">
        <v>0.0</v>
      </c>
      <c r="L957" s="6">
        <v>25000.0</v>
      </c>
      <c r="M957" s="6" t="s">
        <v>4618</v>
      </c>
      <c r="N957" s="6" t="s">
        <v>2626</v>
      </c>
      <c r="O957" s="6" t="s">
        <v>2626</v>
      </c>
    </row>
    <row r="958">
      <c r="A958" s="6" t="s">
        <v>2189</v>
      </c>
      <c r="B958" s="6" t="s">
        <v>2189</v>
      </c>
      <c r="C958" s="6" t="s">
        <v>4619</v>
      </c>
      <c r="D958" s="6">
        <v>958.0</v>
      </c>
      <c r="F958" s="6" t="s">
        <v>442</v>
      </c>
      <c r="G958" s="6" t="s">
        <v>121</v>
      </c>
      <c r="J958" s="6">
        <v>0.0</v>
      </c>
      <c r="L958" s="6">
        <v>0.0</v>
      </c>
      <c r="M958" s="6" t="s">
        <v>4620</v>
      </c>
      <c r="N958" s="6" t="s">
        <v>2626</v>
      </c>
      <c r="O958" s="6" t="s">
        <v>2626</v>
      </c>
    </row>
    <row r="959">
      <c r="A959" s="6" t="s">
        <v>2190</v>
      </c>
      <c r="B959" s="6" t="s">
        <v>2190</v>
      </c>
      <c r="C959" s="6" t="s">
        <v>4621</v>
      </c>
      <c r="D959" s="6">
        <v>959.0</v>
      </c>
      <c r="E959" s="6">
        <v>3.56200546566213E14</v>
      </c>
      <c r="F959" s="6" t="s">
        <v>1569</v>
      </c>
      <c r="G959" s="6" t="s">
        <v>26</v>
      </c>
      <c r="I959" s="6" t="s">
        <v>4622</v>
      </c>
      <c r="J959" s="6">
        <v>0.0</v>
      </c>
      <c r="L959" s="6">
        <v>530000.0</v>
      </c>
      <c r="M959" s="6" t="s">
        <v>4623</v>
      </c>
      <c r="N959" s="6" t="s">
        <v>2626</v>
      </c>
      <c r="O959" s="6" t="s">
        <v>2626</v>
      </c>
    </row>
    <row r="960">
      <c r="A960" s="6" t="s">
        <v>2191</v>
      </c>
      <c r="B960" s="6" t="s">
        <v>2191</v>
      </c>
      <c r="C960" s="6" t="s">
        <v>4624</v>
      </c>
      <c r="D960" s="6">
        <v>960.0</v>
      </c>
      <c r="E960" s="6">
        <v>3.50114363080305E14</v>
      </c>
      <c r="F960" s="6" t="s">
        <v>93</v>
      </c>
      <c r="G960" s="6" t="s">
        <v>103</v>
      </c>
      <c r="J960" s="6">
        <v>0.0</v>
      </c>
      <c r="L960" s="6">
        <v>0.0</v>
      </c>
      <c r="M960" s="6" t="s">
        <v>4625</v>
      </c>
      <c r="N960" s="6" t="s">
        <v>2626</v>
      </c>
      <c r="O960" s="6" t="s">
        <v>2626</v>
      </c>
    </row>
    <row r="961">
      <c r="A961" s="6" t="s">
        <v>2195</v>
      </c>
      <c r="B961" s="6" t="s">
        <v>2195</v>
      </c>
      <c r="C961" s="6" t="s">
        <v>4626</v>
      </c>
      <c r="D961" s="6">
        <v>961.0</v>
      </c>
      <c r="E961" s="6">
        <v>3.54540530464186E14</v>
      </c>
      <c r="F961" s="6" t="s">
        <v>2192</v>
      </c>
      <c r="G961" s="6" t="s">
        <v>26</v>
      </c>
      <c r="I961" s="6" t="s">
        <v>4622</v>
      </c>
      <c r="J961" s="6">
        <v>0.0</v>
      </c>
      <c r="L961" s="6">
        <v>580000.0</v>
      </c>
      <c r="M961" s="6" t="s">
        <v>4627</v>
      </c>
      <c r="N961" s="6" t="s">
        <v>2626</v>
      </c>
      <c r="O961" s="6" t="s">
        <v>2626</v>
      </c>
    </row>
    <row r="962">
      <c r="A962" s="6" t="s">
        <v>2199</v>
      </c>
      <c r="B962" s="6" t="s">
        <v>2199</v>
      </c>
      <c r="C962" s="6" t="s">
        <v>4628</v>
      </c>
      <c r="D962" s="6">
        <v>962.0</v>
      </c>
      <c r="F962" s="6" t="s">
        <v>2196</v>
      </c>
      <c r="G962" s="6" t="s">
        <v>26</v>
      </c>
      <c r="I962" s="6" t="s">
        <v>4622</v>
      </c>
      <c r="J962" s="6">
        <v>0.0</v>
      </c>
      <c r="L962" s="6">
        <v>13000.0</v>
      </c>
      <c r="M962" s="6" t="s">
        <v>4629</v>
      </c>
      <c r="N962" s="6" t="s">
        <v>2626</v>
      </c>
      <c r="O962" s="6" t="s">
        <v>2626</v>
      </c>
    </row>
    <row r="963">
      <c r="A963" s="6" t="s">
        <v>2203</v>
      </c>
      <c r="B963" s="6" t="s">
        <v>2203</v>
      </c>
      <c r="C963" s="6" t="s">
        <v>4630</v>
      </c>
      <c r="D963" s="6">
        <v>963.0</v>
      </c>
      <c r="F963" s="6" t="s">
        <v>2200</v>
      </c>
      <c r="G963" s="6" t="s">
        <v>26</v>
      </c>
      <c r="I963" s="6" t="s">
        <v>4622</v>
      </c>
      <c r="J963" s="6">
        <v>0.0</v>
      </c>
      <c r="L963" s="6">
        <v>2500.0</v>
      </c>
      <c r="M963" s="6" t="s">
        <v>4631</v>
      </c>
      <c r="N963" s="6" t="s">
        <v>2626</v>
      </c>
      <c r="O963" s="6" t="s">
        <v>2626</v>
      </c>
    </row>
    <row r="964">
      <c r="A964" s="6" t="s">
        <v>2205</v>
      </c>
      <c r="B964" s="6" t="s">
        <v>2205</v>
      </c>
      <c r="C964" s="6" t="s">
        <v>4632</v>
      </c>
      <c r="D964" s="6">
        <v>964.0</v>
      </c>
      <c r="F964" s="6" t="s">
        <v>93</v>
      </c>
      <c r="G964" s="6" t="s">
        <v>26</v>
      </c>
      <c r="I964" s="6" t="s">
        <v>4622</v>
      </c>
      <c r="J964" s="6">
        <v>0.0</v>
      </c>
      <c r="L964" s="6">
        <v>2500.0</v>
      </c>
      <c r="M964" s="6" t="s">
        <v>4633</v>
      </c>
      <c r="N964" s="6" t="s">
        <v>2626</v>
      </c>
      <c r="O964" s="6" t="s">
        <v>2626</v>
      </c>
    </row>
    <row r="965">
      <c r="A965" s="6" t="s">
        <v>2207</v>
      </c>
      <c r="B965" s="6" t="s">
        <v>2207</v>
      </c>
      <c r="C965" s="6" t="s">
        <v>4634</v>
      </c>
      <c r="D965" s="6">
        <v>965.0</v>
      </c>
      <c r="F965" s="6" t="s">
        <v>198</v>
      </c>
      <c r="G965" s="6" t="s">
        <v>26</v>
      </c>
      <c r="I965" s="6" t="s">
        <v>4622</v>
      </c>
      <c r="J965" s="6">
        <v>0.0</v>
      </c>
      <c r="L965" s="6">
        <v>5000.0</v>
      </c>
      <c r="M965" s="6" t="s">
        <v>4635</v>
      </c>
      <c r="N965" s="6" t="s">
        <v>2626</v>
      </c>
      <c r="O965" s="6" t="s">
        <v>2626</v>
      </c>
    </row>
    <row r="966">
      <c r="A966" s="6" t="s">
        <v>2209</v>
      </c>
      <c r="B966" s="6" t="s">
        <v>2209</v>
      </c>
      <c r="C966" s="6" t="s">
        <v>4636</v>
      </c>
      <c r="D966" s="6">
        <v>966.0</v>
      </c>
      <c r="F966" s="6" t="s">
        <v>442</v>
      </c>
      <c r="G966" s="6" t="s">
        <v>121</v>
      </c>
      <c r="J966" s="6">
        <v>0.0</v>
      </c>
      <c r="L966" s="6">
        <v>0.0</v>
      </c>
      <c r="M966" s="6" t="s">
        <v>4637</v>
      </c>
      <c r="N966" s="6" t="s">
        <v>2626</v>
      </c>
      <c r="O966" s="6" t="s">
        <v>2626</v>
      </c>
    </row>
    <row r="967">
      <c r="A967" s="6" t="s">
        <v>2213</v>
      </c>
      <c r="B967" s="6" t="s">
        <v>2213</v>
      </c>
      <c r="C967" s="6" t="s">
        <v>4638</v>
      </c>
      <c r="D967" s="6">
        <v>967.0</v>
      </c>
      <c r="F967" s="6" t="s">
        <v>2210</v>
      </c>
      <c r="G967" s="6" t="s">
        <v>26</v>
      </c>
      <c r="I967" s="6" t="s">
        <v>4622</v>
      </c>
      <c r="J967" s="6">
        <v>0.0</v>
      </c>
      <c r="L967" s="6">
        <v>3000.0</v>
      </c>
      <c r="M967" s="6" t="s">
        <v>4639</v>
      </c>
      <c r="N967" s="6" t="s">
        <v>2626</v>
      </c>
      <c r="O967" s="6" t="s">
        <v>2626</v>
      </c>
    </row>
    <row r="968">
      <c r="A968" s="6" t="s">
        <v>2215</v>
      </c>
      <c r="B968" s="6" t="s">
        <v>2215</v>
      </c>
      <c r="C968" s="6" t="s">
        <v>4640</v>
      </c>
      <c r="D968" s="6">
        <v>968.0</v>
      </c>
      <c r="F968" s="6" t="s">
        <v>442</v>
      </c>
      <c r="G968" s="6" t="s">
        <v>26</v>
      </c>
      <c r="I968" s="6" t="s">
        <v>4622</v>
      </c>
      <c r="J968" s="6">
        <v>0.0</v>
      </c>
      <c r="L968" s="6">
        <v>2500.0</v>
      </c>
      <c r="M968" s="6" t="s">
        <v>4641</v>
      </c>
      <c r="N968" s="6" t="s">
        <v>2626</v>
      </c>
      <c r="O968" s="6" t="s">
        <v>2626</v>
      </c>
    </row>
    <row r="969">
      <c r="A969" s="6" t="s">
        <v>2217</v>
      </c>
      <c r="B969" s="6" t="s">
        <v>2217</v>
      </c>
      <c r="C969" s="6" t="s">
        <v>4642</v>
      </c>
      <c r="D969" s="6">
        <v>969.0</v>
      </c>
      <c r="F969" s="6" t="s">
        <v>400</v>
      </c>
      <c r="G969" s="6" t="s">
        <v>26</v>
      </c>
      <c r="I969" s="6" t="s">
        <v>4622</v>
      </c>
      <c r="J969" s="6">
        <v>0.0</v>
      </c>
      <c r="L969" s="6">
        <v>4000.0</v>
      </c>
      <c r="M969" s="6" t="s">
        <v>4643</v>
      </c>
      <c r="N969" s="6" t="s">
        <v>2626</v>
      </c>
      <c r="O969" s="6" t="s">
        <v>2626</v>
      </c>
    </row>
    <row r="970">
      <c r="A970" s="6" t="s">
        <v>2220</v>
      </c>
      <c r="B970" s="6" t="s">
        <v>2220</v>
      </c>
      <c r="C970" s="6" t="s">
        <v>4644</v>
      </c>
      <c r="D970" s="6">
        <v>970.0</v>
      </c>
      <c r="E970" s="6" t="s">
        <v>2219</v>
      </c>
      <c r="F970" s="6" t="s">
        <v>2118</v>
      </c>
      <c r="G970" s="6" t="s">
        <v>26</v>
      </c>
      <c r="I970" s="6" t="s">
        <v>4622</v>
      </c>
      <c r="J970" s="6">
        <v>0.0</v>
      </c>
      <c r="L970" s="6">
        <v>950000.0</v>
      </c>
      <c r="M970" s="6" t="s">
        <v>4645</v>
      </c>
      <c r="N970" s="6" t="s">
        <v>2626</v>
      </c>
      <c r="O970" s="6" t="s">
        <v>2626</v>
      </c>
    </row>
    <row r="971">
      <c r="A971" s="6" t="s">
        <v>2224</v>
      </c>
      <c r="B971" s="6" t="s">
        <v>2224</v>
      </c>
      <c r="C971" s="6" t="s">
        <v>4646</v>
      </c>
      <c r="D971" s="6">
        <v>971.0</v>
      </c>
      <c r="F971" s="6" t="s">
        <v>2221</v>
      </c>
      <c r="G971" s="6" t="s">
        <v>26</v>
      </c>
      <c r="I971" s="6" t="s">
        <v>4647</v>
      </c>
      <c r="J971" s="6">
        <v>0.0</v>
      </c>
      <c r="L971" s="6">
        <v>2500.0</v>
      </c>
      <c r="M971" s="6" t="s">
        <v>4648</v>
      </c>
      <c r="N971" s="6" t="s">
        <v>2626</v>
      </c>
      <c r="O971" s="6" t="s">
        <v>2626</v>
      </c>
    </row>
    <row r="972">
      <c r="A972" s="6" t="s">
        <v>2225</v>
      </c>
      <c r="B972" s="6" t="s">
        <v>2225</v>
      </c>
      <c r="C972" s="6" t="s">
        <v>4649</v>
      </c>
      <c r="D972" s="6">
        <v>972.0</v>
      </c>
      <c r="F972" s="6" t="s">
        <v>93</v>
      </c>
      <c r="G972" s="6" t="s">
        <v>26</v>
      </c>
      <c r="I972" s="6" t="s">
        <v>4647</v>
      </c>
      <c r="J972" s="6">
        <v>0.0</v>
      </c>
      <c r="L972" s="6">
        <v>2500.0</v>
      </c>
      <c r="M972" s="6" t="s">
        <v>4650</v>
      </c>
      <c r="N972" s="6" t="s">
        <v>2626</v>
      </c>
      <c r="O972" s="6" t="s">
        <v>2626</v>
      </c>
    </row>
    <row r="973">
      <c r="A973" s="6" t="s">
        <v>2227</v>
      </c>
      <c r="B973" s="6" t="s">
        <v>2227</v>
      </c>
      <c r="C973" s="6" t="s">
        <v>4651</v>
      </c>
      <c r="D973" s="6">
        <v>973.0</v>
      </c>
      <c r="F973" s="6" t="s">
        <v>60</v>
      </c>
      <c r="G973" s="6" t="s">
        <v>121</v>
      </c>
      <c r="J973" s="6">
        <v>0.0</v>
      </c>
      <c r="L973" s="6">
        <v>0.0</v>
      </c>
      <c r="M973" s="6" t="s">
        <v>4652</v>
      </c>
      <c r="N973" s="6" t="s">
        <v>2626</v>
      </c>
      <c r="O973" s="6" t="s">
        <v>2626</v>
      </c>
    </row>
    <row r="974">
      <c r="A974" s="6" t="s">
        <v>2229</v>
      </c>
      <c r="B974" s="6" t="s">
        <v>2229</v>
      </c>
      <c r="C974" s="6" t="s">
        <v>4653</v>
      </c>
      <c r="D974" s="6">
        <v>974.0</v>
      </c>
      <c r="F974" s="6" t="s">
        <v>442</v>
      </c>
      <c r="G974" s="6" t="s">
        <v>121</v>
      </c>
      <c r="J974" s="6">
        <v>0.0</v>
      </c>
      <c r="L974" s="6">
        <v>0.0</v>
      </c>
      <c r="M974" s="6" t="s">
        <v>4654</v>
      </c>
      <c r="N974" s="6" t="s">
        <v>2626</v>
      </c>
      <c r="O974" s="6" t="s">
        <v>2626</v>
      </c>
    </row>
    <row r="975">
      <c r="A975" s="6" t="s">
        <v>2233</v>
      </c>
      <c r="B975" s="6" t="s">
        <v>2233</v>
      </c>
      <c r="C975" s="6" t="s">
        <v>4655</v>
      </c>
      <c r="D975" s="6">
        <v>975.0</v>
      </c>
      <c r="F975" s="6" t="s">
        <v>2230</v>
      </c>
      <c r="G975" s="6" t="s">
        <v>26</v>
      </c>
      <c r="I975" s="6" t="s">
        <v>4647</v>
      </c>
      <c r="J975" s="6">
        <v>0.0</v>
      </c>
      <c r="L975" s="6">
        <v>5000.0</v>
      </c>
      <c r="M975" s="6" t="s">
        <v>4656</v>
      </c>
      <c r="N975" s="6" t="s">
        <v>2626</v>
      </c>
      <c r="O975" s="6" t="s">
        <v>2626</v>
      </c>
    </row>
    <row r="976">
      <c r="A976" s="6" t="s">
        <v>2237</v>
      </c>
      <c r="B976" s="6" t="s">
        <v>2237</v>
      </c>
      <c r="C976" s="6" t="s">
        <v>4657</v>
      </c>
      <c r="D976" s="6">
        <v>976.0</v>
      </c>
      <c r="F976" s="6" t="s">
        <v>2234</v>
      </c>
      <c r="G976" s="6" t="s">
        <v>26</v>
      </c>
      <c r="I976" s="6" t="s">
        <v>4647</v>
      </c>
      <c r="J976" s="6">
        <v>0.0</v>
      </c>
      <c r="L976" s="6">
        <v>5000.0</v>
      </c>
      <c r="M976" s="6" t="s">
        <v>4658</v>
      </c>
      <c r="N976" s="6" t="s">
        <v>2626</v>
      </c>
      <c r="O976" s="6" t="s">
        <v>2626</v>
      </c>
    </row>
    <row r="977">
      <c r="A977" s="6" t="s">
        <v>2239</v>
      </c>
      <c r="B977" s="6" t="s">
        <v>2239</v>
      </c>
      <c r="C977" s="6" t="s">
        <v>4659</v>
      </c>
      <c r="D977" s="6">
        <v>977.0</v>
      </c>
      <c r="F977" s="6" t="s">
        <v>78</v>
      </c>
      <c r="G977" s="6" t="s">
        <v>121</v>
      </c>
      <c r="J977" s="6">
        <v>0.0</v>
      </c>
      <c r="L977" s="6">
        <v>0.0</v>
      </c>
      <c r="M977" s="6" t="s">
        <v>4660</v>
      </c>
      <c r="N977" s="6" t="s">
        <v>2626</v>
      </c>
      <c r="O977" s="6" t="s">
        <v>2626</v>
      </c>
    </row>
    <row r="978">
      <c r="A978" s="6" t="s">
        <v>2243</v>
      </c>
      <c r="B978" s="6" t="s">
        <v>2243</v>
      </c>
      <c r="C978" s="6" t="s">
        <v>4661</v>
      </c>
      <c r="D978" s="6">
        <v>978.0</v>
      </c>
      <c r="F978" s="6" t="s">
        <v>2240</v>
      </c>
      <c r="G978" s="6" t="s">
        <v>26</v>
      </c>
      <c r="I978" s="6" t="s">
        <v>4647</v>
      </c>
      <c r="J978" s="6">
        <v>0.0</v>
      </c>
      <c r="L978" s="6">
        <v>25000.0</v>
      </c>
      <c r="M978" s="6" t="s">
        <v>4662</v>
      </c>
      <c r="N978" s="6" t="s">
        <v>2626</v>
      </c>
      <c r="O978" s="6" t="s">
        <v>2626</v>
      </c>
    </row>
    <row r="979">
      <c r="A979" s="6" t="s">
        <v>2245</v>
      </c>
      <c r="B979" s="6" t="s">
        <v>2245</v>
      </c>
      <c r="C979" s="6" t="s">
        <v>4663</v>
      </c>
      <c r="D979" s="6">
        <v>979.0</v>
      </c>
      <c r="F979" s="6" t="s">
        <v>23</v>
      </c>
      <c r="G979" s="6" t="s">
        <v>121</v>
      </c>
      <c r="J979" s="6">
        <v>0.0</v>
      </c>
      <c r="L979" s="6">
        <v>0.0</v>
      </c>
      <c r="M979" s="6" t="s">
        <v>4664</v>
      </c>
      <c r="N979" s="6" t="s">
        <v>2626</v>
      </c>
      <c r="O979" s="6" t="s">
        <v>2626</v>
      </c>
    </row>
    <row r="980">
      <c r="A980" s="6" t="s">
        <v>2247</v>
      </c>
      <c r="B980" s="6" t="s">
        <v>2247</v>
      </c>
      <c r="C980" s="6" t="s">
        <v>4665</v>
      </c>
      <c r="D980" s="6">
        <v>980.0</v>
      </c>
      <c r="F980" s="6" t="s">
        <v>1994</v>
      </c>
      <c r="G980" s="6" t="s">
        <v>121</v>
      </c>
      <c r="J980" s="6">
        <v>0.0</v>
      </c>
      <c r="L980" s="6">
        <v>0.0</v>
      </c>
      <c r="M980" s="6" t="s">
        <v>4666</v>
      </c>
      <c r="N980" s="6" t="s">
        <v>2626</v>
      </c>
      <c r="O980" s="6" t="s">
        <v>2626</v>
      </c>
    </row>
    <row r="981">
      <c r="A981" s="6" t="s">
        <v>2251</v>
      </c>
      <c r="B981" s="6" t="s">
        <v>2251</v>
      </c>
      <c r="C981" s="6" t="s">
        <v>4667</v>
      </c>
      <c r="D981" s="6">
        <v>981.0</v>
      </c>
      <c r="F981" s="6" t="s">
        <v>2248</v>
      </c>
      <c r="G981" s="6" t="s">
        <v>26</v>
      </c>
      <c r="I981" s="6" t="s">
        <v>4647</v>
      </c>
      <c r="J981" s="6">
        <v>0.0</v>
      </c>
      <c r="L981" s="6">
        <v>3000.0</v>
      </c>
      <c r="M981" s="6" t="s">
        <v>4668</v>
      </c>
      <c r="N981" s="6" t="s">
        <v>2626</v>
      </c>
      <c r="O981" s="6" t="s">
        <v>2626</v>
      </c>
    </row>
    <row r="982">
      <c r="A982" s="6" t="s">
        <v>2253</v>
      </c>
      <c r="B982" s="6" t="s">
        <v>2253</v>
      </c>
      <c r="C982" s="6" t="s">
        <v>4669</v>
      </c>
      <c r="D982" s="6">
        <v>982.0</v>
      </c>
      <c r="F982" s="6" t="s">
        <v>50</v>
      </c>
      <c r="G982" s="6" t="s">
        <v>26</v>
      </c>
      <c r="I982" s="6" t="s">
        <v>4647</v>
      </c>
      <c r="J982" s="6">
        <v>0.0</v>
      </c>
      <c r="L982" s="6">
        <v>2500.0</v>
      </c>
      <c r="M982" s="6" t="s">
        <v>4670</v>
      </c>
      <c r="N982" s="6" t="s">
        <v>2626</v>
      </c>
      <c r="O982" s="6" t="s">
        <v>2626</v>
      </c>
    </row>
    <row r="983">
      <c r="A983" s="6" t="s">
        <v>2254</v>
      </c>
      <c r="B983" s="6" t="s">
        <v>2254</v>
      </c>
      <c r="C983" s="6" t="s">
        <v>4671</v>
      </c>
      <c r="D983" s="6">
        <v>983.0</v>
      </c>
      <c r="E983" s="6" t="s">
        <v>285</v>
      </c>
      <c r="F983" s="6" t="s">
        <v>140</v>
      </c>
      <c r="G983" s="6" t="s">
        <v>285</v>
      </c>
      <c r="J983" s="6">
        <v>0.0</v>
      </c>
      <c r="L983" s="6">
        <v>0.0</v>
      </c>
      <c r="M983" s="6" t="s">
        <v>4672</v>
      </c>
      <c r="N983" s="6" t="s">
        <v>2626</v>
      </c>
      <c r="O983" s="6" t="s">
        <v>2626</v>
      </c>
    </row>
    <row r="984">
      <c r="A984" s="6" t="s">
        <v>2255</v>
      </c>
      <c r="B984" s="6" t="s">
        <v>2255</v>
      </c>
      <c r="C984" s="6" t="s">
        <v>4673</v>
      </c>
      <c r="D984" s="6">
        <v>984.0</v>
      </c>
      <c r="E984" s="6" t="s">
        <v>285</v>
      </c>
      <c r="F984" s="6" t="s">
        <v>140</v>
      </c>
      <c r="G984" s="6" t="s">
        <v>285</v>
      </c>
      <c r="J984" s="6">
        <v>0.0</v>
      </c>
      <c r="L984" s="6">
        <v>0.0</v>
      </c>
      <c r="M984" s="6" t="s">
        <v>4674</v>
      </c>
      <c r="N984" s="6" t="s">
        <v>2626</v>
      </c>
      <c r="O984" s="6" t="s">
        <v>2626</v>
      </c>
    </row>
    <row r="985">
      <c r="A985" s="6" t="s">
        <v>2256</v>
      </c>
      <c r="B985" s="6" t="s">
        <v>2256</v>
      </c>
      <c r="C985" s="6" t="s">
        <v>4675</v>
      </c>
      <c r="D985" s="6">
        <v>985.0</v>
      </c>
      <c r="E985" s="6" t="s">
        <v>285</v>
      </c>
      <c r="F985" s="6" t="s">
        <v>140</v>
      </c>
      <c r="G985" s="6" t="s">
        <v>508</v>
      </c>
      <c r="J985" s="6">
        <v>0.0</v>
      </c>
      <c r="L985" s="6">
        <v>0.0</v>
      </c>
      <c r="M985" s="6" t="s">
        <v>4676</v>
      </c>
      <c r="N985" s="6" t="s">
        <v>2626</v>
      </c>
      <c r="O985" s="6" t="s">
        <v>2626</v>
      </c>
    </row>
    <row r="986">
      <c r="A986" s="6" t="s">
        <v>2257</v>
      </c>
      <c r="B986" s="6" t="s">
        <v>2257</v>
      </c>
      <c r="C986" s="6" t="s">
        <v>4677</v>
      </c>
      <c r="D986" s="6">
        <v>986.0</v>
      </c>
      <c r="E986" s="6" t="s">
        <v>285</v>
      </c>
      <c r="F986" s="6" t="s">
        <v>140</v>
      </c>
      <c r="J986" s="6">
        <v>0.0</v>
      </c>
      <c r="L986" s="6">
        <v>0.0</v>
      </c>
      <c r="M986" s="6" t="s">
        <v>4678</v>
      </c>
      <c r="N986" s="6" t="s">
        <v>2626</v>
      </c>
      <c r="O986" s="6" t="s">
        <v>2626</v>
      </c>
    </row>
    <row r="987">
      <c r="A987" s="6" t="s">
        <v>2258</v>
      </c>
      <c r="B987" s="6" t="s">
        <v>2258</v>
      </c>
      <c r="C987" s="6" t="s">
        <v>4679</v>
      </c>
      <c r="D987" s="6">
        <v>987.0</v>
      </c>
      <c r="E987" s="6" t="s">
        <v>285</v>
      </c>
      <c r="F987" s="6" t="s">
        <v>285</v>
      </c>
      <c r="J987" s="6">
        <v>0.0</v>
      </c>
      <c r="L987" s="6">
        <v>0.0</v>
      </c>
      <c r="M987" s="6" t="s">
        <v>4680</v>
      </c>
      <c r="N987" s="6" t="s">
        <v>2626</v>
      </c>
      <c r="O987" s="6" t="s">
        <v>2626</v>
      </c>
    </row>
    <row r="988">
      <c r="A988" s="6" t="s">
        <v>2259</v>
      </c>
      <c r="B988" s="6" t="s">
        <v>2259</v>
      </c>
      <c r="C988" s="6" t="s">
        <v>4681</v>
      </c>
      <c r="D988" s="6">
        <v>988.0</v>
      </c>
      <c r="E988" s="6" t="s">
        <v>285</v>
      </c>
      <c r="F988" s="6" t="s">
        <v>140</v>
      </c>
      <c r="G988" s="6" t="s">
        <v>285</v>
      </c>
      <c r="J988" s="6">
        <v>0.0</v>
      </c>
      <c r="L988" s="6">
        <v>0.0</v>
      </c>
      <c r="M988" s="6" t="s">
        <v>4682</v>
      </c>
      <c r="N988" s="6" t="s">
        <v>2626</v>
      </c>
      <c r="O988" s="6" t="s">
        <v>2626</v>
      </c>
    </row>
    <row r="989">
      <c r="A989" s="6" t="s">
        <v>2260</v>
      </c>
      <c r="B989" s="6" t="s">
        <v>2260</v>
      </c>
      <c r="C989" s="6" t="s">
        <v>4683</v>
      </c>
      <c r="D989" s="6">
        <v>989.0</v>
      </c>
      <c r="E989" s="6" t="s">
        <v>285</v>
      </c>
      <c r="F989" s="6" t="s">
        <v>285</v>
      </c>
      <c r="G989" s="6" t="s">
        <v>140</v>
      </c>
      <c r="J989" s="6">
        <v>0.0</v>
      </c>
      <c r="L989" s="6">
        <v>0.0</v>
      </c>
      <c r="M989" s="6" t="s">
        <v>4684</v>
      </c>
      <c r="N989" s="6" t="s">
        <v>2626</v>
      </c>
      <c r="O989" s="6" t="s">
        <v>2626</v>
      </c>
    </row>
    <row r="990">
      <c r="A990" s="6" t="s">
        <v>2261</v>
      </c>
      <c r="B990" s="6" t="s">
        <v>2261</v>
      </c>
      <c r="C990" s="6" t="s">
        <v>4685</v>
      </c>
      <c r="D990" s="6">
        <v>990.0</v>
      </c>
      <c r="E990" s="6" t="s">
        <v>285</v>
      </c>
      <c r="F990" s="6" t="s">
        <v>140</v>
      </c>
      <c r="G990" s="6" t="s">
        <v>285</v>
      </c>
      <c r="J990" s="6">
        <v>0.0</v>
      </c>
      <c r="L990" s="6">
        <v>0.0</v>
      </c>
      <c r="M990" s="6" t="s">
        <v>4686</v>
      </c>
      <c r="N990" s="6" t="s">
        <v>2626</v>
      </c>
      <c r="O990" s="6" t="s">
        <v>2626</v>
      </c>
    </row>
    <row r="991">
      <c r="A991" s="6" t="s">
        <v>2262</v>
      </c>
      <c r="B991" s="6" t="s">
        <v>2262</v>
      </c>
      <c r="C991" s="6" t="s">
        <v>4687</v>
      </c>
      <c r="D991" s="6">
        <v>991.0</v>
      </c>
      <c r="E991" s="6" t="s">
        <v>285</v>
      </c>
      <c r="F991" s="6" t="s">
        <v>140</v>
      </c>
      <c r="J991" s="6">
        <v>0.0</v>
      </c>
      <c r="L991" s="6">
        <v>0.0</v>
      </c>
      <c r="M991" s="6" t="s">
        <v>4688</v>
      </c>
      <c r="N991" s="6" t="s">
        <v>2626</v>
      </c>
      <c r="O991" s="6" t="s">
        <v>2626</v>
      </c>
    </row>
    <row r="992">
      <c r="A992" s="6" t="s">
        <v>2264</v>
      </c>
      <c r="B992" s="6" t="s">
        <v>2264</v>
      </c>
      <c r="C992" s="6" t="s">
        <v>4689</v>
      </c>
      <c r="D992" s="6">
        <v>992.0</v>
      </c>
      <c r="F992" s="6" t="s">
        <v>442</v>
      </c>
      <c r="G992" s="6" t="s">
        <v>121</v>
      </c>
      <c r="J992" s="6">
        <v>0.0</v>
      </c>
      <c r="L992" s="6">
        <v>0.0</v>
      </c>
      <c r="M992" s="6" t="s">
        <v>4690</v>
      </c>
      <c r="N992" s="6" t="s">
        <v>2626</v>
      </c>
      <c r="O992" s="6" t="s">
        <v>2626</v>
      </c>
    </row>
    <row r="993">
      <c r="A993" s="6" t="s">
        <v>2268</v>
      </c>
      <c r="B993" s="6" t="s">
        <v>2268</v>
      </c>
      <c r="C993" s="6" t="s">
        <v>4691</v>
      </c>
      <c r="D993" s="6">
        <v>993.0</v>
      </c>
      <c r="F993" s="6" t="s">
        <v>2265</v>
      </c>
      <c r="G993" s="6" t="s">
        <v>26</v>
      </c>
      <c r="I993" s="6" t="s">
        <v>4692</v>
      </c>
      <c r="J993" s="6">
        <v>0.0</v>
      </c>
      <c r="L993" s="6">
        <v>2500.0</v>
      </c>
      <c r="M993" s="6" t="s">
        <v>4693</v>
      </c>
      <c r="N993" s="6" t="s">
        <v>2626</v>
      </c>
      <c r="O993" s="6" t="s">
        <v>2626</v>
      </c>
    </row>
    <row r="994">
      <c r="A994" s="6" t="s">
        <v>2269</v>
      </c>
      <c r="B994" s="6" t="s">
        <v>2269</v>
      </c>
      <c r="C994" s="6" t="s">
        <v>4694</v>
      </c>
      <c r="D994" s="6">
        <v>994.0</v>
      </c>
      <c r="F994" s="6" t="s">
        <v>1417</v>
      </c>
      <c r="J994" s="6">
        <v>0.0</v>
      </c>
      <c r="L994" s="6">
        <v>0.0</v>
      </c>
      <c r="M994" s="6" t="s">
        <v>4695</v>
      </c>
      <c r="N994" s="6" t="s">
        <v>2626</v>
      </c>
      <c r="O994" s="6" t="s">
        <v>2626</v>
      </c>
    </row>
    <row r="995">
      <c r="A995" s="6" t="s">
        <v>2271</v>
      </c>
      <c r="B995" s="6" t="s">
        <v>2271</v>
      </c>
      <c r="C995" s="6" t="s">
        <v>4696</v>
      </c>
      <c r="D995" s="6">
        <v>995.0</v>
      </c>
      <c r="F995" s="6" t="s">
        <v>2060</v>
      </c>
      <c r="G995" s="6" t="s">
        <v>26</v>
      </c>
      <c r="I995" s="6" t="s">
        <v>4692</v>
      </c>
      <c r="J995" s="6">
        <v>0.0</v>
      </c>
      <c r="L995" s="6">
        <v>3000.0</v>
      </c>
      <c r="M995" s="6" t="s">
        <v>4697</v>
      </c>
      <c r="N995" s="6" t="s">
        <v>2626</v>
      </c>
      <c r="O995" s="6" t="s">
        <v>2626</v>
      </c>
    </row>
    <row r="996">
      <c r="A996" s="6" t="s">
        <v>2274</v>
      </c>
      <c r="B996" s="6" t="s">
        <v>2274</v>
      </c>
      <c r="C996" s="6" t="s">
        <v>4698</v>
      </c>
      <c r="D996" s="6">
        <v>996.0</v>
      </c>
      <c r="E996" s="6">
        <v>3.59814712534123E14</v>
      </c>
      <c r="F996" s="6" t="s">
        <v>221</v>
      </c>
      <c r="G996" s="6" t="s">
        <v>26</v>
      </c>
      <c r="I996" s="6" t="s">
        <v>4692</v>
      </c>
      <c r="J996" s="6">
        <v>0.0</v>
      </c>
      <c r="L996" s="6">
        <v>1260000.0</v>
      </c>
      <c r="M996" s="6" t="s">
        <v>4699</v>
      </c>
      <c r="N996" s="6" t="s">
        <v>2626</v>
      </c>
      <c r="O996" s="6" t="s">
        <v>2626</v>
      </c>
    </row>
    <row r="997">
      <c r="A997" s="6" t="s">
        <v>2275</v>
      </c>
      <c r="B997" s="6" t="s">
        <v>2275</v>
      </c>
      <c r="C997" s="6" t="s">
        <v>4700</v>
      </c>
      <c r="D997" s="6">
        <v>997.0</v>
      </c>
      <c r="E997" s="6">
        <v>3.50114363080305E14</v>
      </c>
      <c r="F997" s="6" t="s">
        <v>70</v>
      </c>
      <c r="G997" s="6" t="s">
        <v>26</v>
      </c>
      <c r="I997" s="6" t="s">
        <v>4692</v>
      </c>
      <c r="J997" s="6">
        <v>0.0</v>
      </c>
      <c r="L997" s="6">
        <v>645000.0</v>
      </c>
      <c r="M997" s="6" t="s">
        <v>4701</v>
      </c>
      <c r="N997" s="6" t="s">
        <v>2626</v>
      </c>
      <c r="O997" s="6" t="s">
        <v>2626</v>
      </c>
    </row>
    <row r="998">
      <c r="A998" s="6" t="s">
        <v>2277</v>
      </c>
      <c r="B998" s="6" t="s">
        <v>2277</v>
      </c>
      <c r="C998" s="6" t="s">
        <v>4702</v>
      </c>
      <c r="D998" s="6">
        <v>998.0</v>
      </c>
      <c r="F998" s="6" t="s">
        <v>1468</v>
      </c>
      <c r="G998" s="6" t="s">
        <v>26</v>
      </c>
      <c r="I998" s="6" t="s">
        <v>4692</v>
      </c>
      <c r="J998" s="6">
        <v>0.0</v>
      </c>
      <c r="L998" s="6">
        <v>2500.0</v>
      </c>
      <c r="M998" s="6" t="s">
        <v>4703</v>
      </c>
      <c r="N998" s="6" t="s">
        <v>2626</v>
      </c>
      <c r="O998" s="6" t="s">
        <v>2626</v>
      </c>
    </row>
    <row r="999">
      <c r="A999" s="6" t="s">
        <v>2279</v>
      </c>
      <c r="B999" s="6" t="s">
        <v>2279</v>
      </c>
      <c r="C999" s="6" t="s">
        <v>4704</v>
      </c>
      <c r="D999" s="6">
        <v>999.0</v>
      </c>
      <c r="F999" s="6" t="s">
        <v>1302</v>
      </c>
      <c r="G999" s="6" t="s">
        <v>121</v>
      </c>
      <c r="J999" s="6">
        <v>0.0</v>
      </c>
      <c r="L999" s="6">
        <v>0.0</v>
      </c>
      <c r="M999" s="6" t="s">
        <v>4705</v>
      </c>
      <c r="N999" s="6" t="s">
        <v>2626</v>
      </c>
      <c r="O999" s="6" t="s">
        <v>2626</v>
      </c>
    </row>
    <row r="1000">
      <c r="A1000" s="6" t="s">
        <v>2280</v>
      </c>
      <c r="B1000" s="6" t="s">
        <v>2280</v>
      </c>
      <c r="C1000" s="6" t="s">
        <v>4706</v>
      </c>
      <c r="D1000" s="6">
        <v>1000.0</v>
      </c>
      <c r="F1000" s="6" t="s">
        <v>1994</v>
      </c>
      <c r="G1000" s="6" t="s">
        <v>26</v>
      </c>
      <c r="I1000" s="6" t="s">
        <v>4692</v>
      </c>
      <c r="J1000" s="6">
        <v>0.0</v>
      </c>
      <c r="L1000" s="6">
        <v>3000.0</v>
      </c>
      <c r="M1000" s="6" t="s">
        <v>4707</v>
      </c>
      <c r="N1000" s="6" t="s">
        <v>2626</v>
      </c>
      <c r="O1000" s="6" t="s">
        <v>2626</v>
      </c>
    </row>
    <row r="1001">
      <c r="A1001" s="6" t="s">
        <v>2283</v>
      </c>
      <c r="B1001" s="6" t="s">
        <v>2283</v>
      </c>
      <c r="C1001" s="6" t="s">
        <v>4708</v>
      </c>
      <c r="D1001" s="6">
        <v>1001.0</v>
      </c>
      <c r="F1001" s="6" t="s">
        <v>418</v>
      </c>
      <c r="G1001" s="6" t="s">
        <v>121</v>
      </c>
      <c r="J1001" s="6">
        <v>0.0</v>
      </c>
      <c r="L1001" s="6">
        <v>0.0</v>
      </c>
      <c r="M1001" s="6" t="s">
        <v>4709</v>
      </c>
      <c r="N1001" s="6" t="s">
        <v>2626</v>
      </c>
      <c r="O1001" s="6" t="s">
        <v>2626</v>
      </c>
    </row>
    <row r="1002">
      <c r="A1002" s="6" t="s">
        <v>2287</v>
      </c>
      <c r="B1002" s="6" t="s">
        <v>2287</v>
      </c>
      <c r="C1002" s="6" t="s">
        <v>4710</v>
      </c>
      <c r="D1002" s="6">
        <v>1002.0</v>
      </c>
      <c r="F1002" s="6" t="s">
        <v>2284</v>
      </c>
      <c r="G1002" s="6" t="s">
        <v>121</v>
      </c>
      <c r="J1002" s="6">
        <v>0.0</v>
      </c>
      <c r="L1002" s="6">
        <v>0.0</v>
      </c>
      <c r="M1002" s="6" t="s">
        <v>4711</v>
      </c>
      <c r="N1002" s="6" t="s">
        <v>2626</v>
      </c>
      <c r="O1002" s="6" t="s">
        <v>2626</v>
      </c>
    </row>
    <row r="1003">
      <c r="A1003" s="6" t="s">
        <v>2289</v>
      </c>
      <c r="B1003" s="6" t="s">
        <v>2289</v>
      </c>
      <c r="C1003" s="6" t="s">
        <v>4712</v>
      </c>
      <c r="D1003" s="6">
        <v>1003.0</v>
      </c>
      <c r="F1003" s="6" t="s">
        <v>306</v>
      </c>
      <c r="G1003" s="6" t="s">
        <v>121</v>
      </c>
      <c r="J1003" s="6">
        <v>0.0</v>
      </c>
      <c r="L1003" s="6">
        <v>0.0</v>
      </c>
      <c r="M1003" s="6" t="s">
        <v>4713</v>
      </c>
      <c r="N1003" s="6" t="s">
        <v>2626</v>
      </c>
      <c r="O1003" s="6" t="s">
        <v>2626</v>
      </c>
    </row>
    <row r="1004">
      <c r="A1004" s="6" t="s">
        <v>2291</v>
      </c>
      <c r="B1004" s="6" t="s">
        <v>2291</v>
      </c>
      <c r="C1004" s="6" t="s">
        <v>4714</v>
      </c>
      <c r="D1004" s="6">
        <v>1004.0</v>
      </c>
      <c r="F1004" s="6" t="s">
        <v>413</v>
      </c>
      <c r="G1004" s="6" t="s">
        <v>121</v>
      </c>
      <c r="J1004" s="6">
        <v>0.0</v>
      </c>
      <c r="L1004" s="6">
        <v>0.0</v>
      </c>
      <c r="M1004" s="6" t="s">
        <v>4715</v>
      </c>
      <c r="N1004" s="6" t="s">
        <v>2626</v>
      </c>
      <c r="O1004" s="6" t="s">
        <v>2626</v>
      </c>
    </row>
    <row r="1005">
      <c r="A1005" s="6" t="s">
        <v>2295</v>
      </c>
      <c r="B1005" s="6" t="s">
        <v>2295</v>
      </c>
      <c r="C1005" s="6" t="s">
        <v>4716</v>
      </c>
      <c r="D1005" s="6">
        <v>1005.0</v>
      </c>
      <c r="F1005" s="6" t="s">
        <v>2292</v>
      </c>
      <c r="G1005" s="6" t="s">
        <v>26</v>
      </c>
      <c r="I1005" s="6" t="s">
        <v>4692</v>
      </c>
      <c r="J1005" s="6">
        <v>0.0</v>
      </c>
      <c r="L1005" s="6">
        <v>10000.0</v>
      </c>
      <c r="M1005" s="6" t="s">
        <v>4717</v>
      </c>
      <c r="N1005" s="6" t="s">
        <v>2626</v>
      </c>
      <c r="O1005" s="6" t="s">
        <v>2626</v>
      </c>
    </row>
    <row r="1006">
      <c r="A1006" s="6" t="s">
        <v>2297</v>
      </c>
      <c r="B1006" s="6" t="s">
        <v>2297</v>
      </c>
      <c r="C1006" s="6" t="s">
        <v>4718</v>
      </c>
      <c r="D1006" s="6">
        <v>1006.0</v>
      </c>
      <c r="F1006" s="6" t="s">
        <v>1980</v>
      </c>
      <c r="G1006" s="6" t="s">
        <v>26</v>
      </c>
      <c r="I1006" s="6" t="s">
        <v>4692</v>
      </c>
      <c r="J1006" s="6">
        <v>0.0</v>
      </c>
      <c r="L1006" s="6">
        <v>3000.0</v>
      </c>
      <c r="M1006" s="6" t="s">
        <v>4719</v>
      </c>
      <c r="N1006" s="6" t="s">
        <v>2626</v>
      </c>
      <c r="O1006" s="6" t="s">
        <v>2626</v>
      </c>
    </row>
    <row r="1007">
      <c r="A1007" s="6" t="s">
        <v>2299</v>
      </c>
      <c r="B1007" s="6" t="s">
        <v>2299</v>
      </c>
      <c r="C1007" s="6" t="s">
        <v>4720</v>
      </c>
      <c r="D1007" s="6">
        <v>1007.0</v>
      </c>
      <c r="F1007" s="6" t="s">
        <v>108</v>
      </c>
      <c r="G1007" s="6" t="s">
        <v>26</v>
      </c>
      <c r="I1007" s="6" t="s">
        <v>4692</v>
      </c>
      <c r="J1007" s="6">
        <v>0.0</v>
      </c>
      <c r="L1007" s="6">
        <v>5000.0</v>
      </c>
      <c r="M1007" s="6" t="s">
        <v>4721</v>
      </c>
      <c r="N1007" s="6" t="s">
        <v>2626</v>
      </c>
      <c r="O1007" s="6" t="s">
        <v>2626</v>
      </c>
    </row>
    <row r="1008">
      <c r="A1008" s="6" t="s">
        <v>2302</v>
      </c>
      <c r="B1008" s="6" t="s">
        <v>2302</v>
      </c>
      <c r="C1008" s="6" t="s">
        <v>4722</v>
      </c>
      <c r="D1008" s="6">
        <v>1008.0</v>
      </c>
      <c r="F1008" s="6" t="s">
        <v>221</v>
      </c>
      <c r="G1008" s="6" t="s">
        <v>26</v>
      </c>
      <c r="I1008" s="6" t="s">
        <v>4692</v>
      </c>
      <c r="J1008" s="6">
        <v>0.0</v>
      </c>
      <c r="L1008" s="6">
        <v>2000.0</v>
      </c>
      <c r="M1008" s="6" t="s">
        <v>4723</v>
      </c>
      <c r="N1008" s="6" t="s">
        <v>2626</v>
      </c>
      <c r="O1008" s="6" t="s">
        <v>2626</v>
      </c>
    </row>
    <row r="1009">
      <c r="A1009" s="6" t="s">
        <v>2304</v>
      </c>
      <c r="B1009" s="6" t="s">
        <v>2304</v>
      </c>
      <c r="C1009" s="6" t="s">
        <v>4724</v>
      </c>
      <c r="D1009" s="6">
        <v>1009.0</v>
      </c>
      <c r="F1009" s="6" t="s">
        <v>485</v>
      </c>
      <c r="G1009" s="6" t="s">
        <v>26</v>
      </c>
      <c r="I1009" s="6" t="s">
        <v>4692</v>
      </c>
      <c r="J1009" s="6">
        <v>0.0</v>
      </c>
      <c r="L1009" s="6">
        <v>2500.0</v>
      </c>
      <c r="M1009" s="6" t="s">
        <v>4725</v>
      </c>
      <c r="N1009" s="6" t="s">
        <v>2626</v>
      </c>
      <c r="O1009" s="6" t="s">
        <v>2626</v>
      </c>
    </row>
    <row r="1010">
      <c r="A1010" s="6" t="s">
        <v>2306</v>
      </c>
      <c r="B1010" s="6" t="s">
        <v>2306</v>
      </c>
      <c r="C1010" s="6" t="s">
        <v>4726</v>
      </c>
      <c r="D1010" s="6">
        <v>1010.0</v>
      </c>
      <c r="F1010" s="6" t="s">
        <v>93</v>
      </c>
      <c r="G1010" s="6" t="s">
        <v>26</v>
      </c>
      <c r="I1010" s="6" t="s">
        <v>4692</v>
      </c>
      <c r="J1010" s="6">
        <v>0.0</v>
      </c>
      <c r="L1010" s="6">
        <v>2500.0</v>
      </c>
      <c r="M1010" s="6" t="s">
        <v>4727</v>
      </c>
      <c r="N1010" s="6" t="s">
        <v>2626</v>
      </c>
      <c r="O1010" s="6" t="s">
        <v>2626</v>
      </c>
    </row>
    <row r="1011">
      <c r="A1011" s="6" t="s">
        <v>2309</v>
      </c>
      <c r="B1011" s="6" t="s">
        <v>2309</v>
      </c>
      <c r="C1011" s="6" t="s">
        <v>4728</v>
      </c>
      <c r="D1011" s="6">
        <v>1011.0</v>
      </c>
      <c r="F1011" s="6" t="s">
        <v>2307</v>
      </c>
      <c r="G1011" s="6" t="s">
        <v>26</v>
      </c>
      <c r="I1011" s="6" t="s">
        <v>4692</v>
      </c>
      <c r="J1011" s="6">
        <v>0.0</v>
      </c>
      <c r="L1011" s="6">
        <v>5000.0</v>
      </c>
      <c r="M1011" s="6" t="s">
        <v>4729</v>
      </c>
      <c r="N1011" s="6" t="s">
        <v>2626</v>
      </c>
      <c r="O1011" s="6" t="s">
        <v>2626</v>
      </c>
    </row>
    <row r="1012">
      <c r="A1012" s="6" t="s">
        <v>2312</v>
      </c>
      <c r="B1012" s="6" t="s">
        <v>2312</v>
      </c>
      <c r="C1012" s="6" t="s">
        <v>4730</v>
      </c>
      <c r="D1012" s="6">
        <v>1012.0</v>
      </c>
      <c r="F1012" s="6" t="s">
        <v>2310</v>
      </c>
      <c r="G1012" s="6" t="s">
        <v>103</v>
      </c>
      <c r="J1012" s="6">
        <v>0.0</v>
      </c>
      <c r="L1012" s="6">
        <v>0.0</v>
      </c>
      <c r="M1012" s="6" t="s">
        <v>4731</v>
      </c>
      <c r="N1012" s="6" t="s">
        <v>2626</v>
      </c>
      <c r="O1012" s="6" t="s">
        <v>2626</v>
      </c>
    </row>
    <row r="1013">
      <c r="A1013" s="6" t="s">
        <v>2313</v>
      </c>
      <c r="B1013" s="6" t="s">
        <v>2313</v>
      </c>
      <c r="C1013" s="6" t="s">
        <v>4732</v>
      </c>
      <c r="D1013" s="6">
        <v>1013.0</v>
      </c>
      <c r="F1013" s="6" t="s">
        <v>424</v>
      </c>
      <c r="G1013" s="6" t="s">
        <v>121</v>
      </c>
      <c r="J1013" s="6">
        <v>0.0</v>
      </c>
      <c r="L1013" s="6">
        <v>0.0</v>
      </c>
      <c r="M1013" s="6" t="s">
        <v>4733</v>
      </c>
      <c r="N1013" s="6" t="s">
        <v>2626</v>
      </c>
      <c r="O1013" s="6" t="s">
        <v>2626</v>
      </c>
    </row>
    <row r="1014">
      <c r="A1014" s="6" t="s">
        <v>2314</v>
      </c>
      <c r="B1014" s="6" t="s">
        <v>2314</v>
      </c>
      <c r="C1014" s="6" t="s">
        <v>4734</v>
      </c>
      <c r="D1014" s="6">
        <v>1014.0</v>
      </c>
      <c r="E1014" s="6" t="s">
        <v>285</v>
      </c>
      <c r="F1014" s="6" t="s">
        <v>140</v>
      </c>
      <c r="G1014" s="6" t="s">
        <v>140</v>
      </c>
      <c r="J1014" s="6">
        <v>0.0</v>
      </c>
      <c r="L1014" s="6">
        <v>0.0</v>
      </c>
      <c r="M1014" s="6" t="s">
        <v>4735</v>
      </c>
      <c r="N1014" s="6" t="s">
        <v>2626</v>
      </c>
      <c r="O1014" s="6" t="s">
        <v>2626</v>
      </c>
    </row>
    <row r="1015">
      <c r="A1015" s="6" t="s">
        <v>2315</v>
      </c>
      <c r="B1015" s="6" t="s">
        <v>2315</v>
      </c>
      <c r="C1015" s="6" t="s">
        <v>4736</v>
      </c>
      <c r="D1015" s="6">
        <v>1015.0</v>
      </c>
      <c r="E1015" s="6" t="s">
        <v>285</v>
      </c>
      <c r="F1015" s="6" t="s">
        <v>285</v>
      </c>
      <c r="G1015" s="6" t="s">
        <v>140</v>
      </c>
      <c r="J1015" s="6">
        <v>0.0</v>
      </c>
      <c r="L1015" s="6">
        <v>0.0</v>
      </c>
      <c r="M1015" s="6" t="s">
        <v>4737</v>
      </c>
      <c r="N1015" s="6" t="s">
        <v>2626</v>
      </c>
      <c r="O1015" s="6" t="s">
        <v>2626</v>
      </c>
    </row>
    <row r="1016">
      <c r="A1016" s="6" t="s">
        <v>2317</v>
      </c>
      <c r="B1016" s="6" t="s">
        <v>2317</v>
      </c>
      <c r="C1016" s="6" t="s">
        <v>4738</v>
      </c>
      <c r="D1016" s="6">
        <v>1016.0</v>
      </c>
      <c r="F1016" s="6" t="s">
        <v>248</v>
      </c>
      <c r="G1016" s="6" t="s">
        <v>26</v>
      </c>
      <c r="I1016" s="6" t="s">
        <v>4739</v>
      </c>
      <c r="J1016" s="6">
        <v>0.0</v>
      </c>
      <c r="L1016" s="6">
        <v>5000.0</v>
      </c>
      <c r="M1016" s="6" t="s">
        <v>4740</v>
      </c>
      <c r="N1016" s="6" t="s">
        <v>2626</v>
      </c>
      <c r="O1016" s="6" t="s">
        <v>2626</v>
      </c>
    </row>
    <row r="1017">
      <c r="A1017" s="6" t="s">
        <v>2319</v>
      </c>
      <c r="B1017" s="6" t="s">
        <v>2319</v>
      </c>
      <c r="C1017" s="6" t="s">
        <v>4741</v>
      </c>
      <c r="D1017" s="6">
        <v>1017.0</v>
      </c>
      <c r="F1017" s="6" t="s">
        <v>70</v>
      </c>
      <c r="G1017" s="6" t="s">
        <v>26</v>
      </c>
      <c r="I1017" s="6" t="s">
        <v>4739</v>
      </c>
      <c r="J1017" s="6">
        <v>0.0</v>
      </c>
      <c r="L1017" s="6">
        <v>3000.0</v>
      </c>
      <c r="M1017" s="6" t="s">
        <v>4742</v>
      </c>
      <c r="N1017" s="6" t="s">
        <v>2626</v>
      </c>
      <c r="O1017" s="6" t="s">
        <v>2626</v>
      </c>
    </row>
    <row r="1018">
      <c r="A1018" s="6" t="s">
        <v>2321</v>
      </c>
      <c r="B1018" s="6" t="s">
        <v>2321</v>
      </c>
      <c r="C1018" s="6" t="s">
        <v>4743</v>
      </c>
      <c r="D1018" s="6">
        <v>1018.0</v>
      </c>
      <c r="F1018" s="6" t="s">
        <v>70</v>
      </c>
      <c r="G1018" s="6" t="s">
        <v>26</v>
      </c>
      <c r="I1018" s="6" t="s">
        <v>4739</v>
      </c>
      <c r="J1018" s="6">
        <v>0.0</v>
      </c>
      <c r="L1018" s="6">
        <v>2000.0</v>
      </c>
      <c r="M1018" s="6" t="s">
        <v>4744</v>
      </c>
      <c r="N1018" s="6" t="s">
        <v>2626</v>
      </c>
      <c r="O1018" s="6" t="s">
        <v>2626</v>
      </c>
    </row>
    <row r="1019">
      <c r="A1019" s="6" t="s">
        <v>2324</v>
      </c>
      <c r="B1019" s="6" t="s">
        <v>2324</v>
      </c>
      <c r="C1019" s="6" t="s">
        <v>4745</v>
      </c>
      <c r="D1019" s="6">
        <v>1019.0</v>
      </c>
      <c r="F1019" s="6" t="s">
        <v>2322</v>
      </c>
      <c r="G1019" s="6" t="s">
        <v>26</v>
      </c>
      <c r="I1019" s="6" t="s">
        <v>4739</v>
      </c>
      <c r="J1019" s="6">
        <v>0.0</v>
      </c>
      <c r="L1019" s="6">
        <v>3000.0</v>
      </c>
      <c r="M1019" s="6" t="s">
        <v>4746</v>
      </c>
      <c r="N1019" s="6" t="s">
        <v>2626</v>
      </c>
      <c r="O1019" s="6" t="s">
        <v>2626</v>
      </c>
    </row>
    <row r="1020">
      <c r="A1020" s="6" t="s">
        <v>2325</v>
      </c>
      <c r="B1020" s="6" t="s">
        <v>2325</v>
      </c>
      <c r="C1020" s="6" t="s">
        <v>4747</v>
      </c>
      <c r="D1020" s="6">
        <v>1020.0</v>
      </c>
      <c r="F1020" s="6" t="s">
        <v>413</v>
      </c>
      <c r="G1020" s="6" t="s">
        <v>121</v>
      </c>
      <c r="J1020" s="6">
        <v>0.0</v>
      </c>
      <c r="L1020" s="6">
        <v>0.0</v>
      </c>
      <c r="M1020" s="6" t="s">
        <v>4748</v>
      </c>
      <c r="N1020" s="6" t="s">
        <v>2626</v>
      </c>
      <c r="O1020" s="6" t="s">
        <v>2626</v>
      </c>
    </row>
    <row r="1021">
      <c r="A1021" s="6" t="s">
        <v>2326</v>
      </c>
      <c r="B1021" s="6" t="s">
        <v>2326</v>
      </c>
      <c r="C1021" s="6" t="s">
        <v>4749</v>
      </c>
      <c r="D1021" s="6">
        <v>1021.0</v>
      </c>
      <c r="F1021" s="6" t="s">
        <v>18</v>
      </c>
      <c r="G1021" s="6" t="s">
        <v>121</v>
      </c>
      <c r="J1021" s="6">
        <v>0.0</v>
      </c>
      <c r="L1021" s="6">
        <v>0.0</v>
      </c>
      <c r="M1021" s="6" t="s">
        <v>4750</v>
      </c>
      <c r="N1021" s="6" t="s">
        <v>2626</v>
      </c>
      <c r="O1021" s="6" t="s">
        <v>2626</v>
      </c>
    </row>
    <row r="1022">
      <c r="A1022" s="6" t="s">
        <v>2328</v>
      </c>
      <c r="B1022" s="6" t="s">
        <v>2328</v>
      </c>
      <c r="C1022" s="6" t="s">
        <v>4751</v>
      </c>
      <c r="D1022" s="6">
        <v>1022.0</v>
      </c>
      <c r="F1022" s="6" t="s">
        <v>664</v>
      </c>
      <c r="G1022" s="6" t="s">
        <v>121</v>
      </c>
      <c r="J1022" s="6">
        <v>0.0</v>
      </c>
      <c r="L1022" s="6">
        <v>0.0</v>
      </c>
      <c r="M1022" s="6" t="s">
        <v>4752</v>
      </c>
      <c r="N1022" s="6" t="s">
        <v>2626</v>
      </c>
      <c r="O1022" s="6" t="s">
        <v>2626</v>
      </c>
    </row>
    <row r="1023">
      <c r="A1023" s="6" t="s">
        <v>2331</v>
      </c>
      <c r="B1023" s="6" t="s">
        <v>2331</v>
      </c>
      <c r="C1023" s="6" t="s">
        <v>4753</v>
      </c>
      <c r="D1023" s="6">
        <v>1023.0</v>
      </c>
      <c r="F1023" s="6" t="s">
        <v>2329</v>
      </c>
      <c r="G1023" s="6" t="s">
        <v>26</v>
      </c>
      <c r="I1023" s="6" t="s">
        <v>4739</v>
      </c>
      <c r="J1023" s="6">
        <v>0.0</v>
      </c>
      <c r="L1023" s="6">
        <v>3000.0</v>
      </c>
      <c r="M1023" s="6" t="s">
        <v>4754</v>
      </c>
      <c r="N1023" s="6" t="s">
        <v>2626</v>
      </c>
      <c r="O1023" s="6" t="s">
        <v>2626</v>
      </c>
    </row>
    <row r="1024">
      <c r="A1024" s="6" t="s">
        <v>2333</v>
      </c>
      <c r="B1024" s="6" t="s">
        <v>2333</v>
      </c>
      <c r="C1024" s="6" t="s">
        <v>4755</v>
      </c>
      <c r="D1024" s="6">
        <v>1024.0</v>
      </c>
      <c r="F1024" s="6" t="s">
        <v>2332</v>
      </c>
      <c r="G1024" s="6" t="s">
        <v>26</v>
      </c>
      <c r="I1024" s="6" t="s">
        <v>4739</v>
      </c>
      <c r="J1024" s="6">
        <v>0.0</v>
      </c>
      <c r="L1024" s="6">
        <v>75000.0</v>
      </c>
      <c r="M1024" s="6" t="s">
        <v>4756</v>
      </c>
      <c r="N1024" s="6" t="s">
        <v>2626</v>
      </c>
      <c r="O1024" s="6" t="s">
        <v>2626</v>
      </c>
    </row>
    <row r="1025">
      <c r="A1025" s="6" t="s">
        <v>2335</v>
      </c>
      <c r="B1025" s="6" t="s">
        <v>2335</v>
      </c>
      <c r="C1025" s="6" t="s">
        <v>4757</v>
      </c>
      <c r="D1025" s="6">
        <v>1025.0</v>
      </c>
      <c r="F1025" s="6" t="s">
        <v>54</v>
      </c>
      <c r="G1025" s="6" t="s">
        <v>121</v>
      </c>
      <c r="J1025" s="6">
        <v>0.0</v>
      </c>
      <c r="L1025" s="6">
        <v>0.0</v>
      </c>
      <c r="M1025" s="6" t="s">
        <v>4758</v>
      </c>
      <c r="N1025" s="6" t="s">
        <v>2626</v>
      </c>
      <c r="O1025" s="6" t="s">
        <v>2626</v>
      </c>
    </row>
    <row r="1026">
      <c r="A1026" s="6" t="s">
        <v>2337</v>
      </c>
      <c r="B1026" s="6" t="s">
        <v>2337</v>
      </c>
      <c r="C1026" s="6" t="s">
        <v>4759</v>
      </c>
      <c r="D1026" s="6">
        <v>1026.0</v>
      </c>
      <c r="F1026" s="6" t="s">
        <v>424</v>
      </c>
      <c r="G1026" s="6" t="s">
        <v>121</v>
      </c>
      <c r="J1026" s="6">
        <v>0.0</v>
      </c>
      <c r="L1026" s="6">
        <v>0.0</v>
      </c>
      <c r="M1026" s="6" t="s">
        <v>4760</v>
      </c>
      <c r="N1026" s="6" t="s">
        <v>2626</v>
      </c>
      <c r="O1026" s="6" t="s">
        <v>2626</v>
      </c>
    </row>
    <row r="1027">
      <c r="A1027" s="6" t="s">
        <v>2339</v>
      </c>
      <c r="B1027" s="6" t="s">
        <v>2339</v>
      </c>
      <c r="C1027" s="6" t="s">
        <v>4761</v>
      </c>
      <c r="D1027" s="6">
        <v>1027.0</v>
      </c>
      <c r="F1027" s="6" t="s">
        <v>212</v>
      </c>
      <c r="G1027" s="6" t="s">
        <v>26</v>
      </c>
      <c r="I1027" s="6" t="s">
        <v>4739</v>
      </c>
      <c r="J1027" s="6">
        <v>0.0</v>
      </c>
      <c r="L1027" s="6">
        <v>5000.0</v>
      </c>
      <c r="M1027" s="6" t="s">
        <v>4762</v>
      </c>
      <c r="N1027" s="6" t="s">
        <v>2626</v>
      </c>
      <c r="O1027" s="6" t="s">
        <v>2626</v>
      </c>
    </row>
    <row r="1028">
      <c r="A1028" s="6" t="s">
        <v>2342</v>
      </c>
      <c r="B1028" s="6" t="s">
        <v>2342</v>
      </c>
      <c r="C1028" s="6" t="s">
        <v>4763</v>
      </c>
      <c r="D1028" s="6">
        <v>1028.0</v>
      </c>
      <c r="F1028" s="6" t="s">
        <v>2340</v>
      </c>
      <c r="G1028" s="6" t="s">
        <v>26</v>
      </c>
      <c r="I1028" s="6" t="s">
        <v>4739</v>
      </c>
      <c r="J1028" s="6">
        <v>0.0</v>
      </c>
      <c r="L1028" s="6">
        <v>2500.0</v>
      </c>
      <c r="M1028" s="6" t="s">
        <v>4764</v>
      </c>
      <c r="N1028" s="6" t="s">
        <v>2626</v>
      </c>
      <c r="O1028" s="6" t="s">
        <v>2626</v>
      </c>
    </row>
    <row r="1029">
      <c r="A1029" s="6" t="s">
        <v>2344</v>
      </c>
      <c r="B1029" s="6" t="s">
        <v>2344</v>
      </c>
      <c r="C1029" s="6" t="s">
        <v>4765</v>
      </c>
      <c r="D1029" s="6">
        <v>1029.0</v>
      </c>
      <c r="E1029" s="6">
        <v>3.502962726941E14</v>
      </c>
      <c r="F1029" s="6" t="s">
        <v>93</v>
      </c>
      <c r="G1029" s="6" t="s">
        <v>26</v>
      </c>
      <c r="I1029" s="6" t="s">
        <v>4739</v>
      </c>
      <c r="J1029" s="6">
        <v>0.0</v>
      </c>
      <c r="L1029" s="6">
        <v>1680000.0</v>
      </c>
      <c r="M1029" s="6" t="s">
        <v>4766</v>
      </c>
      <c r="N1029" s="6" t="s">
        <v>2626</v>
      </c>
      <c r="O1029" s="6" t="s">
        <v>2626</v>
      </c>
    </row>
    <row r="1030">
      <c r="A1030" s="6" t="s">
        <v>2346</v>
      </c>
      <c r="B1030" s="6" t="s">
        <v>2346</v>
      </c>
      <c r="C1030" s="6" t="s">
        <v>4767</v>
      </c>
      <c r="D1030" s="6">
        <v>1030.0</v>
      </c>
      <c r="F1030" s="6" t="s">
        <v>212</v>
      </c>
      <c r="G1030" s="6" t="s">
        <v>121</v>
      </c>
      <c r="J1030" s="6">
        <v>0.0</v>
      </c>
      <c r="L1030" s="6">
        <v>0.0</v>
      </c>
      <c r="M1030" s="6" t="s">
        <v>4768</v>
      </c>
      <c r="N1030" s="6" t="s">
        <v>2626</v>
      </c>
      <c r="O1030" s="6" t="s">
        <v>2626</v>
      </c>
    </row>
    <row r="1031">
      <c r="A1031" s="6" t="s">
        <v>2347</v>
      </c>
      <c r="B1031" s="6" t="s">
        <v>2347</v>
      </c>
      <c r="C1031" s="6" t="s">
        <v>4769</v>
      </c>
      <c r="D1031" s="6">
        <v>1031.0</v>
      </c>
      <c r="J1031" s="6">
        <v>0.0</v>
      </c>
      <c r="L1031" s="6">
        <v>0.0</v>
      </c>
      <c r="M1031" s="6" t="s">
        <v>4770</v>
      </c>
      <c r="N1031" s="6" t="s">
        <v>2626</v>
      </c>
      <c r="O1031" s="6" t="s">
        <v>2626</v>
      </c>
    </row>
    <row r="1032">
      <c r="A1032" s="6" t="s">
        <v>2348</v>
      </c>
      <c r="B1032" s="6" t="s">
        <v>2348</v>
      </c>
      <c r="C1032" s="6" t="s">
        <v>4771</v>
      </c>
      <c r="D1032" s="6">
        <v>1032.0</v>
      </c>
      <c r="J1032" s="6">
        <v>0.0</v>
      </c>
      <c r="L1032" s="6">
        <v>0.0</v>
      </c>
      <c r="M1032" s="6" t="s">
        <v>4772</v>
      </c>
      <c r="N1032" s="6" t="s">
        <v>2626</v>
      </c>
      <c r="O1032" s="6" t="s">
        <v>2626</v>
      </c>
    </row>
    <row r="1033">
      <c r="A1033" s="6" t="s">
        <v>2349</v>
      </c>
      <c r="B1033" s="6" t="s">
        <v>2349</v>
      </c>
      <c r="C1033" s="6" t="s">
        <v>4773</v>
      </c>
      <c r="D1033" s="6">
        <v>1033.0</v>
      </c>
      <c r="J1033" s="6">
        <v>0.0</v>
      </c>
      <c r="L1033" s="6">
        <v>0.0</v>
      </c>
      <c r="M1033" s="6" t="s">
        <v>4774</v>
      </c>
      <c r="N1033" s="6" t="s">
        <v>2626</v>
      </c>
      <c r="O1033" s="6" t="s">
        <v>2626</v>
      </c>
    </row>
    <row r="1034">
      <c r="A1034" s="6" t="s">
        <v>2350</v>
      </c>
      <c r="B1034" s="6" t="s">
        <v>2350</v>
      </c>
      <c r="C1034" s="6" t="s">
        <v>4775</v>
      </c>
      <c r="D1034" s="6">
        <v>1034.0</v>
      </c>
      <c r="E1034" s="6">
        <v>3.52142372175541E14</v>
      </c>
      <c r="F1034" s="6" t="s">
        <v>2054</v>
      </c>
      <c r="G1034" s="6" t="s">
        <v>26</v>
      </c>
      <c r="I1034" s="6" t="s">
        <v>4776</v>
      </c>
      <c r="J1034" s="6">
        <v>0.0</v>
      </c>
      <c r="L1034" s="6">
        <v>820000.0</v>
      </c>
      <c r="M1034" s="6" t="s">
        <v>4777</v>
      </c>
      <c r="N1034" s="6" t="s">
        <v>2626</v>
      </c>
      <c r="O1034" s="6" t="s">
        <v>2626</v>
      </c>
    </row>
    <row r="1035">
      <c r="A1035" s="6" t="s">
        <v>2353</v>
      </c>
      <c r="B1035" s="6" t="s">
        <v>2353</v>
      </c>
      <c r="C1035" s="6" t="s">
        <v>4778</v>
      </c>
      <c r="D1035" s="6">
        <v>1035.0</v>
      </c>
      <c r="E1035" s="6">
        <v>3.55101470374973E14</v>
      </c>
      <c r="F1035" s="6" t="s">
        <v>605</v>
      </c>
      <c r="G1035" s="6" t="s">
        <v>26</v>
      </c>
      <c r="I1035" s="6" t="s">
        <v>4776</v>
      </c>
      <c r="J1035" s="6">
        <v>0.0</v>
      </c>
      <c r="L1035" s="6">
        <v>1800000.0</v>
      </c>
      <c r="M1035" s="6" t="s">
        <v>4779</v>
      </c>
      <c r="N1035" s="6" t="s">
        <v>2626</v>
      </c>
      <c r="O1035" s="6" t="s">
        <v>2626</v>
      </c>
    </row>
    <row r="1036">
      <c r="A1036" s="6" t="s">
        <v>2355</v>
      </c>
      <c r="B1036" s="6" t="s">
        <v>2355</v>
      </c>
      <c r="C1036" s="6" t="s">
        <v>4780</v>
      </c>
      <c r="D1036" s="6">
        <v>1036.0</v>
      </c>
      <c r="F1036" s="6" t="s">
        <v>93</v>
      </c>
      <c r="G1036" s="6" t="s">
        <v>26</v>
      </c>
      <c r="I1036" s="6" t="s">
        <v>4776</v>
      </c>
      <c r="J1036" s="6">
        <v>0.0</v>
      </c>
      <c r="L1036" s="6">
        <v>3000.0</v>
      </c>
      <c r="M1036" s="6" t="s">
        <v>4781</v>
      </c>
      <c r="N1036" s="6" t="s">
        <v>2626</v>
      </c>
      <c r="O1036" s="6" t="s">
        <v>2626</v>
      </c>
    </row>
    <row r="1037">
      <c r="A1037" s="6" t="s">
        <v>2356</v>
      </c>
      <c r="B1037" s="6" t="s">
        <v>2356</v>
      </c>
      <c r="C1037" s="6" t="s">
        <v>4782</v>
      </c>
      <c r="D1037" s="6">
        <v>1037.0</v>
      </c>
      <c r="F1037" s="6" t="s">
        <v>442</v>
      </c>
      <c r="G1037" s="6" t="s">
        <v>121</v>
      </c>
      <c r="J1037" s="6">
        <v>0.0</v>
      </c>
      <c r="L1037" s="6">
        <v>0.0</v>
      </c>
      <c r="M1037" s="6" t="s">
        <v>4783</v>
      </c>
      <c r="N1037" s="6" t="s">
        <v>2626</v>
      </c>
      <c r="O1037" s="6" t="s">
        <v>2626</v>
      </c>
    </row>
    <row r="1038">
      <c r="A1038" s="6" t="s">
        <v>2358</v>
      </c>
      <c r="B1038" s="6" t="s">
        <v>2358</v>
      </c>
      <c r="C1038" s="6" t="s">
        <v>4784</v>
      </c>
      <c r="D1038" s="6">
        <v>1038.0</v>
      </c>
      <c r="F1038" s="6" t="s">
        <v>93</v>
      </c>
      <c r="G1038" s="6" t="s">
        <v>26</v>
      </c>
      <c r="I1038" s="6" t="s">
        <v>4776</v>
      </c>
      <c r="J1038" s="6">
        <v>0.0</v>
      </c>
      <c r="L1038" s="6">
        <v>2500.0</v>
      </c>
      <c r="M1038" s="6" t="s">
        <v>4785</v>
      </c>
      <c r="N1038" s="6" t="s">
        <v>2626</v>
      </c>
      <c r="O1038" s="6" t="s">
        <v>2626</v>
      </c>
    </row>
    <row r="1039">
      <c r="A1039" s="6" t="s">
        <v>2359</v>
      </c>
      <c r="B1039" s="6" t="s">
        <v>2359</v>
      </c>
      <c r="C1039" s="6" t="s">
        <v>4786</v>
      </c>
      <c r="D1039" s="6">
        <v>1039.0</v>
      </c>
      <c r="F1039" s="6" t="s">
        <v>400</v>
      </c>
      <c r="G1039" s="6" t="s">
        <v>26</v>
      </c>
      <c r="I1039" s="6" t="s">
        <v>4776</v>
      </c>
      <c r="J1039" s="6">
        <v>0.0</v>
      </c>
      <c r="L1039" s="6">
        <v>3000.0</v>
      </c>
      <c r="M1039" s="6" t="s">
        <v>4787</v>
      </c>
      <c r="N1039" s="6" t="s">
        <v>2626</v>
      </c>
      <c r="O1039" s="6" t="s">
        <v>2626</v>
      </c>
    </row>
    <row r="1040">
      <c r="A1040" s="6" t="s">
        <v>2361</v>
      </c>
      <c r="B1040" s="6" t="s">
        <v>2361</v>
      </c>
      <c r="C1040" s="6" t="s">
        <v>4788</v>
      </c>
      <c r="D1040" s="6">
        <v>1040.0</v>
      </c>
      <c r="F1040" s="6" t="s">
        <v>418</v>
      </c>
      <c r="G1040" s="6" t="s">
        <v>26</v>
      </c>
      <c r="I1040" s="6" t="s">
        <v>4776</v>
      </c>
      <c r="J1040" s="6">
        <v>0.0</v>
      </c>
      <c r="L1040" s="6">
        <v>5000.0</v>
      </c>
      <c r="M1040" s="6" t="s">
        <v>4789</v>
      </c>
      <c r="N1040" s="6" t="s">
        <v>2626</v>
      </c>
      <c r="O1040" s="6" t="s">
        <v>2626</v>
      </c>
    </row>
    <row r="1041">
      <c r="A1041" s="6" t="s">
        <v>2363</v>
      </c>
      <c r="B1041" s="6" t="s">
        <v>2363</v>
      </c>
      <c r="C1041" s="6" t="s">
        <v>4790</v>
      </c>
      <c r="D1041" s="6">
        <v>1041.0</v>
      </c>
      <c r="F1041" s="6" t="s">
        <v>485</v>
      </c>
      <c r="G1041" s="6" t="s">
        <v>26</v>
      </c>
      <c r="I1041" s="6" t="s">
        <v>4776</v>
      </c>
      <c r="J1041" s="6">
        <v>0.0</v>
      </c>
      <c r="L1041" s="6">
        <v>145000.0</v>
      </c>
      <c r="M1041" s="6" t="s">
        <v>4791</v>
      </c>
      <c r="N1041" s="6" t="s">
        <v>2626</v>
      </c>
      <c r="O1041" s="6" t="s">
        <v>2626</v>
      </c>
    </row>
    <row r="1042">
      <c r="A1042" s="6" t="s">
        <v>2364</v>
      </c>
      <c r="B1042" s="6" t="s">
        <v>2364</v>
      </c>
      <c r="C1042" s="6" t="s">
        <v>4792</v>
      </c>
      <c r="D1042" s="6">
        <v>1042.0</v>
      </c>
      <c r="E1042" s="6">
        <v>3.53718462738667E14</v>
      </c>
      <c r="F1042" s="6" t="s">
        <v>605</v>
      </c>
      <c r="G1042" s="6" t="s">
        <v>103</v>
      </c>
      <c r="J1042" s="6">
        <v>0.0</v>
      </c>
      <c r="L1042" s="6">
        <v>0.0</v>
      </c>
      <c r="M1042" s="6" t="s">
        <v>4793</v>
      </c>
      <c r="N1042" s="6" t="s">
        <v>2626</v>
      </c>
      <c r="O1042" s="6" t="s">
        <v>2626</v>
      </c>
    </row>
    <row r="1043">
      <c r="A1043" s="6" t="s">
        <v>2366</v>
      </c>
      <c r="B1043" s="6" t="s">
        <v>2366</v>
      </c>
      <c r="C1043" s="6" t="s">
        <v>4794</v>
      </c>
      <c r="D1043" s="6">
        <v>1043.0</v>
      </c>
      <c r="F1043" s="6" t="s">
        <v>613</v>
      </c>
      <c r="G1043" s="6" t="s">
        <v>26</v>
      </c>
      <c r="I1043" s="6" t="s">
        <v>4776</v>
      </c>
      <c r="J1043" s="6">
        <v>0.0</v>
      </c>
      <c r="L1043" s="6">
        <v>2500.0</v>
      </c>
      <c r="M1043" s="6" t="s">
        <v>4795</v>
      </c>
      <c r="N1043" s="6" t="s">
        <v>2626</v>
      </c>
      <c r="O1043" s="6" t="s">
        <v>2626</v>
      </c>
    </row>
    <row r="1044">
      <c r="A1044" s="6" t="s">
        <v>2368</v>
      </c>
      <c r="B1044" s="6" t="s">
        <v>2368</v>
      </c>
      <c r="C1044" s="6" t="s">
        <v>4796</v>
      </c>
      <c r="D1044" s="6">
        <v>1044.0</v>
      </c>
      <c r="F1044" s="6" t="s">
        <v>70</v>
      </c>
      <c r="G1044" s="6" t="s">
        <v>121</v>
      </c>
      <c r="J1044" s="6">
        <v>0.0</v>
      </c>
      <c r="L1044" s="6">
        <v>0.0</v>
      </c>
      <c r="M1044" s="6" t="s">
        <v>4797</v>
      </c>
      <c r="N1044" s="6" t="s">
        <v>2626</v>
      </c>
      <c r="O1044" s="6" t="s">
        <v>2626</v>
      </c>
    </row>
    <row r="1045">
      <c r="A1045" s="6" t="s">
        <v>2372</v>
      </c>
      <c r="B1045" s="6" t="s">
        <v>2372</v>
      </c>
      <c r="C1045" s="6" t="s">
        <v>4798</v>
      </c>
      <c r="D1045" s="6">
        <v>1045.0</v>
      </c>
      <c r="F1045" s="6" t="s">
        <v>2370</v>
      </c>
      <c r="G1045" s="6" t="s">
        <v>26</v>
      </c>
      <c r="I1045" s="6" t="s">
        <v>4776</v>
      </c>
      <c r="J1045" s="6">
        <v>0.0</v>
      </c>
      <c r="L1045" s="6">
        <v>10000.0</v>
      </c>
      <c r="M1045" s="6" t="s">
        <v>4799</v>
      </c>
      <c r="N1045" s="6" t="s">
        <v>2626</v>
      </c>
      <c r="O1045" s="6" t="s">
        <v>2626</v>
      </c>
    </row>
    <row r="1046">
      <c r="A1046" s="6" t="s">
        <v>2374</v>
      </c>
      <c r="B1046" s="6" t="s">
        <v>2374</v>
      </c>
      <c r="C1046" s="6" t="s">
        <v>4800</v>
      </c>
      <c r="D1046" s="6">
        <v>1046.0</v>
      </c>
      <c r="F1046" s="6" t="s">
        <v>2373</v>
      </c>
      <c r="G1046" s="6" t="s">
        <v>26</v>
      </c>
      <c r="I1046" s="6" t="s">
        <v>4776</v>
      </c>
      <c r="J1046" s="6">
        <v>0.0</v>
      </c>
      <c r="L1046" s="6">
        <v>5000.0</v>
      </c>
      <c r="M1046" s="6" t="s">
        <v>4801</v>
      </c>
      <c r="N1046" s="6" t="s">
        <v>2626</v>
      </c>
      <c r="O1046" s="6" t="s">
        <v>2626</v>
      </c>
    </row>
    <row r="1047">
      <c r="A1047" s="6" t="s">
        <v>2377</v>
      </c>
      <c r="B1047" s="6" t="s">
        <v>2377</v>
      </c>
      <c r="C1047" s="6" t="s">
        <v>4802</v>
      </c>
      <c r="D1047" s="6">
        <v>1047.0</v>
      </c>
      <c r="F1047" s="6" t="s">
        <v>64</v>
      </c>
      <c r="G1047" s="6" t="s">
        <v>121</v>
      </c>
      <c r="J1047" s="6">
        <v>0.0</v>
      </c>
      <c r="L1047" s="6">
        <v>0.0</v>
      </c>
      <c r="M1047" s="6" t="s">
        <v>4803</v>
      </c>
      <c r="N1047" s="6" t="s">
        <v>2626</v>
      </c>
      <c r="O1047" s="6" t="s">
        <v>2626</v>
      </c>
    </row>
    <row r="1048">
      <c r="A1048" s="6" t="s">
        <v>2380</v>
      </c>
      <c r="B1048" s="6" t="s">
        <v>2380</v>
      </c>
      <c r="C1048" s="6" t="s">
        <v>4804</v>
      </c>
      <c r="D1048" s="6">
        <v>1048.0</v>
      </c>
      <c r="F1048" s="6" t="s">
        <v>2310</v>
      </c>
      <c r="G1048" s="6" t="s">
        <v>26</v>
      </c>
      <c r="I1048" s="6" t="s">
        <v>4805</v>
      </c>
      <c r="J1048" s="6">
        <v>0.0</v>
      </c>
      <c r="L1048" s="6">
        <v>40000.0</v>
      </c>
      <c r="M1048" s="6" t="s">
        <v>4806</v>
      </c>
      <c r="N1048" s="6" t="s">
        <v>2626</v>
      </c>
      <c r="O1048" s="6" t="s">
        <v>2626</v>
      </c>
    </row>
    <row r="1049">
      <c r="A1049" s="6" t="s">
        <v>2383</v>
      </c>
      <c r="B1049" s="6" t="s">
        <v>2383</v>
      </c>
      <c r="C1049" s="6" t="s">
        <v>4807</v>
      </c>
      <c r="D1049" s="6">
        <v>1049.0</v>
      </c>
      <c r="F1049" s="6" t="s">
        <v>2381</v>
      </c>
      <c r="G1049" s="6" t="s">
        <v>26</v>
      </c>
      <c r="I1049" s="6" t="s">
        <v>4805</v>
      </c>
      <c r="J1049" s="6">
        <v>0.0</v>
      </c>
      <c r="L1049" s="6">
        <v>5000.0</v>
      </c>
      <c r="M1049" s="6" t="s">
        <v>4808</v>
      </c>
      <c r="N1049" s="6" t="s">
        <v>2626</v>
      </c>
      <c r="O1049" s="6" t="s">
        <v>2626</v>
      </c>
    </row>
    <row r="1050">
      <c r="A1050" s="6" t="s">
        <v>2386</v>
      </c>
      <c r="B1050" s="6" t="s">
        <v>2386</v>
      </c>
      <c r="C1050" s="6" t="s">
        <v>4809</v>
      </c>
      <c r="D1050" s="6">
        <v>1050.0</v>
      </c>
      <c r="E1050" s="6">
        <v>3.5746352673296E14</v>
      </c>
      <c r="F1050" s="6" t="s">
        <v>2384</v>
      </c>
      <c r="G1050" s="6" t="s">
        <v>26</v>
      </c>
      <c r="I1050" s="6" t="s">
        <v>4805</v>
      </c>
      <c r="J1050" s="6">
        <v>0.0</v>
      </c>
      <c r="L1050" s="6">
        <v>240000.0</v>
      </c>
      <c r="M1050" s="6" t="s">
        <v>4810</v>
      </c>
      <c r="N1050" s="6" t="s">
        <v>2626</v>
      </c>
      <c r="O1050" s="6" t="s">
        <v>2626</v>
      </c>
    </row>
    <row r="1051">
      <c r="A1051" s="6" t="s">
        <v>2387</v>
      </c>
      <c r="B1051" s="6" t="s">
        <v>2387</v>
      </c>
      <c r="C1051" s="6" t="s">
        <v>4811</v>
      </c>
      <c r="D1051" s="6">
        <v>1051.0</v>
      </c>
      <c r="F1051" s="6" t="s">
        <v>78</v>
      </c>
      <c r="G1051" s="6" t="s">
        <v>121</v>
      </c>
      <c r="J1051" s="6">
        <v>0.0</v>
      </c>
      <c r="L1051" s="6">
        <v>0.0</v>
      </c>
      <c r="M1051" s="6" t="s">
        <v>4812</v>
      </c>
      <c r="N1051" s="6" t="s">
        <v>2626</v>
      </c>
      <c r="O1051" s="6" t="s">
        <v>2626</v>
      </c>
    </row>
    <row r="1052">
      <c r="A1052" s="6" t="s">
        <v>2389</v>
      </c>
      <c r="B1052" s="6" t="s">
        <v>2389</v>
      </c>
      <c r="C1052" s="6" t="s">
        <v>4813</v>
      </c>
      <c r="D1052" s="6">
        <v>1052.0</v>
      </c>
      <c r="F1052" s="6" t="s">
        <v>108</v>
      </c>
      <c r="G1052" s="6" t="s">
        <v>481</v>
      </c>
      <c r="J1052" s="6">
        <v>0.0</v>
      </c>
      <c r="L1052" s="6">
        <v>0.0</v>
      </c>
      <c r="M1052" s="6" t="s">
        <v>4814</v>
      </c>
      <c r="N1052" s="6" t="s">
        <v>2626</v>
      </c>
      <c r="O1052" s="6" t="s">
        <v>2626</v>
      </c>
    </row>
    <row r="1053">
      <c r="A1053" s="6" t="s">
        <v>2391</v>
      </c>
      <c r="B1053" s="6" t="s">
        <v>2391</v>
      </c>
      <c r="C1053" s="6" t="s">
        <v>4815</v>
      </c>
      <c r="D1053" s="6">
        <v>1053.0</v>
      </c>
      <c r="F1053" s="6" t="s">
        <v>2390</v>
      </c>
      <c r="G1053" s="6" t="s">
        <v>26</v>
      </c>
      <c r="I1053" s="6" t="s">
        <v>4805</v>
      </c>
      <c r="J1053" s="6">
        <v>0.0</v>
      </c>
      <c r="L1053" s="6">
        <v>5000.0</v>
      </c>
      <c r="M1053" s="6" t="s">
        <v>4816</v>
      </c>
      <c r="N1053" s="6" t="s">
        <v>2626</v>
      </c>
      <c r="O1053" s="6" t="s">
        <v>2626</v>
      </c>
    </row>
    <row r="1054">
      <c r="A1054" s="6" t="s">
        <v>2393</v>
      </c>
      <c r="B1054" s="6" t="s">
        <v>2393</v>
      </c>
      <c r="C1054" s="6" t="s">
        <v>4817</v>
      </c>
      <c r="D1054" s="6">
        <v>1054.0</v>
      </c>
      <c r="J1054" s="6">
        <v>0.0</v>
      </c>
      <c r="L1054" s="6">
        <v>0.0</v>
      </c>
      <c r="M1054" s="6" t="s">
        <v>4818</v>
      </c>
      <c r="N1054" s="6" t="s">
        <v>2626</v>
      </c>
      <c r="O1054" s="6" t="s">
        <v>2626</v>
      </c>
    </row>
    <row r="1055">
      <c r="A1055" s="6" t="s">
        <v>2394</v>
      </c>
      <c r="B1055" s="6" t="s">
        <v>2394</v>
      </c>
      <c r="C1055" s="6" t="s">
        <v>4819</v>
      </c>
      <c r="D1055" s="6">
        <v>1055.0</v>
      </c>
      <c r="J1055" s="6">
        <v>0.0</v>
      </c>
      <c r="L1055" s="6">
        <v>0.0</v>
      </c>
      <c r="M1055" s="6" t="s">
        <v>4820</v>
      </c>
      <c r="N1055" s="6" t="s">
        <v>2626</v>
      </c>
      <c r="O1055" s="6" t="s">
        <v>2626</v>
      </c>
    </row>
    <row r="1056">
      <c r="A1056" s="6" t="s">
        <v>2395</v>
      </c>
      <c r="B1056" s="6" t="s">
        <v>2395</v>
      </c>
      <c r="C1056" s="6" t="s">
        <v>4821</v>
      </c>
      <c r="D1056" s="6">
        <v>1056.0</v>
      </c>
      <c r="J1056" s="6">
        <v>0.0</v>
      </c>
      <c r="L1056" s="6">
        <v>0.0</v>
      </c>
      <c r="M1056" s="6" t="s">
        <v>4822</v>
      </c>
      <c r="N1056" s="6" t="s">
        <v>2626</v>
      </c>
      <c r="O1056" s="6" t="s">
        <v>2626</v>
      </c>
    </row>
    <row r="1057">
      <c r="A1057" s="6" t="s">
        <v>2397</v>
      </c>
      <c r="B1057" s="6" t="s">
        <v>2397</v>
      </c>
      <c r="C1057" s="6" t="s">
        <v>4823</v>
      </c>
      <c r="D1057" s="6">
        <v>1057.0</v>
      </c>
      <c r="E1057" s="6">
        <v>3.53407178571469E14</v>
      </c>
      <c r="F1057" s="6" t="s">
        <v>984</v>
      </c>
      <c r="G1057" s="6" t="s">
        <v>103</v>
      </c>
      <c r="J1057" s="6">
        <v>0.0</v>
      </c>
      <c r="L1057" s="6">
        <v>0.0</v>
      </c>
      <c r="M1057" s="6" t="s">
        <v>4824</v>
      </c>
      <c r="N1057" s="6" t="s">
        <v>2626</v>
      </c>
      <c r="O1057" s="6" t="s">
        <v>2626</v>
      </c>
    </row>
    <row r="1058">
      <c r="A1058" s="6" t="s">
        <v>2399</v>
      </c>
      <c r="B1058" s="6" t="s">
        <v>2399</v>
      </c>
      <c r="C1058" s="6" t="s">
        <v>4825</v>
      </c>
      <c r="D1058" s="6">
        <v>1058.0</v>
      </c>
      <c r="F1058" s="6" t="s">
        <v>97</v>
      </c>
      <c r="G1058" s="6" t="s">
        <v>121</v>
      </c>
      <c r="J1058" s="6">
        <v>0.0</v>
      </c>
      <c r="L1058" s="6">
        <v>0.0</v>
      </c>
      <c r="M1058" s="6" t="s">
        <v>4826</v>
      </c>
      <c r="N1058" s="6" t="s">
        <v>2626</v>
      </c>
      <c r="O1058" s="6" t="s">
        <v>2626</v>
      </c>
    </row>
    <row r="1059">
      <c r="A1059" s="6" t="s">
        <v>2400</v>
      </c>
      <c r="B1059" s="6" t="s">
        <v>2400</v>
      </c>
      <c r="C1059" s="6" t="s">
        <v>4827</v>
      </c>
      <c r="D1059" s="6">
        <v>1059.0</v>
      </c>
      <c r="E1059" s="6">
        <v>3.54741550229463E14</v>
      </c>
      <c r="F1059" s="6" t="s">
        <v>54</v>
      </c>
      <c r="G1059" s="6" t="s">
        <v>121</v>
      </c>
      <c r="J1059" s="6">
        <v>0.0</v>
      </c>
      <c r="L1059" s="6">
        <v>0.0</v>
      </c>
      <c r="M1059" s="6" t="s">
        <v>4828</v>
      </c>
      <c r="N1059" s="6" t="s">
        <v>2626</v>
      </c>
      <c r="O1059" s="6" t="s">
        <v>2626</v>
      </c>
    </row>
    <row r="1060">
      <c r="A1060" s="6" t="s">
        <v>2401</v>
      </c>
      <c r="B1060" s="6" t="s">
        <v>2401</v>
      </c>
      <c r="C1060" s="6" t="s">
        <v>4829</v>
      </c>
      <c r="D1060" s="6">
        <v>1060.0</v>
      </c>
      <c r="F1060" s="6" t="s">
        <v>54</v>
      </c>
      <c r="G1060" s="6" t="s">
        <v>121</v>
      </c>
      <c r="J1060" s="6">
        <v>0.0</v>
      </c>
      <c r="L1060" s="6">
        <v>0.0</v>
      </c>
      <c r="M1060" s="6" t="s">
        <v>4830</v>
      </c>
      <c r="N1060" s="6" t="s">
        <v>2626</v>
      </c>
      <c r="O1060" s="6" t="s">
        <v>2626</v>
      </c>
    </row>
    <row r="1061">
      <c r="A1061" s="6" t="s">
        <v>2403</v>
      </c>
      <c r="B1061" s="6" t="s">
        <v>2403</v>
      </c>
      <c r="C1061" s="6" t="s">
        <v>4831</v>
      </c>
      <c r="D1061" s="6">
        <v>1061.0</v>
      </c>
      <c r="F1061" s="6" t="s">
        <v>1597</v>
      </c>
      <c r="G1061" s="6" t="s">
        <v>26</v>
      </c>
      <c r="I1061" s="6" t="s">
        <v>4832</v>
      </c>
      <c r="J1061" s="6">
        <v>0.0</v>
      </c>
      <c r="L1061" s="6">
        <v>2500.0</v>
      </c>
      <c r="M1061" s="6" t="s">
        <v>4833</v>
      </c>
      <c r="N1061" s="6" t="s">
        <v>2626</v>
      </c>
      <c r="O1061" s="6" t="s">
        <v>2626</v>
      </c>
    </row>
    <row r="1062">
      <c r="A1062" s="6" t="s">
        <v>2404</v>
      </c>
      <c r="B1062" s="6" t="s">
        <v>2404</v>
      </c>
      <c r="C1062" s="6" t="s">
        <v>4834</v>
      </c>
      <c r="D1062" s="6">
        <v>1062.0</v>
      </c>
      <c r="E1062" s="6">
        <v>3.51829319886468E14</v>
      </c>
      <c r="F1062" s="6" t="s">
        <v>408</v>
      </c>
      <c r="G1062" s="6" t="s">
        <v>26</v>
      </c>
      <c r="I1062" s="6" t="s">
        <v>4832</v>
      </c>
      <c r="J1062" s="6">
        <v>0.0</v>
      </c>
      <c r="L1062" s="6">
        <v>820000.0</v>
      </c>
      <c r="M1062" s="6" t="s">
        <v>4835</v>
      </c>
      <c r="N1062" s="6" t="s">
        <v>2626</v>
      </c>
      <c r="O1062" s="6" t="s">
        <v>2626</v>
      </c>
    </row>
    <row r="1063">
      <c r="A1063" s="6" t="s">
        <v>2406</v>
      </c>
      <c r="B1063" s="6" t="s">
        <v>2406</v>
      </c>
      <c r="C1063" s="6" t="s">
        <v>4836</v>
      </c>
      <c r="D1063" s="6">
        <v>1063.0</v>
      </c>
      <c r="F1063" s="6" t="s">
        <v>1597</v>
      </c>
      <c r="G1063" s="6" t="s">
        <v>26</v>
      </c>
      <c r="I1063" s="6" t="s">
        <v>4832</v>
      </c>
      <c r="J1063" s="6">
        <v>0.0</v>
      </c>
      <c r="L1063" s="6">
        <v>2500.0</v>
      </c>
      <c r="M1063" s="6" t="s">
        <v>4837</v>
      </c>
      <c r="N1063" s="6" t="s">
        <v>2626</v>
      </c>
      <c r="O1063" s="6" t="s">
        <v>2626</v>
      </c>
    </row>
    <row r="1064">
      <c r="A1064" s="6" t="s">
        <v>2408</v>
      </c>
      <c r="B1064" s="6" t="s">
        <v>2408</v>
      </c>
      <c r="C1064" s="6" t="s">
        <v>4838</v>
      </c>
      <c r="D1064" s="6">
        <v>1064.0</v>
      </c>
      <c r="F1064" s="6" t="s">
        <v>70</v>
      </c>
      <c r="G1064" s="6" t="s">
        <v>121</v>
      </c>
      <c r="J1064" s="6">
        <v>0.0</v>
      </c>
      <c r="L1064" s="6">
        <v>0.0</v>
      </c>
      <c r="M1064" s="6" t="s">
        <v>4839</v>
      </c>
      <c r="N1064" s="6" t="s">
        <v>2626</v>
      </c>
      <c r="O1064" s="6" t="s">
        <v>2626</v>
      </c>
    </row>
    <row r="1065">
      <c r="A1065" s="6" t="s">
        <v>2410</v>
      </c>
      <c r="B1065" s="6" t="s">
        <v>2410</v>
      </c>
      <c r="C1065" s="6" t="s">
        <v>4840</v>
      </c>
      <c r="D1065" s="6">
        <v>1065.0</v>
      </c>
      <c r="F1065" s="6" t="s">
        <v>442</v>
      </c>
      <c r="G1065" s="6" t="s">
        <v>121</v>
      </c>
      <c r="J1065" s="6">
        <v>0.0</v>
      </c>
      <c r="L1065" s="6">
        <v>0.0</v>
      </c>
      <c r="M1065" s="6" t="s">
        <v>4841</v>
      </c>
      <c r="N1065" s="6" t="s">
        <v>2626</v>
      </c>
      <c r="O1065" s="6" t="s">
        <v>2626</v>
      </c>
    </row>
    <row r="1066">
      <c r="A1066" s="6" t="s">
        <v>2413</v>
      </c>
      <c r="B1066" s="6" t="s">
        <v>2413</v>
      </c>
      <c r="C1066" s="6" t="s">
        <v>4842</v>
      </c>
      <c r="D1066" s="6">
        <v>1066.0</v>
      </c>
      <c r="F1066" s="6" t="s">
        <v>2411</v>
      </c>
      <c r="G1066" s="6" t="s">
        <v>121</v>
      </c>
      <c r="J1066" s="6">
        <v>0.0</v>
      </c>
      <c r="L1066" s="6">
        <v>0.0</v>
      </c>
      <c r="M1066" s="6" t="s">
        <v>4843</v>
      </c>
      <c r="N1066" s="6" t="s">
        <v>2626</v>
      </c>
      <c r="O1066" s="6" t="s">
        <v>2626</v>
      </c>
    </row>
    <row r="1067">
      <c r="A1067" s="6" t="s">
        <v>2415</v>
      </c>
      <c r="B1067" s="6" t="s">
        <v>2415</v>
      </c>
      <c r="C1067" s="6" t="s">
        <v>4844</v>
      </c>
      <c r="D1067" s="6">
        <v>1067.0</v>
      </c>
      <c r="F1067" s="6" t="s">
        <v>54</v>
      </c>
      <c r="G1067" s="6" t="s">
        <v>121</v>
      </c>
      <c r="J1067" s="6">
        <v>0.0</v>
      </c>
      <c r="L1067" s="6">
        <v>0.0</v>
      </c>
      <c r="M1067" s="6" t="s">
        <v>4845</v>
      </c>
      <c r="N1067" s="6" t="s">
        <v>2626</v>
      </c>
      <c r="O1067" s="6" t="s">
        <v>2626</v>
      </c>
    </row>
    <row r="1068">
      <c r="A1068" s="6" t="s">
        <v>2417</v>
      </c>
      <c r="B1068" s="6" t="s">
        <v>2417</v>
      </c>
      <c r="C1068" s="6" t="s">
        <v>4846</v>
      </c>
      <c r="D1068" s="6">
        <v>1068.0</v>
      </c>
      <c r="F1068" s="6" t="s">
        <v>70</v>
      </c>
      <c r="G1068" s="6" t="s">
        <v>121</v>
      </c>
      <c r="J1068" s="6">
        <v>0.0</v>
      </c>
      <c r="L1068" s="6">
        <v>0.0</v>
      </c>
      <c r="M1068" s="6" t="s">
        <v>4847</v>
      </c>
      <c r="N1068" s="6" t="s">
        <v>2626</v>
      </c>
      <c r="O1068" s="6" t="s">
        <v>2626</v>
      </c>
    </row>
    <row r="1069">
      <c r="A1069" s="6" t="s">
        <v>2419</v>
      </c>
      <c r="B1069" s="6" t="s">
        <v>2419</v>
      </c>
      <c r="C1069" s="6" t="s">
        <v>4848</v>
      </c>
      <c r="D1069" s="6">
        <v>1069.0</v>
      </c>
      <c r="F1069" s="6" t="s">
        <v>212</v>
      </c>
      <c r="G1069" s="6" t="s">
        <v>26</v>
      </c>
      <c r="H1069" s="101">
        <v>46153.0</v>
      </c>
      <c r="I1069" s="6" t="s">
        <v>4849</v>
      </c>
      <c r="J1069" s="6">
        <v>0.0</v>
      </c>
      <c r="K1069" s="6" t="s">
        <v>2418</v>
      </c>
      <c r="L1069" s="6">
        <v>5000.0</v>
      </c>
      <c r="M1069" s="6" t="s">
        <v>4850</v>
      </c>
      <c r="N1069" s="6" t="s">
        <v>2626</v>
      </c>
      <c r="O1069" s="6" t="s">
        <v>2626</v>
      </c>
    </row>
    <row r="1070">
      <c r="A1070" s="6" t="s">
        <v>2420</v>
      </c>
      <c r="B1070" s="6" t="s">
        <v>2420</v>
      </c>
      <c r="C1070" s="6" t="s">
        <v>4851</v>
      </c>
      <c r="D1070" s="6">
        <v>1070.0</v>
      </c>
      <c r="F1070" s="6" t="s">
        <v>89</v>
      </c>
      <c r="G1070" s="6" t="s">
        <v>121</v>
      </c>
      <c r="J1070" s="6">
        <v>0.0</v>
      </c>
      <c r="L1070" s="6">
        <v>0.0</v>
      </c>
      <c r="M1070" s="6" t="s">
        <v>4852</v>
      </c>
      <c r="N1070" s="6" t="s">
        <v>2626</v>
      </c>
      <c r="O1070" s="6" t="s">
        <v>2626</v>
      </c>
    </row>
    <row r="1071">
      <c r="A1071" s="6" t="s">
        <v>2422</v>
      </c>
      <c r="B1071" s="6" t="s">
        <v>2422</v>
      </c>
      <c r="C1071" s="6" t="s">
        <v>4853</v>
      </c>
      <c r="D1071" s="6">
        <v>1071.0</v>
      </c>
      <c r="F1071" s="6" t="s">
        <v>306</v>
      </c>
      <c r="G1071" s="6" t="s">
        <v>121</v>
      </c>
      <c r="J1071" s="6">
        <v>600000.0</v>
      </c>
      <c r="K1071" s="6">
        <v>600000.0</v>
      </c>
      <c r="L1071" s="6">
        <v>0.0</v>
      </c>
      <c r="M1071" s="6" t="s">
        <v>4854</v>
      </c>
      <c r="N1071" s="6" t="s">
        <v>2626</v>
      </c>
      <c r="O1071" s="6" t="s">
        <v>2626</v>
      </c>
    </row>
    <row r="1072">
      <c r="A1072" s="6" t="s">
        <v>2424</v>
      </c>
      <c r="B1072" s="6" t="s">
        <v>2424</v>
      </c>
      <c r="C1072" s="6" t="s">
        <v>4855</v>
      </c>
      <c r="D1072" s="6">
        <v>1072.0</v>
      </c>
      <c r="F1072" s="6" t="s">
        <v>2423</v>
      </c>
      <c r="G1072" s="6" t="s">
        <v>26</v>
      </c>
      <c r="H1072" s="102">
        <v>46153.50021990741</v>
      </c>
      <c r="I1072" s="6" t="s">
        <v>4849</v>
      </c>
      <c r="J1072" s="6">
        <v>0.0</v>
      </c>
      <c r="K1072" s="6" t="s">
        <v>2425</v>
      </c>
      <c r="L1072" s="6">
        <v>5000.0</v>
      </c>
      <c r="M1072" s="6" t="s">
        <v>4856</v>
      </c>
      <c r="N1072" s="6" t="s">
        <v>2626</v>
      </c>
      <c r="O1072" s="6" t="s">
        <v>2626</v>
      </c>
    </row>
    <row r="1073">
      <c r="A1073" s="6" t="s">
        <v>2427</v>
      </c>
      <c r="B1073" s="6" t="s">
        <v>2427</v>
      </c>
      <c r="C1073" s="6" t="s">
        <v>4857</v>
      </c>
      <c r="D1073" s="6">
        <v>1073.0</v>
      </c>
      <c r="E1073" s="6">
        <v>3.55818455602793E14</v>
      </c>
      <c r="F1073" s="6" t="s">
        <v>1657</v>
      </c>
      <c r="G1073" s="6" t="s">
        <v>103</v>
      </c>
      <c r="J1073" s="6">
        <v>0.0</v>
      </c>
      <c r="L1073" s="6">
        <v>0.0</v>
      </c>
      <c r="M1073" s="6" t="s">
        <v>4858</v>
      </c>
      <c r="N1073" s="6" t="s">
        <v>2626</v>
      </c>
      <c r="O1073" s="6" t="s">
        <v>2626</v>
      </c>
    </row>
    <row r="1074">
      <c r="A1074" s="6" t="s">
        <v>2429</v>
      </c>
      <c r="B1074" s="6" t="s">
        <v>2429</v>
      </c>
      <c r="C1074" s="6" t="s">
        <v>4859</v>
      </c>
      <c r="D1074" s="6">
        <v>1074.0</v>
      </c>
      <c r="F1074" s="6" t="s">
        <v>2428</v>
      </c>
      <c r="G1074" s="6" t="s">
        <v>26</v>
      </c>
      <c r="H1074" s="102">
        <v>46153.553761574076</v>
      </c>
      <c r="I1074" s="6" t="s">
        <v>4849</v>
      </c>
      <c r="J1074" s="6">
        <v>0.0</v>
      </c>
      <c r="K1074" s="6" t="s">
        <v>2430</v>
      </c>
      <c r="L1074" s="6">
        <v>3000.0</v>
      </c>
      <c r="M1074" s="6" t="s">
        <v>4860</v>
      </c>
      <c r="N1074" s="6" t="s">
        <v>2626</v>
      </c>
      <c r="O1074" s="6" t="s">
        <v>2626</v>
      </c>
    </row>
    <row r="1075">
      <c r="A1075" s="6" t="s">
        <v>2432</v>
      </c>
      <c r="B1075" s="6" t="s">
        <v>2432</v>
      </c>
      <c r="C1075" s="6" t="s">
        <v>4861</v>
      </c>
      <c r="D1075" s="6">
        <v>1075.0</v>
      </c>
      <c r="E1075" s="6">
        <v>3.53718462738667E14</v>
      </c>
      <c r="F1075" s="6" t="s">
        <v>2431</v>
      </c>
      <c r="G1075" s="6" t="s">
        <v>481</v>
      </c>
      <c r="J1075" s="6">
        <v>0.0</v>
      </c>
      <c r="L1075" s="6">
        <v>0.0</v>
      </c>
      <c r="M1075" s="6" t="s">
        <v>4862</v>
      </c>
      <c r="N1075" s="6" t="s">
        <v>2626</v>
      </c>
      <c r="O1075" s="6" t="s">
        <v>2626</v>
      </c>
    </row>
    <row r="1076">
      <c r="A1076" s="6" t="s">
        <v>2435</v>
      </c>
      <c r="B1076" s="6" t="s">
        <v>2435</v>
      </c>
      <c r="C1076" s="6" t="s">
        <v>4863</v>
      </c>
      <c r="D1076" s="6">
        <v>1076.0</v>
      </c>
      <c r="F1076" s="6" t="s">
        <v>2433</v>
      </c>
      <c r="G1076" s="6" t="s">
        <v>121</v>
      </c>
      <c r="J1076" s="6">
        <v>0.0</v>
      </c>
      <c r="L1076" s="6">
        <v>0.0</v>
      </c>
      <c r="M1076" s="6" t="s">
        <v>4864</v>
      </c>
      <c r="N1076" s="6" t="s">
        <v>2626</v>
      </c>
      <c r="O1076" s="6" t="s">
        <v>2626</v>
      </c>
    </row>
    <row r="1077">
      <c r="A1077" s="6" t="s">
        <v>2437</v>
      </c>
      <c r="B1077" s="6" t="s">
        <v>2437</v>
      </c>
      <c r="C1077" s="6" t="s">
        <v>4865</v>
      </c>
      <c r="D1077" s="6">
        <v>1077.0</v>
      </c>
      <c r="F1077" s="6" t="s">
        <v>2265</v>
      </c>
      <c r="G1077" s="6" t="s">
        <v>26</v>
      </c>
      <c r="H1077" s="101">
        <v>46153.0</v>
      </c>
      <c r="I1077" s="6" t="s">
        <v>4849</v>
      </c>
      <c r="J1077" s="6">
        <v>0.0</v>
      </c>
      <c r="K1077" s="6" t="s">
        <v>2436</v>
      </c>
      <c r="L1077" s="6">
        <v>2500.0</v>
      </c>
      <c r="M1077" s="6" t="s">
        <v>4866</v>
      </c>
      <c r="N1077" s="6" t="s">
        <v>2626</v>
      </c>
      <c r="O1077" s="6" t="s">
        <v>2626</v>
      </c>
    </row>
    <row r="1078">
      <c r="A1078" s="6" t="s">
        <v>2438</v>
      </c>
      <c r="B1078" s="6" t="s">
        <v>2438</v>
      </c>
      <c r="C1078" s="6" t="s">
        <v>4867</v>
      </c>
      <c r="D1078" s="6">
        <v>1078.0</v>
      </c>
      <c r="F1078" s="6" t="s">
        <v>1691</v>
      </c>
      <c r="G1078" s="6" t="s">
        <v>121</v>
      </c>
      <c r="J1078" s="6">
        <v>0.0</v>
      </c>
      <c r="L1078" s="6">
        <v>0.0</v>
      </c>
      <c r="M1078" s="6" t="s">
        <v>4868</v>
      </c>
      <c r="N1078" s="6" t="s">
        <v>2626</v>
      </c>
      <c r="O1078" s="6" t="s">
        <v>2626</v>
      </c>
    </row>
    <row r="1079">
      <c r="A1079" s="6" t="s">
        <v>2439</v>
      </c>
      <c r="B1079" s="6" t="s">
        <v>2439</v>
      </c>
      <c r="C1079" s="6" t="s">
        <v>4869</v>
      </c>
      <c r="D1079" s="6">
        <v>1079.0</v>
      </c>
      <c r="F1079" s="6" t="s">
        <v>78</v>
      </c>
      <c r="G1079" s="6" t="s">
        <v>121</v>
      </c>
      <c r="J1079" s="6">
        <v>0.0</v>
      </c>
      <c r="L1079" s="6">
        <v>0.0</v>
      </c>
      <c r="M1079" s="6" t="s">
        <v>4870</v>
      </c>
      <c r="N1079" s="6" t="s">
        <v>2626</v>
      </c>
      <c r="O1079" s="6" t="s">
        <v>2626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2605</v>
      </c>
      <c r="B1" s="6" t="s">
        <v>2606</v>
      </c>
      <c r="C1" s="6" t="s">
        <v>2607</v>
      </c>
      <c r="D1" s="6" t="s">
        <v>2608</v>
      </c>
      <c r="E1" s="6" t="s">
        <v>2609</v>
      </c>
      <c r="F1" s="6" t="s">
        <v>2610</v>
      </c>
      <c r="G1" s="6" t="s">
        <v>2611</v>
      </c>
      <c r="H1" s="6" t="s">
        <v>2612</v>
      </c>
      <c r="I1" s="6" t="s">
        <v>2613</v>
      </c>
      <c r="J1" s="6" t="s">
        <v>2614</v>
      </c>
      <c r="K1" s="6" t="s">
        <v>2615</v>
      </c>
      <c r="L1" s="6" t="s">
        <v>2616</v>
      </c>
      <c r="M1" s="6" t="s">
        <v>2617</v>
      </c>
      <c r="N1" s="6" t="s">
        <v>2618</v>
      </c>
      <c r="O1" s="6" t="s">
        <v>2619</v>
      </c>
    </row>
    <row r="2">
      <c r="A2" s="6" t="s">
        <v>4871</v>
      </c>
      <c r="B2" s="6" t="s">
        <v>4871</v>
      </c>
      <c r="C2" s="6" t="s">
        <v>4872</v>
      </c>
      <c r="D2" s="6">
        <v>4.0</v>
      </c>
      <c r="E2" s="6">
        <v>3.59428791784739E14</v>
      </c>
      <c r="F2" s="6" t="s">
        <v>4873</v>
      </c>
      <c r="G2" s="6" t="s">
        <v>4874</v>
      </c>
      <c r="J2" s="6">
        <v>0.0</v>
      </c>
      <c r="L2" s="6">
        <v>0.0</v>
      </c>
      <c r="M2" s="6" t="s">
        <v>4875</v>
      </c>
      <c r="N2" s="6" t="s">
        <v>4876</v>
      </c>
      <c r="O2" s="6" t="s">
        <v>4876</v>
      </c>
    </row>
    <row r="3">
      <c r="A3" s="6" t="s">
        <v>4877</v>
      </c>
      <c r="B3" s="6" t="s">
        <v>4877</v>
      </c>
      <c r="C3" s="6" t="s">
        <v>4878</v>
      </c>
      <c r="D3" s="6">
        <v>5.0</v>
      </c>
      <c r="E3" s="6">
        <v>3.52846114777907E14</v>
      </c>
      <c r="F3" s="6" t="s">
        <v>2292</v>
      </c>
      <c r="G3" s="6" t="s">
        <v>4874</v>
      </c>
      <c r="J3" s="6">
        <v>0.0</v>
      </c>
      <c r="L3" s="6">
        <v>0.0</v>
      </c>
      <c r="M3" s="6" t="s">
        <v>4879</v>
      </c>
      <c r="N3" s="6" t="s">
        <v>4880</v>
      </c>
      <c r="O3" s="6" t="s">
        <v>4880</v>
      </c>
    </row>
    <row r="4">
      <c r="A4" s="6" t="s">
        <v>4881</v>
      </c>
      <c r="B4" s="6" t="s">
        <v>4881</v>
      </c>
      <c r="C4" s="6" t="s">
        <v>4882</v>
      </c>
      <c r="D4" s="6">
        <v>6.0</v>
      </c>
      <c r="E4" s="6" t="s">
        <v>4883</v>
      </c>
      <c r="F4" s="6" t="s">
        <v>4884</v>
      </c>
      <c r="G4" s="6" t="s">
        <v>4874</v>
      </c>
      <c r="J4" s="6">
        <v>0.0</v>
      </c>
      <c r="L4" s="6">
        <v>0.0</v>
      </c>
      <c r="M4" s="6" t="s">
        <v>4885</v>
      </c>
      <c r="N4" s="6" t="s">
        <v>4880</v>
      </c>
      <c r="O4" s="6" t="s">
        <v>4880</v>
      </c>
    </row>
    <row r="5">
      <c r="A5" s="6" t="s">
        <v>4886</v>
      </c>
      <c r="B5" s="6" t="s">
        <v>4886</v>
      </c>
      <c r="C5" s="6" t="s">
        <v>4887</v>
      </c>
      <c r="D5" s="6">
        <v>7.0</v>
      </c>
      <c r="E5" s="6">
        <v>3.51646277325994E14</v>
      </c>
      <c r="F5" s="6" t="s">
        <v>1340</v>
      </c>
      <c r="G5" s="6" t="s">
        <v>4874</v>
      </c>
      <c r="J5" s="6">
        <v>0.0</v>
      </c>
      <c r="L5" s="6">
        <v>0.0</v>
      </c>
      <c r="M5" s="6" t="s">
        <v>4888</v>
      </c>
      <c r="N5" s="6" t="s">
        <v>4880</v>
      </c>
      <c r="O5" s="6" t="s">
        <v>4880</v>
      </c>
    </row>
    <row r="6">
      <c r="A6" s="6" t="s">
        <v>4889</v>
      </c>
      <c r="B6" s="6" t="s">
        <v>4889</v>
      </c>
      <c r="C6" s="6" t="s">
        <v>4890</v>
      </c>
      <c r="D6" s="6">
        <v>8.0</v>
      </c>
      <c r="E6" s="6">
        <v>3.57343096709841E14</v>
      </c>
      <c r="F6" s="6" t="s">
        <v>4891</v>
      </c>
      <c r="G6" s="6" t="s">
        <v>4874</v>
      </c>
      <c r="J6" s="6">
        <v>0.0</v>
      </c>
      <c r="L6" s="6">
        <v>0.0</v>
      </c>
      <c r="M6" s="6" t="s">
        <v>4892</v>
      </c>
      <c r="N6" s="6" t="s">
        <v>4880</v>
      </c>
      <c r="O6" s="6" t="s">
        <v>4880</v>
      </c>
    </row>
    <row r="7">
      <c r="A7" s="6" t="s">
        <v>4893</v>
      </c>
      <c r="B7" s="6" t="s">
        <v>4893</v>
      </c>
      <c r="C7" s="6" t="s">
        <v>4894</v>
      </c>
      <c r="D7" s="6">
        <v>9.0</v>
      </c>
      <c r="E7" s="6">
        <v>3.55591190747054E14</v>
      </c>
      <c r="F7" s="6" t="s">
        <v>4895</v>
      </c>
      <c r="G7" s="6" t="s">
        <v>4874</v>
      </c>
      <c r="J7" s="6">
        <v>0.0</v>
      </c>
      <c r="L7" s="6">
        <v>0.0</v>
      </c>
      <c r="M7" s="6" t="s">
        <v>4896</v>
      </c>
      <c r="N7" s="6" t="s">
        <v>4880</v>
      </c>
      <c r="O7" s="6" t="s">
        <v>4880</v>
      </c>
    </row>
    <row r="8">
      <c r="A8" s="6" t="s">
        <v>4897</v>
      </c>
      <c r="B8" s="6" t="s">
        <v>4897</v>
      </c>
      <c r="C8" s="6" t="s">
        <v>4898</v>
      </c>
      <c r="D8" s="6">
        <v>10.0</v>
      </c>
      <c r="E8" s="6">
        <v>3.58614725800789E14</v>
      </c>
      <c r="F8" s="6" t="s">
        <v>4899</v>
      </c>
      <c r="G8" s="6" t="s">
        <v>4874</v>
      </c>
      <c r="J8" s="6">
        <v>0.0</v>
      </c>
      <c r="L8" s="6">
        <v>0.0</v>
      </c>
      <c r="M8" s="6" t="s">
        <v>4900</v>
      </c>
      <c r="N8" s="6" t="s">
        <v>4880</v>
      </c>
      <c r="O8" s="6" t="s">
        <v>4880</v>
      </c>
    </row>
    <row r="9">
      <c r="A9" s="6" t="s">
        <v>4901</v>
      </c>
      <c r="B9" s="6" t="s">
        <v>4901</v>
      </c>
      <c r="C9" s="6" t="s">
        <v>4902</v>
      </c>
      <c r="D9" s="6">
        <v>11.0</v>
      </c>
      <c r="E9" s="6">
        <v>3.56028100922757E14</v>
      </c>
      <c r="F9" s="6" t="s">
        <v>4891</v>
      </c>
      <c r="G9" s="6" t="s">
        <v>4874</v>
      </c>
      <c r="J9" s="6">
        <v>0.0</v>
      </c>
      <c r="L9" s="6">
        <v>0.0</v>
      </c>
      <c r="M9" s="6" t="s">
        <v>4903</v>
      </c>
      <c r="N9" s="6" t="s">
        <v>4880</v>
      </c>
      <c r="O9" s="6" t="s">
        <v>4880</v>
      </c>
    </row>
    <row r="10">
      <c r="A10" s="6" t="s">
        <v>4904</v>
      </c>
      <c r="B10" s="6" t="s">
        <v>4904</v>
      </c>
      <c r="C10" s="6" t="s">
        <v>4905</v>
      </c>
      <c r="D10" s="6">
        <v>12.0</v>
      </c>
      <c r="E10" s="6">
        <v>3.56611841620473E14</v>
      </c>
      <c r="F10" s="6" t="s">
        <v>306</v>
      </c>
      <c r="G10" s="6" t="s">
        <v>4874</v>
      </c>
      <c r="J10" s="6">
        <v>0.0</v>
      </c>
      <c r="L10" s="6">
        <v>0.0</v>
      </c>
      <c r="M10" s="6" t="s">
        <v>4906</v>
      </c>
      <c r="N10" s="6" t="s">
        <v>4880</v>
      </c>
      <c r="O10" s="6" t="s">
        <v>4880</v>
      </c>
    </row>
    <row r="11">
      <c r="A11" s="6" t="s">
        <v>4907</v>
      </c>
      <c r="B11" s="6" t="s">
        <v>4907</v>
      </c>
      <c r="C11" s="6" t="s">
        <v>4908</v>
      </c>
      <c r="D11" s="6">
        <v>13.0</v>
      </c>
      <c r="E11" s="6" t="s">
        <v>4909</v>
      </c>
      <c r="G11" s="6" t="s">
        <v>4874</v>
      </c>
      <c r="J11" s="6">
        <v>0.0</v>
      </c>
      <c r="L11" s="6">
        <v>0.0</v>
      </c>
      <c r="M11" s="6" t="s">
        <v>4910</v>
      </c>
      <c r="N11" s="6" t="s">
        <v>4880</v>
      </c>
      <c r="O11" s="6" t="s">
        <v>4880</v>
      </c>
    </row>
    <row r="12">
      <c r="A12" s="6" t="s">
        <v>4911</v>
      </c>
      <c r="B12" s="6" t="s">
        <v>4911</v>
      </c>
      <c r="C12" s="6" t="s">
        <v>4912</v>
      </c>
      <c r="D12" s="6">
        <v>14.0</v>
      </c>
      <c r="E12" s="6" t="s">
        <v>4913</v>
      </c>
      <c r="F12" s="6" t="s">
        <v>4914</v>
      </c>
      <c r="G12" s="6" t="s">
        <v>4874</v>
      </c>
      <c r="J12" s="6">
        <v>0.0</v>
      </c>
      <c r="L12" s="6">
        <v>0.0</v>
      </c>
      <c r="M12" s="6" t="s">
        <v>4915</v>
      </c>
      <c r="N12" s="6" t="s">
        <v>4880</v>
      </c>
      <c r="O12" s="6" t="s">
        <v>4880</v>
      </c>
    </row>
    <row r="13">
      <c r="A13" s="6" t="s">
        <v>4916</v>
      </c>
      <c r="B13" s="6" t="s">
        <v>4916</v>
      </c>
      <c r="C13" s="6" t="s">
        <v>4917</v>
      </c>
      <c r="D13" s="6">
        <v>15.0</v>
      </c>
      <c r="E13" s="6">
        <v>3.56370160169592E14</v>
      </c>
      <c r="F13" s="6" t="s">
        <v>46</v>
      </c>
      <c r="G13" s="6" t="s">
        <v>4874</v>
      </c>
      <c r="J13" s="6">
        <v>0.0</v>
      </c>
      <c r="L13" s="6">
        <v>0.0</v>
      </c>
      <c r="M13" s="6" t="s">
        <v>4918</v>
      </c>
      <c r="N13" s="6" t="s">
        <v>4880</v>
      </c>
      <c r="O13" s="6" t="s">
        <v>4880</v>
      </c>
    </row>
    <row r="14">
      <c r="A14" s="6" t="s">
        <v>4919</v>
      </c>
      <c r="B14" s="6" t="s">
        <v>4919</v>
      </c>
      <c r="C14" s="6" t="s">
        <v>4920</v>
      </c>
      <c r="D14" s="6">
        <v>16.0</v>
      </c>
      <c r="E14" s="6">
        <v>3.51048874153335E14</v>
      </c>
      <c r="F14" s="6" t="s">
        <v>54</v>
      </c>
      <c r="G14" s="6" t="s">
        <v>4874</v>
      </c>
      <c r="J14" s="6">
        <v>0.0</v>
      </c>
      <c r="L14" s="6">
        <v>0.0</v>
      </c>
      <c r="M14" s="6" t="s">
        <v>4921</v>
      </c>
      <c r="N14" s="6" t="s">
        <v>4880</v>
      </c>
      <c r="O14" s="6" t="s">
        <v>4880</v>
      </c>
    </row>
    <row r="15">
      <c r="A15" s="6" t="s">
        <v>4922</v>
      </c>
      <c r="B15" s="6" t="s">
        <v>4922</v>
      </c>
      <c r="C15" s="6" t="s">
        <v>4923</v>
      </c>
      <c r="D15" s="6">
        <v>17.0</v>
      </c>
      <c r="E15" s="6" t="s">
        <v>4924</v>
      </c>
      <c r="F15" s="6" t="s">
        <v>254</v>
      </c>
      <c r="G15" s="6" t="s">
        <v>4874</v>
      </c>
      <c r="J15" s="6">
        <v>0.0</v>
      </c>
      <c r="L15" s="6">
        <v>0.0</v>
      </c>
      <c r="M15" s="6" t="s">
        <v>4925</v>
      </c>
      <c r="N15" s="6" t="s">
        <v>4880</v>
      </c>
      <c r="O15" s="6" t="s">
        <v>4880</v>
      </c>
    </row>
    <row r="16">
      <c r="A16" s="6" t="s">
        <v>4926</v>
      </c>
      <c r="B16" s="6" t="s">
        <v>4926</v>
      </c>
      <c r="C16" s="6" t="s">
        <v>4927</v>
      </c>
      <c r="D16" s="6">
        <v>18.0</v>
      </c>
      <c r="E16" s="6">
        <v>3.53342884127308E14</v>
      </c>
      <c r="F16" s="6" t="s">
        <v>404</v>
      </c>
      <c r="G16" s="6" t="s">
        <v>4874</v>
      </c>
      <c r="J16" s="6">
        <v>0.0</v>
      </c>
      <c r="L16" s="6">
        <v>0.0</v>
      </c>
      <c r="M16" s="6" t="s">
        <v>4928</v>
      </c>
      <c r="N16" s="6" t="s">
        <v>4880</v>
      </c>
      <c r="O16" s="6" t="s">
        <v>4880</v>
      </c>
    </row>
    <row r="17">
      <c r="A17" s="6" t="s">
        <v>4929</v>
      </c>
      <c r="B17" s="6" t="s">
        <v>4929</v>
      </c>
      <c r="C17" s="6" t="s">
        <v>4930</v>
      </c>
      <c r="D17" s="6">
        <v>19.0</v>
      </c>
      <c r="E17" s="6" t="s">
        <v>4931</v>
      </c>
      <c r="F17" s="6" t="s">
        <v>205</v>
      </c>
      <c r="G17" s="6" t="s">
        <v>4874</v>
      </c>
      <c r="J17" s="6">
        <v>0.0</v>
      </c>
      <c r="L17" s="6">
        <v>0.0</v>
      </c>
      <c r="M17" s="6" t="s">
        <v>4932</v>
      </c>
      <c r="N17" s="6" t="s">
        <v>4880</v>
      </c>
      <c r="O17" s="6" t="s">
        <v>4880</v>
      </c>
    </row>
    <row r="18">
      <c r="A18" s="6" t="s">
        <v>4933</v>
      </c>
      <c r="B18" s="6" t="s">
        <v>4933</v>
      </c>
      <c r="C18" s="6" t="s">
        <v>4934</v>
      </c>
      <c r="D18" s="6">
        <v>20.0</v>
      </c>
      <c r="E18" s="6">
        <v>3.55185496137241E14</v>
      </c>
      <c r="F18" s="6" t="s">
        <v>4935</v>
      </c>
      <c r="G18" s="6" t="s">
        <v>4874</v>
      </c>
      <c r="J18" s="6">
        <v>0.0</v>
      </c>
      <c r="L18" s="6">
        <v>0.0</v>
      </c>
      <c r="M18" s="6" t="s">
        <v>4936</v>
      </c>
      <c r="N18" s="6" t="s">
        <v>4880</v>
      </c>
      <c r="O18" s="6" t="s">
        <v>4880</v>
      </c>
    </row>
    <row r="19">
      <c r="A19" s="6" t="s">
        <v>4937</v>
      </c>
      <c r="B19" s="6" t="s">
        <v>4937</v>
      </c>
      <c r="C19" s="6" t="s">
        <v>4938</v>
      </c>
      <c r="D19" s="6">
        <v>21.0</v>
      </c>
      <c r="E19" s="6">
        <v>3.54242631252863E14</v>
      </c>
      <c r="F19" s="6" t="s">
        <v>4939</v>
      </c>
      <c r="G19" s="6" t="s">
        <v>4874</v>
      </c>
      <c r="J19" s="6">
        <v>0.0</v>
      </c>
      <c r="L19" s="6">
        <v>0.0</v>
      </c>
      <c r="M19" s="6" t="s">
        <v>4940</v>
      </c>
      <c r="N19" s="6" t="s">
        <v>4880</v>
      </c>
      <c r="O19" s="6" t="s">
        <v>4880</v>
      </c>
    </row>
    <row r="20">
      <c r="A20" s="6" t="s">
        <v>4941</v>
      </c>
      <c r="B20" s="6" t="s">
        <v>4941</v>
      </c>
      <c r="C20" s="6" t="s">
        <v>4942</v>
      </c>
      <c r="D20" s="6">
        <v>22.0</v>
      </c>
      <c r="E20" s="6">
        <v>3.53303090689978E14</v>
      </c>
      <c r="F20" s="6" t="s">
        <v>4943</v>
      </c>
      <c r="G20" s="6" t="s">
        <v>4874</v>
      </c>
      <c r="J20" s="6">
        <v>0.0</v>
      </c>
      <c r="L20" s="6">
        <v>0.0</v>
      </c>
      <c r="M20" s="6" t="s">
        <v>4944</v>
      </c>
      <c r="N20" s="6" t="s">
        <v>4880</v>
      </c>
      <c r="O20" s="6" t="s">
        <v>4880</v>
      </c>
    </row>
    <row r="21">
      <c r="A21" s="6" t="s">
        <v>4945</v>
      </c>
      <c r="B21" s="6" t="s">
        <v>4945</v>
      </c>
      <c r="C21" s="6" t="s">
        <v>4946</v>
      </c>
      <c r="D21" s="6">
        <v>23.0</v>
      </c>
      <c r="E21" s="6" t="s">
        <v>4947</v>
      </c>
      <c r="F21" s="6" t="s">
        <v>205</v>
      </c>
      <c r="G21" s="6" t="s">
        <v>4874</v>
      </c>
      <c r="J21" s="6">
        <v>0.0</v>
      </c>
      <c r="L21" s="6">
        <v>0.0</v>
      </c>
      <c r="M21" s="6" t="s">
        <v>4948</v>
      </c>
      <c r="N21" s="6" t="s">
        <v>4880</v>
      </c>
      <c r="O21" s="6" t="s">
        <v>4880</v>
      </c>
    </row>
    <row r="22">
      <c r="A22" s="6" t="s">
        <v>4949</v>
      </c>
      <c r="B22" s="6" t="s">
        <v>4949</v>
      </c>
      <c r="C22" s="6" t="s">
        <v>4950</v>
      </c>
      <c r="D22" s="6">
        <v>24.0</v>
      </c>
      <c r="E22" s="6">
        <v>3.53629306995779E14</v>
      </c>
      <c r="F22" s="6" t="s">
        <v>54</v>
      </c>
      <c r="G22" s="6" t="s">
        <v>4874</v>
      </c>
      <c r="J22" s="6">
        <v>0.0</v>
      </c>
      <c r="L22" s="6">
        <v>0.0</v>
      </c>
      <c r="M22" s="6" t="s">
        <v>4951</v>
      </c>
      <c r="N22" s="6" t="s">
        <v>4880</v>
      </c>
      <c r="O22" s="6" t="s">
        <v>4880</v>
      </c>
    </row>
    <row r="23">
      <c r="A23" s="6" t="s">
        <v>4952</v>
      </c>
      <c r="B23" s="6" t="s">
        <v>4952</v>
      </c>
      <c r="C23" s="6" t="s">
        <v>4953</v>
      </c>
      <c r="D23" s="6">
        <v>25.0</v>
      </c>
      <c r="E23" s="6">
        <v>3.53629303850753E14</v>
      </c>
      <c r="F23" s="6" t="s">
        <v>46</v>
      </c>
      <c r="G23" s="6" t="s">
        <v>4874</v>
      </c>
      <c r="J23" s="6">
        <v>0.0</v>
      </c>
      <c r="L23" s="6">
        <v>0.0</v>
      </c>
      <c r="M23" s="6" t="s">
        <v>4954</v>
      </c>
      <c r="N23" s="6" t="s">
        <v>4880</v>
      </c>
      <c r="O23" s="6" t="s">
        <v>4880</v>
      </c>
    </row>
    <row r="24">
      <c r="A24" s="6" t="s">
        <v>4955</v>
      </c>
      <c r="B24" s="6" t="s">
        <v>4955</v>
      </c>
      <c r="C24" s="6" t="s">
        <v>4956</v>
      </c>
      <c r="D24" s="6">
        <v>26.0</v>
      </c>
      <c r="E24" s="6">
        <v>3.50686386107454E14</v>
      </c>
      <c r="F24" s="6" t="s">
        <v>4957</v>
      </c>
      <c r="G24" s="6" t="s">
        <v>4874</v>
      </c>
      <c r="J24" s="6">
        <v>0.0</v>
      </c>
      <c r="L24" s="6">
        <v>0.0</v>
      </c>
      <c r="M24" s="6" t="s">
        <v>4958</v>
      </c>
      <c r="N24" s="6" t="s">
        <v>4880</v>
      </c>
      <c r="O24" s="6" t="s">
        <v>4880</v>
      </c>
    </row>
    <row r="25">
      <c r="A25" s="6" t="s">
        <v>4959</v>
      </c>
      <c r="B25" s="6" t="s">
        <v>4959</v>
      </c>
      <c r="C25" s="6" t="s">
        <v>4960</v>
      </c>
      <c r="D25" s="6">
        <v>27.0</v>
      </c>
      <c r="E25" s="6">
        <v>3.528511142827E14</v>
      </c>
      <c r="F25" s="6" t="s">
        <v>4961</v>
      </c>
      <c r="G25" s="6" t="s">
        <v>4874</v>
      </c>
      <c r="J25" s="6">
        <v>0.0</v>
      </c>
      <c r="L25" s="6">
        <v>0.0</v>
      </c>
      <c r="M25" s="6" t="s">
        <v>4962</v>
      </c>
      <c r="N25" s="6" t="s">
        <v>4880</v>
      </c>
      <c r="O25" s="6" t="s">
        <v>4880</v>
      </c>
    </row>
    <row r="26">
      <c r="A26" s="6" t="s">
        <v>4963</v>
      </c>
      <c r="B26" s="6" t="s">
        <v>4963</v>
      </c>
      <c r="C26" s="6" t="s">
        <v>4964</v>
      </c>
      <c r="D26" s="6">
        <v>28.0</v>
      </c>
      <c r="E26" s="6">
        <v>3.57275795496378E14</v>
      </c>
      <c r="F26" s="6" t="s">
        <v>4965</v>
      </c>
      <c r="G26" s="6" t="s">
        <v>4874</v>
      </c>
      <c r="J26" s="6">
        <v>0.0</v>
      </c>
      <c r="L26" s="6">
        <v>0.0</v>
      </c>
      <c r="M26" s="6" t="s">
        <v>4966</v>
      </c>
      <c r="N26" s="6" t="s">
        <v>4880</v>
      </c>
      <c r="O26" s="6" t="s">
        <v>4880</v>
      </c>
    </row>
    <row r="27">
      <c r="A27" s="6" t="s">
        <v>4967</v>
      </c>
      <c r="B27" s="6" t="s">
        <v>4967</v>
      </c>
      <c r="C27" s="6" t="s">
        <v>4968</v>
      </c>
      <c r="D27" s="6">
        <v>29.0</v>
      </c>
      <c r="E27" s="6">
        <v>3.51698478562347E14</v>
      </c>
      <c r="F27" s="6" t="s">
        <v>400</v>
      </c>
      <c r="G27" s="6" t="s">
        <v>4874</v>
      </c>
      <c r="J27" s="6">
        <v>0.0</v>
      </c>
      <c r="L27" s="6">
        <v>0.0</v>
      </c>
      <c r="M27" s="6" t="s">
        <v>4969</v>
      </c>
      <c r="N27" s="6" t="s">
        <v>4880</v>
      </c>
      <c r="O27" s="6" t="s">
        <v>4880</v>
      </c>
    </row>
    <row r="28">
      <c r="A28" s="6" t="s">
        <v>4970</v>
      </c>
      <c r="B28" s="6" t="s">
        <v>4970</v>
      </c>
      <c r="C28" s="6" t="s">
        <v>4971</v>
      </c>
      <c r="D28" s="6">
        <v>30.0</v>
      </c>
      <c r="E28" s="6">
        <v>3.56028100922757E14</v>
      </c>
      <c r="F28" s="6" t="s">
        <v>4972</v>
      </c>
      <c r="G28" s="6" t="s">
        <v>4874</v>
      </c>
      <c r="J28" s="6">
        <v>0.0</v>
      </c>
      <c r="L28" s="6">
        <v>0.0</v>
      </c>
      <c r="M28" s="6" t="s">
        <v>4973</v>
      </c>
      <c r="N28" s="6" t="s">
        <v>4880</v>
      </c>
      <c r="O28" s="6" t="s">
        <v>4880</v>
      </c>
    </row>
    <row r="29">
      <c r="A29" s="6" t="s">
        <v>4974</v>
      </c>
      <c r="B29" s="6" t="s">
        <v>4974</v>
      </c>
      <c r="C29" s="6" t="s">
        <v>4975</v>
      </c>
      <c r="D29" s="6">
        <v>31.0</v>
      </c>
      <c r="E29" s="6">
        <v>3.57330100397389E14</v>
      </c>
      <c r="F29" s="6" t="s">
        <v>46</v>
      </c>
      <c r="G29" s="6" t="s">
        <v>4874</v>
      </c>
      <c r="J29" s="6">
        <v>0.0</v>
      </c>
      <c r="L29" s="6">
        <v>0.0</v>
      </c>
      <c r="M29" s="6" t="s">
        <v>4976</v>
      </c>
      <c r="N29" s="6" t="s">
        <v>4880</v>
      </c>
      <c r="O29" s="6" t="s">
        <v>4880</v>
      </c>
    </row>
    <row r="30">
      <c r="A30" s="6" t="s">
        <v>4977</v>
      </c>
      <c r="B30" s="6" t="s">
        <v>4977</v>
      </c>
      <c r="C30" s="6" t="s">
        <v>4978</v>
      </c>
      <c r="D30" s="6">
        <v>32.0</v>
      </c>
      <c r="E30" s="6">
        <v>3.57343096709541E14</v>
      </c>
      <c r="F30" s="6" t="s">
        <v>485</v>
      </c>
      <c r="G30" s="6" t="s">
        <v>4874</v>
      </c>
      <c r="J30" s="6">
        <v>0.0</v>
      </c>
      <c r="L30" s="6">
        <v>0.0</v>
      </c>
      <c r="M30" s="6" t="s">
        <v>4979</v>
      </c>
      <c r="N30" s="6" t="s">
        <v>4880</v>
      </c>
      <c r="O30" s="6" t="s">
        <v>4880</v>
      </c>
    </row>
    <row r="31">
      <c r="A31" s="6" t="s">
        <v>4980</v>
      </c>
      <c r="B31" s="6" t="s">
        <v>4980</v>
      </c>
      <c r="C31" s="6" t="s">
        <v>4981</v>
      </c>
      <c r="D31" s="6">
        <v>33.0</v>
      </c>
      <c r="E31" s="6">
        <v>3.53065102623234E14</v>
      </c>
      <c r="F31" s="6" t="s">
        <v>4957</v>
      </c>
      <c r="G31" s="6" t="s">
        <v>4874</v>
      </c>
      <c r="J31" s="6">
        <v>0.0</v>
      </c>
      <c r="L31" s="6">
        <v>0.0</v>
      </c>
      <c r="M31" s="6" t="s">
        <v>4982</v>
      </c>
      <c r="N31" s="6" t="s">
        <v>4880</v>
      </c>
      <c r="O31" s="6" t="s">
        <v>4880</v>
      </c>
    </row>
    <row r="32">
      <c r="A32" s="6" t="s">
        <v>4983</v>
      </c>
      <c r="B32" s="6" t="s">
        <v>4983</v>
      </c>
      <c r="C32" s="6" t="s">
        <v>4984</v>
      </c>
      <c r="D32" s="6">
        <v>34.0</v>
      </c>
      <c r="E32" s="6">
        <v>3.59271101948523E14</v>
      </c>
      <c r="F32" s="6" t="s">
        <v>4891</v>
      </c>
      <c r="G32" s="6" t="s">
        <v>4874</v>
      </c>
      <c r="J32" s="6">
        <v>0.0</v>
      </c>
      <c r="L32" s="6">
        <v>0.0</v>
      </c>
      <c r="M32" s="6" t="s">
        <v>4985</v>
      </c>
      <c r="N32" s="6" t="s">
        <v>4880</v>
      </c>
      <c r="O32" s="6" t="s">
        <v>4880</v>
      </c>
    </row>
    <row r="33">
      <c r="A33" s="6" t="s">
        <v>4986</v>
      </c>
      <c r="B33" s="6" t="s">
        <v>4986</v>
      </c>
      <c r="C33" s="6" t="s">
        <v>4987</v>
      </c>
      <c r="D33" s="6">
        <v>35.0</v>
      </c>
      <c r="E33" s="6">
        <v>3.5342781405783E14</v>
      </c>
      <c r="F33" s="6" t="s">
        <v>4957</v>
      </c>
      <c r="G33" s="6" t="s">
        <v>4874</v>
      </c>
      <c r="J33" s="6">
        <v>0.0</v>
      </c>
      <c r="L33" s="6">
        <v>0.0</v>
      </c>
      <c r="M33" s="6" t="s">
        <v>4988</v>
      </c>
      <c r="N33" s="6" t="s">
        <v>4880</v>
      </c>
      <c r="O33" s="6" t="s">
        <v>4880</v>
      </c>
    </row>
    <row r="34">
      <c r="A34" s="6" t="s">
        <v>4989</v>
      </c>
      <c r="B34" s="6" t="s">
        <v>4989</v>
      </c>
      <c r="C34" s="6" t="s">
        <v>4990</v>
      </c>
      <c r="D34" s="6">
        <v>36.0</v>
      </c>
      <c r="E34" s="6">
        <v>3.52892113711364E14</v>
      </c>
      <c r="F34" s="6" t="s">
        <v>4991</v>
      </c>
      <c r="G34" s="6" t="s">
        <v>4874</v>
      </c>
      <c r="J34" s="6">
        <v>0.0</v>
      </c>
      <c r="L34" s="6">
        <v>0.0</v>
      </c>
      <c r="M34" s="6" t="s">
        <v>4992</v>
      </c>
      <c r="N34" s="6" t="s">
        <v>4880</v>
      </c>
      <c r="O34" s="6" t="s">
        <v>4880</v>
      </c>
    </row>
    <row r="35">
      <c r="A35" s="6" t="s">
        <v>4993</v>
      </c>
      <c r="B35" s="6" t="s">
        <v>4993</v>
      </c>
      <c r="C35" s="6" t="s">
        <v>4994</v>
      </c>
      <c r="D35" s="6">
        <v>37.0</v>
      </c>
      <c r="E35" s="6">
        <v>3.57447889986875E14</v>
      </c>
      <c r="F35" s="6" t="s">
        <v>4995</v>
      </c>
      <c r="G35" s="6" t="s">
        <v>4874</v>
      </c>
      <c r="J35" s="6">
        <v>0.0</v>
      </c>
      <c r="L35" s="6">
        <v>0.0</v>
      </c>
      <c r="M35" s="6" t="s">
        <v>4996</v>
      </c>
      <c r="N35" s="6" t="s">
        <v>4880</v>
      </c>
      <c r="O35" s="6" t="s">
        <v>4880</v>
      </c>
    </row>
    <row r="36">
      <c r="A36" s="6" t="s">
        <v>4997</v>
      </c>
      <c r="B36" s="6" t="s">
        <v>4997</v>
      </c>
      <c r="C36" s="6" t="s">
        <v>4998</v>
      </c>
      <c r="D36" s="6">
        <v>38.0</v>
      </c>
      <c r="E36" s="6">
        <v>3.56295374969208E14</v>
      </c>
      <c r="F36" s="6" t="s">
        <v>4999</v>
      </c>
      <c r="G36" s="6" t="s">
        <v>4874</v>
      </c>
      <c r="J36" s="6">
        <v>0.0</v>
      </c>
      <c r="L36" s="6">
        <v>0.0</v>
      </c>
      <c r="M36" s="6" t="s">
        <v>5000</v>
      </c>
      <c r="N36" s="6" t="s">
        <v>4880</v>
      </c>
      <c r="O36" s="6" t="s">
        <v>4880</v>
      </c>
    </row>
    <row r="37">
      <c r="A37" s="6" t="s">
        <v>5001</v>
      </c>
      <c r="B37" s="6" t="s">
        <v>5001</v>
      </c>
      <c r="C37" s="6" t="s">
        <v>5002</v>
      </c>
      <c r="D37" s="6">
        <v>39.0</v>
      </c>
      <c r="E37" s="6">
        <v>3.5128085919605E14</v>
      </c>
      <c r="F37" s="6" t="s">
        <v>4873</v>
      </c>
      <c r="G37" s="6" t="s">
        <v>4874</v>
      </c>
      <c r="J37" s="6">
        <v>0.0</v>
      </c>
      <c r="L37" s="6">
        <v>0.0</v>
      </c>
      <c r="M37" s="6" t="s">
        <v>5003</v>
      </c>
      <c r="N37" s="6" t="s">
        <v>4880</v>
      </c>
      <c r="O37" s="6" t="s">
        <v>4880</v>
      </c>
    </row>
    <row r="38">
      <c r="A38" s="6" t="s">
        <v>5004</v>
      </c>
      <c r="B38" s="6" t="s">
        <v>5004</v>
      </c>
      <c r="C38" s="6" t="s">
        <v>5005</v>
      </c>
      <c r="D38" s="6">
        <v>40.0</v>
      </c>
      <c r="E38" s="6">
        <v>3.51280856222529E14</v>
      </c>
      <c r="F38" s="6" t="s">
        <v>5006</v>
      </c>
      <c r="G38" s="6" t="s">
        <v>4874</v>
      </c>
      <c r="J38" s="6">
        <v>0.0</v>
      </c>
      <c r="L38" s="6">
        <v>0.0</v>
      </c>
      <c r="M38" s="6" t="s">
        <v>5007</v>
      </c>
      <c r="N38" s="6" t="s">
        <v>4880</v>
      </c>
      <c r="O38" s="6" t="s">
        <v>4880</v>
      </c>
    </row>
    <row r="39">
      <c r="A39" s="6" t="s">
        <v>5008</v>
      </c>
      <c r="B39" s="6" t="s">
        <v>5008</v>
      </c>
      <c r="C39" s="6" t="s">
        <v>5009</v>
      </c>
      <c r="D39" s="6">
        <v>41.0</v>
      </c>
      <c r="E39" s="6">
        <v>3.54136651263562E14</v>
      </c>
      <c r="F39" s="6" t="s">
        <v>306</v>
      </c>
      <c r="G39" s="6" t="s">
        <v>4874</v>
      </c>
      <c r="J39" s="6">
        <v>0.0</v>
      </c>
      <c r="L39" s="6">
        <v>0.0</v>
      </c>
      <c r="M39" s="6" t="s">
        <v>5010</v>
      </c>
      <c r="N39" s="6" t="s">
        <v>4880</v>
      </c>
      <c r="O39" s="6" t="s">
        <v>4880</v>
      </c>
    </row>
    <row r="40">
      <c r="A40" s="6" t="s">
        <v>5011</v>
      </c>
      <c r="B40" s="6" t="s">
        <v>5011</v>
      </c>
      <c r="C40" s="6" t="s">
        <v>5012</v>
      </c>
      <c r="D40" s="6">
        <v>42.0</v>
      </c>
      <c r="E40" s="6">
        <v>3.52657197746218E14</v>
      </c>
      <c r="F40" s="6" t="s">
        <v>4991</v>
      </c>
      <c r="G40" s="6" t="s">
        <v>4874</v>
      </c>
      <c r="J40" s="6">
        <v>0.0</v>
      </c>
      <c r="L40" s="6">
        <v>0.0</v>
      </c>
      <c r="M40" s="6" t="s">
        <v>5013</v>
      </c>
      <c r="N40" s="6" t="s">
        <v>4880</v>
      </c>
      <c r="O40" s="6" t="s">
        <v>4880</v>
      </c>
    </row>
    <row r="41">
      <c r="A41" s="6" t="s">
        <v>5014</v>
      </c>
      <c r="B41" s="6" t="s">
        <v>5014</v>
      </c>
      <c r="C41" s="6" t="s">
        <v>5015</v>
      </c>
      <c r="D41" s="6">
        <v>43.0</v>
      </c>
      <c r="F41" s="6" t="s">
        <v>5016</v>
      </c>
      <c r="G41" s="6" t="s">
        <v>4874</v>
      </c>
      <c r="J41" s="6">
        <v>0.0</v>
      </c>
      <c r="L41" s="6">
        <v>0.0</v>
      </c>
      <c r="M41" s="6" t="s">
        <v>5017</v>
      </c>
      <c r="N41" s="6" t="s">
        <v>4880</v>
      </c>
      <c r="O41" s="6" t="s">
        <v>4880</v>
      </c>
    </row>
    <row r="42">
      <c r="A42" s="6" t="s">
        <v>5018</v>
      </c>
      <c r="B42" s="6" t="s">
        <v>5018</v>
      </c>
      <c r="C42" s="6" t="s">
        <v>5019</v>
      </c>
      <c r="D42" s="6">
        <v>44.0</v>
      </c>
      <c r="E42" s="6">
        <v>3.53357351413577E14</v>
      </c>
      <c r="F42" s="6" t="s">
        <v>404</v>
      </c>
      <c r="G42" s="6" t="s">
        <v>4874</v>
      </c>
      <c r="J42" s="6">
        <v>0.0</v>
      </c>
      <c r="L42" s="6">
        <v>0.0</v>
      </c>
      <c r="M42" s="6" t="s">
        <v>5020</v>
      </c>
      <c r="N42" s="6" t="s">
        <v>4880</v>
      </c>
      <c r="O42" s="6" t="s">
        <v>4880</v>
      </c>
    </row>
    <row r="43">
      <c r="A43" s="6" t="s">
        <v>5021</v>
      </c>
      <c r="B43" s="6" t="s">
        <v>5021</v>
      </c>
      <c r="C43" s="6" t="s">
        <v>5022</v>
      </c>
      <c r="D43" s="6">
        <v>45.0</v>
      </c>
      <c r="E43" s="6">
        <v>3.56314952615065E14</v>
      </c>
      <c r="F43" s="6" t="s">
        <v>4991</v>
      </c>
      <c r="G43" s="6" t="s">
        <v>4874</v>
      </c>
      <c r="J43" s="6">
        <v>0.0</v>
      </c>
      <c r="L43" s="6">
        <v>0.0</v>
      </c>
      <c r="M43" s="6" t="s">
        <v>5023</v>
      </c>
      <c r="N43" s="6" t="s">
        <v>4880</v>
      </c>
      <c r="O43" s="6" t="s">
        <v>4880</v>
      </c>
    </row>
    <row r="44">
      <c r="A44" s="6" t="s">
        <v>5024</v>
      </c>
      <c r="B44" s="6" t="s">
        <v>5024</v>
      </c>
      <c r="C44" s="6" t="s">
        <v>5025</v>
      </c>
      <c r="D44" s="6">
        <v>46.0</v>
      </c>
      <c r="E44" s="6">
        <v>3.53237107467616E14</v>
      </c>
      <c r="F44" s="6" t="s">
        <v>5026</v>
      </c>
      <c r="G44" s="6" t="s">
        <v>4874</v>
      </c>
      <c r="J44" s="6">
        <v>0.0</v>
      </c>
      <c r="L44" s="6">
        <v>0.0</v>
      </c>
      <c r="M44" s="6" t="s">
        <v>5027</v>
      </c>
      <c r="N44" s="6" t="s">
        <v>4880</v>
      </c>
      <c r="O44" s="6" t="s">
        <v>4880</v>
      </c>
    </row>
    <row r="45">
      <c r="A45" s="6" t="s">
        <v>5028</v>
      </c>
      <c r="B45" s="6" t="s">
        <v>5028</v>
      </c>
      <c r="C45" s="6" t="s">
        <v>5029</v>
      </c>
      <c r="D45" s="6">
        <v>47.0</v>
      </c>
      <c r="E45" s="6">
        <v>3.55591192643863E14</v>
      </c>
      <c r="F45" s="6" t="s">
        <v>5030</v>
      </c>
      <c r="G45" s="6" t="s">
        <v>4874</v>
      </c>
      <c r="J45" s="6">
        <v>0.0</v>
      </c>
      <c r="L45" s="6">
        <v>0.0</v>
      </c>
      <c r="M45" s="6" t="s">
        <v>5031</v>
      </c>
      <c r="N45" s="6" t="s">
        <v>4880</v>
      </c>
      <c r="O45" s="6" t="s">
        <v>4880</v>
      </c>
    </row>
    <row r="46">
      <c r="A46" s="6" t="s">
        <v>5032</v>
      </c>
      <c r="B46" s="6" t="s">
        <v>5032</v>
      </c>
      <c r="C46" s="6" t="s">
        <v>5033</v>
      </c>
      <c r="D46" s="6">
        <v>48.0</v>
      </c>
      <c r="E46" s="6">
        <v>3.5391505816351E13</v>
      </c>
      <c r="F46" s="6" t="s">
        <v>5034</v>
      </c>
      <c r="G46" s="6" t="s">
        <v>4874</v>
      </c>
      <c r="J46" s="6">
        <v>0.0</v>
      </c>
      <c r="L46" s="6">
        <v>0.0</v>
      </c>
      <c r="M46" s="6" t="s">
        <v>5035</v>
      </c>
      <c r="N46" s="6" t="s">
        <v>4880</v>
      </c>
      <c r="O46" s="6" t="s">
        <v>4880</v>
      </c>
    </row>
    <row r="47">
      <c r="A47" s="6" t="s">
        <v>5036</v>
      </c>
      <c r="B47" s="6" t="s">
        <v>5036</v>
      </c>
      <c r="C47" s="6" t="s">
        <v>5037</v>
      </c>
      <c r="D47" s="6">
        <v>49.0</v>
      </c>
      <c r="E47" s="6">
        <v>3.57938432786689E14</v>
      </c>
      <c r="F47" s="6" t="s">
        <v>4873</v>
      </c>
      <c r="G47" s="6" t="s">
        <v>4874</v>
      </c>
      <c r="J47" s="6">
        <v>0.0</v>
      </c>
      <c r="L47" s="6">
        <v>0.0</v>
      </c>
      <c r="M47" s="6" t="s">
        <v>5038</v>
      </c>
      <c r="N47" s="6" t="s">
        <v>4880</v>
      </c>
      <c r="O47" s="6" t="s">
        <v>4880</v>
      </c>
    </row>
    <row r="48">
      <c r="A48" s="6" t="s">
        <v>5039</v>
      </c>
      <c r="B48" s="6" t="s">
        <v>5039</v>
      </c>
      <c r="C48" s="6" t="s">
        <v>5040</v>
      </c>
      <c r="D48" s="6">
        <v>50.0</v>
      </c>
      <c r="E48" s="6">
        <v>3.53223141615691E14</v>
      </c>
      <c r="F48" s="6" t="s">
        <v>5041</v>
      </c>
      <c r="G48" s="6" t="s">
        <v>4874</v>
      </c>
      <c r="J48" s="6">
        <v>0.0</v>
      </c>
      <c r="L48" s="6">
        <v>0.0</v>
      </c>
      <c r="M48" s="6" t="s">
        <v>5042</v>
      </c>
      <c r="N48" s="6" t="s">
        <v>4880</v>
      </c>
      <c r="O48" s="6" t="s">
        <v>4880</v>
      </c>
    </row>
    <row r="49">
      <c r="A49" s="6" t="s">
        <v>5043</v>
      </c>
      <c r="B49" s="6" t="s">
        <v>5043</v>
      </c>
      <c r="C49" s="6" t="s">
        <v>5044</v>
      </c>
      <c r="D49" s="6">
        <v>51.0</v>
      </c>
      <c r="E49" s="6">
        <v>3.57084343408616E14</v>
      </c>
      <c r="F49" s="6" t="s">
        <v>5045</v>
      </c>
      <c r="G49" s="6" t="s">
        <v>4874</v>
      </c>
      <c r="J49" s="6">
        <v>0.0</v>
      </c>
      <c r="L49" s="6">
        <v>0.0</v>
      </c>
      <c r="M49" s="6" t="s">
        <v>5046</v>
      </c>
      <c r="N49" s="6" t="s">
        <v>4880</v>
      </c>
      <c r="O49" s="6" t="s">
        <v>4880</v>
      </c>
    </row>
    <row r="50">
      <c r="A50" s="6" t="s">
        <v>5047</v>
      </c>
      <c r="B50" s="6" t="s">
        <v>5047</v>
      </c>
      <c r="C50" s="6" t="s">
        <v>5048</v>
      </c>
      <c r="D50" s="6">
        <v>52.0</v>
      </c>
      <c r="E50" s="6">
        <v>3.53360940914956E14</v>
      </c>
      <c r="F50" s="6" t="s">
        <v>5049</v>
      </c>
      <c r="G50" s="6" t="s">
        <v>4874</v>
      </c>
      <c r="J50" s="6">
        <v>0.0</v>
      </c>
      <c r="L50" s="6">
        <v>0.0</v>
      </c>
      <c r="M50" s="6" t="s">
        <v>5050</v>
      </c>
      <c r="N50" s="6" t="s">
        <v>4880</v>
      </c>
      <c r="O50" s="6" t="s">
        <v>4880</v>
      </c>
    </row>
    <row r="51">
      <c r="A51" s="6" t="s">
        <v>5051</v>
      </c>
      <c r="B51" s="6" t="s">
        <v>5051</v>
      </c>
      <c r="C51" s="6" t="s">
        <v>5052</v>
      </c>
      <c r="D51" s="6">
        <v>53.0</v>
      </c>
      <c r="E51" s="6">
        <v>3.50636593325274E14</v>
      </c>
      <c r="F51" s="6" t="s">
        <v>1562</v>
      </c>
      <c r="G51" s="6" t="s">
        <v>4874</v>
      </c>
      <c r="J51" s="6">
        <v>0.0</v>
      </c>
      <c r="L51" s="6">
        <v>0.0</v>
      </c>
      <c r="M51" s="6" t="s">
        <v>5053</v>
      </c>
      <c r="N51" s="6" t="s">
        <v>4880</v>
      </c>
      <c r="O51" s="6" t="s">
        <v>4880</v>
      </c>
    </row>
    <row r="52">
      <c r="A52" s="6" t="s">
        <v>5054</v>
      </c>
      <c r="B52" s="6" t="s">
        <v>5054</v>
      </c>
      <c r="C52" s="6" t="s">
        <v>5055</v>
      </c>
      <c r="D52" s="6">
        <v>54.0</v>
      </c>
      <c r="E52" s="6">
        <v>3.53429712968993E14</v>
      </c>
      <c r="F52" s="6" t="s">
        <v>5056</v>
      </c>
      <c r="G52" s="6" t="s">
        <v>4874</v>
      </c>
      <c r="J52" s="6">
        <v>0.0</v>
      </c>
      <c r="L52" s="6">
        <v>0.0</v>
      </c>
      <c r="M52" s="6" t="s">
        <v>5057</v>
      </c>
      <c r="N52" s="6" t="s">
        <v>4880</v>
      </c>
      <c r="O52" s="6" t="s">
        <v>4880</v>
      </c>
    </row>
    <row r="53">
      <c r="A53" s="6" t="s">
        <v>5058</v>
      </c>
      <c r="B53" s="6" t="s">
        <v>5058</v>
      </c>
      <c r="C53" s="6" t="s">
        <v>5059</v>
      </c>
      <c r="D53" s="6">
        <v>55.0</v>
      </c>
      <c r="E53" s="6">
        <v>3.50496301218398E14</v>
      </c>
      <c r="F53" s="6" t="s">
        <v>5060</v>
      </c>
      <c r="G53" s="6" t="s">
        <v>4874</v>
      </c>
      <c r="J53" s="6">
        <v>0.0</v>
      </c>
      <c r="L53" s="6">
        <v>0.0</v>
      </c>
      <c r="M53" s="6" t="s">
        <v>5061</v>
      </c>
      <c r="N53" s="6" t="s">
        <v>4880</v>
      </c>
      <c r="O53" s="6" t="s">
        <v>4880</v>
      </c>
    </row>
    <row r="54">
      <c r="A54" s="6" t="s">
        <v>5062</v>
      </c>
      <c r="B54" s="6" t="s">
        <v>5062</v>
      </c>
      <c r="C54" s="6" t="s">
        <v>5063</v>
      </c>
      <c r="D54" s="6">
        <v>56.0</v>
      </c>
      <c r="E54" s="6">
        <v>3.56684166696477E14</v>
      </c>
      <c r="F54" s="6" t="s">
        <v>5064</v>
      </c>
      <c r="G54" s="6" t="s">
        <v>4874</v>
      </c>
      <c r="J54" s="6">
        <v>0.0</v>
      </c>
      <c r="L54" s="6">
        <v>0.0</v>
      </c>
      <c r="M54" s="6" t="s">
        <v>5065</v>
      </c>
      <c r="N54" s="6" t="s">
        <v>4880</v>
      </c>
      <c r="O54" s="6" t="s">
        <v>4880</v>
      </c>
    </row>
    <row r="55">
      <c r="A55" s="6" t="s">
        <v>5066</v>
      </c>
      <c r="B55" s="6" t="s">
        <v>5066</v>
      </c>
      <c r="C55" s="6" t="s">
        <v>5067</v>
      </c>
      <c r="D55" s="6">
        <v>57.0</v>
      </c>
      <c r="E55" s="6">
        <v>3.523964730061E14</v>
      </c>
      <c r="F55" s="6" t="s">
        <v>5056</v>
      </c>
      <c r="G55" s="6" t="s">
        <v>4874</v>
      </c>
      <c r="J55" s="6">
        <v>0.0</v>
      </c>
      <c r="L55" s="6">
        <v>0.0</v>
      </c>
      <c r="M55" s="6" t="s">
        <v>5068</v>
      </c>
      <c r="N55" s="6" t="s">
        <v>4880</v>
      </c>
      <c r="O55" s="6" t="s">
        <v>4880</v>
      </c>
    </row>
    <row r="56">
      <c r="A56" s="6" t="s">
        <v>5069</v>
      </c>
      <c r="B56" s="6" t="s">
        <v>5069</v>
      </c>
      <c r="C56" s="6" t="s">
        <v>5070</v>
      </c>
      <c r="D56" s="6">
        <v>58.0</v>
      </c>
      <c r="E56" s="6">
        <v>3.58996911474366E14</v>
      </c>
      <c r="F56" s="6" t="s">
        <v>5071</v>
      </c>
      <c r="G56" s="6" t="s">
        <v>4874</v>
      </c>
      <c r="J56" s="6">
        <v>0.0</v>
      </c>
      <c r="L56" s="6">
        <v>0.0</v>
      </c>
      <c r="M56" s="6" t="s">
        <v>5072</v>
      </c>
      <c r="N56" s="6" t="s">
        <v>4880</v>
      </c>
      <c r="O56" s="6" t="s">
        <v>4880</v>
      </c>
    </row>
    <row r="57">
      <c r="A57" s="6" t="s">
        <v>5073</v>
      </c>
      <c r="B57" s="6" t="s">
        <v>5073</v>
      </c>
      <c r="C57" s="6" t="s">
        <v>5074</v>
      </c>
      <c r="D57" s="6">
        <v>59.0</v>
      </c>
      <c r="E57" s="6">
        <v>3.53547798072248E14</v>
      </c>
      <c r="F57" s="6" t="s">
        <v>23</v>
      </c>
      <c r="G57" s="6" t="s">
        <v>4874</v>
      </c>
      <c r="J57" s="6">
        <v>0.0</v>
      </c>
      <c r="L57" s="6">
        <v>0.0</v>
      </c>
      <c r="M57" s="6" t="s">
        <v>5075</v>
      </c>
      <c r="N57" s="6" t="s">
        <v>4880</v>
      </c>
      <c r="O57" s="6" t="s">
        <v>4880</v>
      </c>
    </row>
    <row r="58">
      <c r="A58" s="6" t="s">
        <v>5076</v>
      </c>
      <c r="B58" s="6" t="s">
        <v>5076</v>
      </c>
      <c r="C58" s="6" t="s">
        <v>5077</v>
      </c>
      <c r="D58" s="6">
        <v>60.0</v>
      </c>
      <c r="E58" s="6">
        <v>3.52400474539877E14</v>
      </c>
      <c r="F58" s="6" t="s">
        <v>1940</v>
      </c>
      <c r="G58" s="6" t="s">
        <v>4874</v>
      </c>
      <c r="J58" s="6">
        <v>0.0</v>
      </c>
      <c r="L58" s="6">
        <v>0.0</v>
      </c>
      <c r="M58" s="6" t="s">
        <v>5078</v>
      </c>
      <c r="N58" s="6" t="s">
        <v>4880</v>
      </c>
      <c r="O58" s="6" t="s">
        <v>4880</v>
      </c>
    </row>
    <row r="59">
      <c r="A59" s="6" t="s">
        <v>5079</v>
      </c>
      <c r="B59" s="6" t="s">
        <v>5079</v>
      </c>
      <c r="C59" s="6" t="s">
        <v>5080</v>
      </c>
      <c r="D59" s="6">
        <v>61.0</v>
      </c>
      <c r="F59" s="6" t="s">
        <v>5081</v>
      </c>
      <c r="G59" s="6" t="s">
        <v>4874</v>
      </c>
      <c r="J59" s="6">
        <v>0.0</v>
      </c>
      <c r="L59" s="6">
        <v>0.0</v>
      </c>
      <c r="M59" s="6" t="s">
        <v>5082</v>
      </c>
      <c r="N59" s="6" t="s">
        <v>4880</v>
      </c>
      <c r="O59" s="6" t="s">
        <v>4880</v>
      </c>
    </row>
    <row r="60">
      <c r="A60" s="6" t="s">
        <v>5083</v>
      </c>
      <c r="B60" s="6" t="s">
        <v>5083</v>
      </c>
      <c r="C60" s="6" t="s">
        <v>5084</v>
      </c>
      <c r="D60" s="6">
        <v>62.0</v>
      </c>
      <c r="F60" s="6" t="s">
        <v>5081</v>
      </c>
      <c r="G60" s="6" t="s">
        <v>4874</v>
      </c>
      <c r="J60" s="6">
        <v>0.0</v>
      </c>
      <c r="L60" s="6">
        <v>0.0</v>
      </c>
      <c r="M60" s="6" t="s">
        <v>5085</v>
      </c>
      <c r="N60" s="6" t="s">
        <v>4880</v>
      </c>
      <c r="O60" s="6" t="s">
        <v>4880</v>
      </c>
    </row>
    <row r="61">
      <c r="A61" s="6" t="s">
        <v>5086</v>
      </c>
      <c r="B61" s="6" t="s">
        <v>5086</v>
      </c>
      <c r="C61" s="6" t="s">
        <v>5087</v>
      </c>
      <c r="D61" s="6">
        <v>63.0</v>
      </c>
      <c r="E61" s="6">
        <v>3.52847943200814E14</v>
      </c>
      <c r="F61" s="6" t="s">
        <v>5088</v>
      </c>
      <c r="G61" s="6" t="s">
        <v>4874</v>
      </c>
      <c r="J61" s="6">
        <v>0.0</v>
      </c>
      <c r="L61" s="6">
        <v>0.0</v>
      </c>
      <c r="M61" s="6" t="s">
        <v>5089</v>
      </c>
      <c r="N61" s="6" t="s">
        <v>4880</v>
      </c>
      <c r="O61" s="6" t="s">
        <v>4880</v>
      </c>
    </row>
    <row r="62">
      <c r="A62" s="6" t="s">
        <v>5090</v>
      </c>
      <c r="B62" s="6" t="s">
        <v>5090</v>
      </c>
      <c r="C62" s="6" t="s">
        <v>5091</v>
      </c>
      <c r="D62" s="6">
        <v>64.0</v>
      </c>
      <c r="E62" s="6">
        <v>3.59428791784739E14</v>
      </c>
      <c r="F62" s="6" t="s">
        <v>2173</v>
      </c>
      <c r="G62" s="6" t="s">
        <v>4874</v>
      </c>
      <c r="J62" s="6">
        <v>0.0</v>
      </c>
      <c r="L62" s="6">
        <v>0.0</v>
      </c>
      <c r="M62" s="6" t="s">
        <v>5092</v>
      </c>
      <c r="N62" s="6" t="s">
        <v>4880</v>
      </c>
      <c r="O62" s="6" t="s">
        <v>4880</v>
      </c>
    </row>
    <row r="63">
      <c r="A63" s="6" t="s">
        <v>5093</v>
      </c>
      <c r="B63" s="6" t="s">
        <v>5093</v>
      </c>
      <c r="C63" s="6" t="s">
        <v>5094</v>
      </c>
      <c r="D63" s="6">
        <v>65.0</v>
      </c>
      <c r="E63" s="6" t="s">
        <v>5095</v>
      </c>
      <c r="F63" s="6" t="s">
        <v>5096</v>
      </c>
      <c r="G63" s="6" t="s">
        <v>4874</v>
      </c>
      <c r="J63" s="6">
        <v>0.0</v>
      </c>
      <c r="L63" s="6">
        <v>0.0</v>
      </c>
      <c r="M63" s="6" t="s">
        <v>5097</v>
      </c>
      <c r="N63" s="6" t="s">
        <v>4880</v>
      </c>
      <c r="O63" s="6" t="s">
        <v>4880</v>
      </c>
    </row>
    <row r="64">
      <c r="A64" s="6" t="s">
        <v>5098</v>
      </c>
      <c r="B64" s="6" t="s">
        <v>5098</v>
      </c>
      <c r="C64" s="6" t="s">
        <v>5099</v>
      </c>
      <c r="D64" s="6">
        <v>66.0</v>
      </c>
      <c r="E64" s="6">
        <v>3.54820297742432E14</v>
      </c>
      <c r="F64" s="6" t="s">
        <v>5100</v>
      </c>
      <c r="G64" s="6" t="s">
        <v>4874</v>
      </c>
      <c r="J64" s="6">
        <v>0.0</v>
      </c>
      <c r="L64" s="6">
        <v>0.0</v>
      </c>
      <c r="M64" s="6" t="s">
        <v>5101</v>
      </c>
      <c r="N64" s="6" t="s">
        <v>4880</v>
      </c>
      <c r="O64" s="6" t="s">
        <v>4880</v>
      </c>
    </row>
    <row r="65">
      <c r="A65" s="6" t="s">
        <v>5102</v>
      </c>
      <c r="B65" s="6" t="s">
        <v>5102</v>
      </c>
      <c r="C65" s="6" t="s">
        <v>5103</v>
      </c>
      <c r="D65" s="6">
        <v>67.0</v>
      </c>
      <c r="E65" s="6">
        <v>3.51582377070406E14</v>
      </c>
      <c r="F65" s="6" t="s">
        <v>306</v>
      </c>
      <c r="G65" s="6" t="s">
        <v>4874</v>
      </c>
      <c r="J65" s="6">
        <v>0.0</v>
      </c>
      <c r="L65" s="6">
        <v>0.0</v>
      </c>
      <c r="M65" s="6" t="s">
        <v>5104</v>
      </c>
      <c r="N65" s="6" t="s">
        <v>4880</v>
      </c>
      <c r="O65" s="6" t="s">
        <v>4880</v>
      </c>
    </row>
    <row r="66">
      <c r="A66" s="6" t="s">
        <v>5105</v>
      </c>
      <c r="B66" s="6" t="s">
        <v>5105</v>
      </c>
      <c r="C66" s="6" t="s">
        <v>5106</v>
      </c>
      <c r="D66" s="6">
        <v>68.0</v>
      </c>
      <c r="E66" s="6">
        <v>3.56166896719985E14</v>
      </c>
      <c r="F66" s="6" t="s">
        <v>103</v>
      </c>
      <c r="G66" s="6" t="s">
        <v>4874</v>
      </c>
      <c r="J66" s="6">
        <v>0.0</v>
      </c>
      <c r="L66" s="6">
        <v>0.0</v>
      </c>
      <c r="M66" s="6" t="s">
        <v>5107</v>
      </c>
      <c r="N66" s="6" t="s">
        <v>4880</v>
      </c>
      <c r="O66" s="6" t="s">
        <v>4880</v>
      </c>
    </row>
    <row r="67">
      <c r="A67" s="6" t="s">
        <v>5108</v>
      </c>
      <c r="B67" s="6" t="s">
        <v>5108</v>
      </c>
      <c r="C67" s="6" t="s">
        <v>5109</v>
      </c>
      <c r="D67" s="6">
        <v>69.0</v>
      </c>
      <c r="E67" s="6">
        <v>3.59954318707176E14</v>
      </c>
      <c r="F67" s="6" t="s">
        <v>4873</v>
      </c>
      <c r="G67" s="6" t="s">
        <v>4874</v>
      </c>
      <c r="J67" s="6">
        <v>0.0</v>
      </c>
      <c r="L67" s="6">
        <v>0.0</v>
      </c>
      <c r="M67" s="6" t="s">
        <v>5110</v>
      </c>
      <c r="N67" s="6" t="s">
        <v>4880</v>
      </c>
      <c r="O67" s="6" t="s">
        <v>4880</v>
      </c>
    </row>
    <row r="68">
      <c r="A68" s="6" t="s">
        <v>5111</v>
      </c>
      <c r="B68" s="6" t="s">
        <v>5111</v>
      </c>
      <c r="C68" s="6" t="s">
        <v>5112</v>
      </c>
      <c r="D68" s="6">
        <v>70.0</v>
      </c>
      <c r="E68" s="6">
        <v>3.5284511055073E14</v>
      </c>
      <c r="F68" s="6" t="s">
        <v>112</v>
      </c>
      <c r="G68" s="6" t="s">
        <v>4874</v>
      </c>
      <c r="J68" s="6">
        <v>0.0</v>
      </c>
      <c r="L68" s="6">
        <v>0.0</v>
      </c>
      <c r="M68" s="6" t="s">
        <v>5113</v>
      </c>
      <c r="N68" s="6" t="s">
        <v>4880</v>
      </c>
      <c r="O68" s="6" t="s">
        <v>4880</v>
      </c>
    </row>
    <row r="69">
      <c r="A69" s="6" t="s">
        <v>5114</v>
      </c>
      <c r="B69" s="6" t="s">
        <v>5114</v>
      </c>
      <c r="C69" s="6" t="s">
        <v>5115</v>
      </c>
      <c r="D69" s="6">
        <v>71.0</v>
      </c>
      <c r="E69" s="6">
        <v>3.53468912889807E14</v>
      </c>
      <c r="F69" s="6" t="s">
        <v>5116</v>
      </c>
      <c r="G69" s="6" t="s">
        <v>4874</v>
      </c>
      <c r="J69" s="6">
        <v>0.0</v>
      </c>
      <c r="L69" s="6">
        <v>0.0</v>
      </c>
      <c r="M69" s="6" t="s">
        <v>5117</v>
      </c>
      <c r="N69" s="6" t="s">
        <v>4880</v>
      </c>
      <c r="O69" s="6" t="s">
        <v>4880</v>
      </c>
    </row>
    <row r="70">
      <c r="A70" s="6" t="s">
        <v>5118</v>
      </c>
      <c r="B70" s="6" t="s">
        <v>5118</v>
      </c>
      <c r="C70" s="6" t="s">
        <v>5119</v>
      </c>
      <c r="D70" s="6">
        <v>72.0</v>
      </c>
      <c r="F70" s="6" t="s">
        <v>5120</v>
      </c>
      <c r="G70" s="6" t="s">
        <v>4874</v>
      </c>
      <c r="J70" s="6">
        <v>0.0</v>
      </c>
      <c r="L70" s="6">
        <v>0.0</v>
      </c>
      <c r="M70" s="6" t="s">
        <v>5121</v>
      </c>
      <c r="N70" s="6" t="s">
        <v>4880</v>
      </c>
      <c r="O70" s="6" t="s">
        <v>4880</v>
      </c>
    </row>
    <row r="71">
      <c r="A71" s="6" t="s">
        <v>5122</v>
      </c>
      <c r="B71" s="6" t="s">
        <v>5122</v>
      </c>
      <c r="C71" s="6" t="s">
        <v>5123</v>
      </c>
      <c r="D71" s="6">
        <v>73.0</v>
      </c>
      <c r="E71" s="6">
        <v>3.56487145927504E14</v>
      </c>
      <c r="F71" s="6" t="s">
        <v>5124</v>
      </c>
      <c r="G71" s="6" t="s">
        <v>4874</v>
      </c>
      <c r="J71" s="6">
        <v>0.0</v>
      </c>
      <c r="L71" s="6">
        <v>0.0</v>
      </c>
      <c r="M71" s="6" t="s">
        <v>5125</v>
      </c>
      <c r="N71" s="6" t="s">
        <v>4880</v>
      </c>
      <c r="O71" s="6" t="s">
        <v>4880</v>
      </c>
    </row>
    <row r="72">
      <c r="A72" s="6" t="s">
        <v>5126</v>
      </c>
      <c r="B72" s="6" t="s">
        <v>5126</v>
      </c>
      <c r="C72" s="6" t="s">
        <v>5127</v>
      </c>
      <c r="D72" s="6">
        <v>74.0</v>
      </c>
      <c r="E72" s="6">
        <v>3.53268391218019E14</v>
      </c>
      <c r="F72" s="6" t="s">
        <v>2173</v>
      </c>
      <c r="G72" s="6" t="s">
        <v>4874</v>
      </c>
      <c r="J72" s="6">
        <v>0.0</v>
      </c>
      <c r="L72" s="6">
        <v>0.0</v>
      </c>
      <c r="M72" s="6" t="s">
        <v>5128</v>
      </c>
      <c r="N72" s="6" t="s">
        <v>4880</v>
      </c>
      <c r="O72" s="6" t="s">
        <v>4880</v>
      </c>
    </row>
    <row r="73">
      <c r="A73" s="6" t="s">
        <v>5129</v>
      </c>
      <c r="B73" s="6" t="s">
        <v>5129</v>
      </c>
      <c r="C73" s="6" t="s">
        <v>5130</v>
      </c>
      <c r="D73" s="6">
        <v>75.0</v>
      </c>
      <c r="E73" s="6">
        <v>3.57348095438059E14</v>
      </c>
      <c r="F73" s="6" t="s">
        <v>5131</v>
      </c>
      <c r="G73" s="6" t="s">
        <v>4874</v>
      </c>
      <c r="J73" s="6">
        <v>0.0</v>
      </c>
      <c r="L73" s="6">
        <v>0.0</v>
      </c>
      <c r="M73" s="6" t="s">
        <v>5132</v>
      </c>
      <c r="N73" s="6" t="s">
        <v>4880</v>
      </c>
      <c r="O73" s="6" t="s">
        <v>4880</v>
      </c>
    </row>
    <row r="74">
      <c r="A74" s="6" t="s">
        <v>5133</v>
      </c>
      <c r="B74" s="6" t="s">
        <v>5133</v>
      </c>
      <c r="C74" s="6" t="s">
        <v>5134</v>
      </c>
      <c r="D74" s="6">
        <v>76.0</v>
      </c>
      <c r="F74" s="6" t="s">
        <v>4891</v>
      </c>
      <c r="G74" s="6" t="s">
        <v>4874</v>
      </c>
      <c r="J74" s="6">
        <v>0.0</v>
      </c>
      <c r="L74" s="6">
        <v>0.0</v>
      </c>
      <c r="M74" s="6" t="s">
        <v>5135</v>
      </c>
      <c r="N74" s="6" t="s">
        <v>4880</v>
      </c>
      <c r="O74" s="6" t="s">
        <v>4880</v>
      </c>
    </row>
    <row r="75">
      <c r="A75" s="6" t="s">
        <v>5136</v>
      </c>
      <c r="B75" s="6" t="s">
        <v>5136</v>
      </c>
      <c r="C75" s="6" t="s">
        <v>5137</v>
      </c>
      <c r="D75" s="6">
        <v>77.0</v>
      </c>
      <c r="E75" s="6">
        <v>3.59271101948523E14</v>
      </c>
      <c r="F75" s="6" t="s">
        <v>306</v>
      </c>
      <c r="G75" s="6" t="s">
        <v>4874</v>
      </c>
      <c r="J75" s="6">
        <v>0.0</v>
      </c>
      <c r="L75" s="6">
        <v>0.0</v>
      </c>
      <c r="M75" s="6" t="s">
        <v>5138</v>
      </c>
      <c r="N75" s="6" t="s">
        <v>4880</v>
      </c>
      <c r="O75" s="6" t="s">
        <v>4880</v>
      </c>
    </row>
    <row r="76">
      <c r="A76" s="6" t="s">
        <v>5139</v>
      </c>
      <c r="B76" s="6" t="s">
        <v>5139</v>
      </c>
      <c r="C76" s="6" t="s">
        <v>5140</v>
      </c>
      <c r="D76" s="6">
        <v>78.0</v>
      </c>
      <c r="E76" s="6">
        <v>3.55300183605562E14</v>
      </c>
      <c r="F76" s="6" t="s">
        <v>513</v>
      </c>
      <c r="G76" s="6" t="s">
        <v>4874</v>
      </c>
      <c r="J76" s="6">
        <v>0.0</v>
      </c>
      <c r="L76" s="6">
        <v>0.0</v>
      </c>
      <c r="M76" s="6" t="s">
        <v>5141</v>
      </c>
      <c r="N76" s="6" t="s">
        <v>4880</v>
      </c>
      <c r="O76" s="6" t="s">
        <v>4880</v>
      </c>
    </row>
    <row r="77">
      <c r="A77" s="6" t="s">
        <v>5142</v>
      </c>
      <c r="B77" s="6" t="s">
        <v>5142</v>
      </c>
      <c r="C77" s="6" t="s">
        <v>5143</v>
      </c>
      <c r="D77" s="6">
        <v>79.0</v>
      </c>
      <c r="E77" s="6">
        <v>3.50686383077569E14</v>
      </c>
      <c r="F77" s="6" t="s">
        <v>5100</v>
      </c>
      <c r="G77" s="6" t="s">
        <v>4874</v>
      </c>
      <c r="J77" s="6">
        <v>0.0</v>
      </c>
      <c r="L77" s="6">
        <v>0.0</v>
      </c>
      <c r="M77" s="6" t="s">
        <v>5144</v>
      </c>
      <c r="N77" s="6" t="s">
        <v>4880</v>
      </c>
      <c r="O77" s="6" t="s">
        <v>4880</v>
      </c>
    </row>
    <row r="78">
      <c r="A78" s="6" t="s">
        <v>5145</v>
      </c>
      <c r="B78" s="6" t="s">
        <v>5145</v>
      </c>
      <c r="C78" s="6" t="s">
        <v>5146</v>
      </c>
      <c r="D78" s="6">
        <v>80.0</v>
      </c>
      <c r="E78" s="6">
        <v>3.56462525826972E14</v>
      </c>
      <c r="F78" s="6" t="s">
        <v>112</v>
      </c>
      <c r="G78" s="6" t="s">
        <v>4874</v>
      </c>
      <c r="J78" s="6">
        <v>0.0</v>
      </c>
      <c r="L78" s="6">
        <v>0.0</v>
      </c>
      <c r="M78" s="6" t="s">
        <v>5147</v>
      </c>
      <c r="N78" s="6" t="s">
        <v>4880</v>
      </c>
      <c r="O78" s="6" t="s">
        <v>4880</v>
      </c>
    </row>
    <row r="79">
      <c r="A79" s="6" t="s">
        <v>5148</v>
      </c>
      <c r="B79" s="6" t="s">
        <v>5148</v>
      </c>
      <c r="C79" s="6" t="s">
        <v>5149</v>
      </c>
      <c r="D79" s="6">
        <v>81.0</v>
      </c>
      <c r="F79" s="6" t="s">
        <v>400</v>
      </c>
      <c r="G79" s="6" t="s">
        <v>4874</v>
      </c>
      <c r="J79" s="6">
        <v>0.0</v>
      </c>
      <c r="L79" s="6">
        <v>0.0</v>
      </c>
      <c r="M79" s="6" t="s">
        <v>5150</v>
      </c>
      <c r="N79" s="6" t="s">
        <v>4880</v>
      </c>
      <c r="O79" s="6" t="s">
        <v>4880</v>
      </c>
    </row>
    <row r="80">
      <c r="A80" s="6" t="s">
        <v>5151</v>
      </c>
      <c r="B80" s="6" t="s">
        <v>5151</v>
      </c>
      <c r="C80" s="6" t="s">
        <v>5152</v>
      </c>
      <c r="D80" s="6">
        <v>82.0</v>
      </c>
      <c r="E80" s="6">
        <v>3.50056592721102E14</v>
      </c>
      <c r="F80" s="6" t="s">
        <v>805</v>
      </c>
      <c r="G80" s="6" t="s">
        <v>4874</v>
      </c>
      <c r="J80" s="6">
        <v>0.0</v>
      </c>
      <c r="L80" s="6">
        <v>0.0</v>
      </c>
      <c r="M80" s="6" t="s">
        <v>5153</v>
      </c>
      <c r="N80" s="6" t="s">
        <v>4880</v>
      </c>
      <c r="O80" s="6" t="s">
        <v>4880</v>
      </c>
    </row>
    <row r="81">
      <c r="A81" s="6" t="s">
        <v>5154</v>
      </c>
      <c r="B81" s="6" t="s">
        <v>5154</v>
      </c>
      <c r="C81" s="6" t="s">
        <v>5155</v>
      </c>
      <c r="D81" s="6">
        <v>83.0</v>
      </c>
      <c r="E81" s="6" t="s">
        <v>5156</v>
      </c>
      <c r="F81" s="6" t="s">
        <v>1562</v>
      </c>
      <c r="G81" s="6" t="s">
        <v>4874</v>
      </c>
      <c r="J81" s="6">
        <v>0.0</v>
      </c>
      <c r="L81" s="6">
        <v>0.0</v>
      </c>
      <c r="M81" s="6" t="s">
        <v>5157</v>
      </c>
      <c r="N81" s="6" t="s">
        <v>4880</v>
      </c>
      <c r="O81" s="6" t="s">
        <v>4880</v>
      </c>
    </row>
    <row r="82">
      <c r="A82" s="6" t="s">
        <v>5158</v>
      </c>
      <c r="B82" s="6" t="s">
        <v>5158</v>
      </c>
      <c r="C82" s="6" t="s">
        <v>5159</v>
      </c>
      <c r="D82" s="6">
        <v>84.0</v>
      </c>
      <c r="E82" s="6">
        <v>3.55224389539567E14</v>
      </c>
      <c r="F82" s="6" t="s">
        <v>5160</v>
      </c>
      <c r="G82" s="6" t="s">
        <v>4874</v>
      </c>
      <c r="J82" s="6">
        <v>0.0</v>
      </c>
      <c r="L82" s="6">
        <v>0.0</v>
      </c>
      <c r="M82" s="6" t="s">
        <v>5161</v>
      </c>
      <c r="N82" s="6" t="s">
        <v>4880</v>
      </c>
      <c r="O82" s="6" t="s">
        <v>4880</v>
      </c>
    </row>
    <row r="83">
      <c r="A83" s="6" t="s">
        <v>5162</v>
      </c>
      <c r="B83" s="6" t="s">
        <v>5162</v>
      </c>
      <c r="C83" s="6" t="s">
        <v>5163</v>
      </c>
      <c r="D83" s="6">
        <v>85.0</v>
      </c>
      <c r="E83" s="6">
        <v>3.53967815303147E14</v>
      </c>
      <c r="F83" s="6" t="s">
        <v>54</v>
      </c>
      <c r="G83" s="6" t="s">
        <v>4874</v>
      </c>
      <c r="J83" s="6">
        <v>0.0</v>
      </c>
      <c r="L83" s="6">
        <v>0.0</v>
      </c>
      <c r="M83" s="6" t="s">
        <v>5164</v>
      </c>
      <c r="N83" s="6" t="s">
        <v>4880</v>
      </c>
      <c r="O83" s="6" t="s">
        <v>4880</v>
      </c>
    </row>
    <row r="84">
      <c r="A84" s="6" t="s">
        <v>5165</v>
      </c>
      <c r="B84" s="6" t="s">
        <v>5165</v>
      </c>
      <c r="C84" s="6" t="s">
        <v>5166</v>
      </c>
      <c r="D84" s="6">
        <v>86.0</v>
      </c>
      <c r="E84" s="6">
        <v>3.52051692366989E14</v>
      </c>
      <c r="F84" s="6" t="s">
        <v>358</v>
      </c>
      <c r="G84" s="6" t="s">
        <v>4874</v>
      </c>
      <c r="J84" s="6">
        <v>0.0</v>
      </c>
      <c r="L84" s="6">
        <v>0.0</v>
      </c>
      <c r="M84" s="6" t="s">
        <v>5167</v>
      </c>
      <c r="N84" s="6" t="s">
        <v>4880</v>
      </c>
      <c r="O84" s="6" t="s">
        <v>4880</v>
      </c>
    </row>
    <row r="85">
      <c r="A85" s="6" t="s">
        <v>5168</v>
      </c>
      <c r="B85" s="6" t="s">
        <v>5168</v>
      </c>
      <c r="C85" s="6" t="s">
        <v>5169</v>
      </c>
      <c r="D85" s="6">
        <v>87.0</v>
      </c>
      <c r="E85" s="6">
        <v>3.54553492615901E14</v>
      </c>
      <c r="F85" s="6" t="s">
        <v>70</v>
      </c>
      <c r="G85" s="6" t="s">
        <v>4874</v>
      </c>
      <c r="J85" s="6">
        <v>0.0</v>
      </c>
      <c r="L85" s="6">
        <v>0.0</v>
      </c>
      <c r="M85" s="6" t="s">
        <v>5170</v>
      </c>
      <c r="N85" s="6" t="s">
        <v>4880</v>
      </c>
      <c r="O85" s="6" t="s">
        <v>4880</v>
      </c>
    </row>
    <row r="86">
      <c r="A86" s="6" t="s">
        <v>5171</v>
      </c>
      <c r="B86" s="6" t="s">
        <v>5171</v>
      </c>
      <c r="C86" s="6" t="s">
        <v>5172</v>
      </c>
      <c r="D86" s="6">
        <v>88.0</v>
      </c>
      <c r="E86" s="6">
        <v>3.57938432786689E14</v>
      </c>
      <c r="F86" s="6" t="s">
        <v>5006</v>
      </c>
      <c r="G86" s="6" t="s">
        <v>4874</v>
      </c>
      <c r="J86" s="6">
        <v>0.0</v>
      </c>
      <c r="L86" s="6">
        <v>0.0</v>
      </c>
      <c r="M86" s="6" t="s">
        <v>5173</v>
      </c>
      <c r="N86" s="6" t="s">
        <v>4880</v>
      </c>
      <c r="O86" s="6" t="s">
        <v>4880</v>
      </c>
    </row>
    <row r="87">
      <c r="A87" s="6" t="s">
        <v>5174</v>
      </c>
      <c r="B87" s="6" t="s">
        <v>5174</v>
      </c>
      <c r="C87" s="6" t="s">
        <v>5175</v>
      </c>
      <c r="D87" s="6">
        <v>89.0</v>
      </c>
      <c r="E87" s="6">
        <v>3.54178508141252E14</v>
      </c>
      <c r="F87" s="6" t="s">
        <v>46</v>
      </c>
      <c r="G87" s="6" t="s">
        <v>4874</v>
      </c>
      <c r="J87" s="6">
        <v>0.0</v>
      </c>
      <c r="L87" s="6">
        <v>0.0</v>
      </c>
      <c r="M87" s="6" t="s">
        <v>5176</v>
      </c>
      <c r="N87" s="6" t="s">
        <v>4880</v>
      </c>
      <c r="O87" s="6" t="s">
        <v>4880</v>
      </c>
    </row>
    <row r="88">
      <c r="A88" s="6" t="s">
        <v>5177</v>
      </c>
      <c r="B88" s="6" t="s">
        <v>5177</v>
      </c>
      <c r="C88" s="6" t="s">
        <v>5178</v>
      </c>
      <c r="D88" s="6">
        <v>90.0</v>
      </c>
      <c r="E88" s="6">
        <v>3.50753692386469E14</v>
      </c>
      <c r="F88" s="6" t="s">
        <v>4884</v>
      </c>
      <c r="G88" s="6" t="s">
        <v>4874</v>
      </c>
      <c r="J88" s="6">
        <v>0.0</v>
      </c>
      <c r="L88" s="6">
        <v>0.0</v>
      </c>
      <c r="M88" s="6" t="s">
        <v>5179</v>
      </c>
      <c r="N88" s="6" t="s">
        <v>4880</v>
      </c>
      <c r="O88" s="6" t="s">
        <v>4880</v>
      </c>
    </row>
    <row r="89">
      <c r="A89" s="6" t="s">
        <v>5180</v>
      </c>
      <c r="B89" s="6" t="s">
        <v>5180</v>
      </c>
      <c r="C89" s="6" t="s">
        <v>5181</v>
      </c>
      <c r="D89" s="6">
        <v>91.0</v>
      </c>
      <c r="E89" s="6">
        <v>3.58298662648144E14</v>
      </c>
      <c r="F89" s="6" t="s">
        <v>5182</v>
      </c>
      <c r="G89" s="6" t="s">
        <v>4874</v>
      </c>
      <c r="J89" s="6">
        <v>0.0</v>
      </c>
      <c r="L89" s="6">
        <v>0.0</v>
      </c>
      <c r="M89" s="6" t="s">
        <v>5183</v>
      </c>
      <c r="N89" s="6" t="s">
        <v>4880</v>
      </c>
      <c r="O89" s="6" t="s">
        <v>4880</v>
      </c>
    </row>
    <row r="90">
      <c r="A90" s="6" t="s">
        <v>5184</v>
      </c>
      <c r="B90" s="6" t="s">
        <v>5184</v>
      </c>
      <c r="C90" s="6" t="s">
        <v>5185</v>
      </c>
      <c r="D90" s="6">
        <v>92.0</v>
      </c>
      <c r="E90" s="6">
        <v>3.57917879684136E14</v>
      </c>
      <c r="F90" s="6" t="s">
        <v>5060</v>
      </c>
      <c r="G90" s="6" t="s">
        <v>4874</v>
      </c>
      <c r="J90" s="6">
        <v>0.0</v>
      </c>
      <c r="L90" s="6">
        <v>0.0</v>
      </c>
      <c r="M90" s="6" t="s">
        <v>5186</v>
      </c>
      <c r="N90" s="6" t="s">
        <v>4880</v>
      </c>
      <c r="O90" s="6" t="s">
        <v>4880</v>
      </c>
    </row>
    <row r="91">
      <c r="A91" s="6" t="s">
        <v>5187</v>
      </c>
      <c r="B91" s="6" t="s">
        <v>5187</v>
      </c>
      <c r="C91" s="6" t="s">
        <v>5188</v>
      </c>
      <c r="D91" s="6">
        <v>93.0</v>
      </c>
      <c r="E91" s="6">
        <v>3.58073461428968E14</v>
      </c>
      <c r="F91" s="6" t="s">
        <v>5189</v>
      </c>
      <c r="G91" s="6" t="s">
        <v>4874</v>
      </c>
      <c r="J91" s="6">
        <v>0.0</v>
      </c>
      <c r="L91" s="6">
        <v>0.0</v>
      </c>
      <c r="M91" s="6" t="s">
        <v>5190</v>
      </c>
      <c r="N91" s="6" t="s">
        <v>4880</v>
      </c>
      <c r="O91" s="6" t="s">
        <v>4880</v>
      </c>
    </row>
    <row r="92">
      <c r="A92" s="6" t="s">
        <v>5191</v>
      </c>
      <c r="B92" s="6" t="s">
        <v>5191</v>
      </c>
      <c r="C92" s="6" t="s">
        <v>5192</v>
      </c>
      <c r="D92" s="6">
        <v>94.0</v>
      </c>
      <c r="E92" s="6">
        <v>3.52806849074186E14</v>
      </c>
      <c r="F92" s="6" t="s">
        <v>5045</v>
      </c>
      <c r="G92" s="6" t="s">
        <v>4874</v>
      </c>
      <c r="J92" s="6">
        <v>0.0</v>
      </c>
      <c r="L92" s="6">
        <v>0.0</v>
      </c>
      <c r="M92" s="6" t="s">
        <v>5193</v>
      </c>
      <c r="N92" s="6" t="s">
        <v>4880</v>
      </c>
      <c r="O92" s="6" t="s">
        <v>4880</v>
      </c>
    </row>
    <row r="93">
      <c r="A93" s="6" t="s">
        <v>5194</v>
      </c>
      <c r="B93" s="6" t="s">
        <v>5194</v>
      </c>
      <c r="C93" s="6" t="s">
        <v>5195</v>
      </c>
      <c r="D93" s="6">
        <v>95.0</v>
      </c>
      <c r="E93" s="6">
        <v>3.54183138726928E14</v>
      </c>
      <c r="F93" s="6" t="s">
        <v>5196</v>
      </c>
      <c r="G93" s="6" t="s">
        <v>4874</v>
      </c>
      <c r="J93" s="6">
        <v>0.0</v>
      </c>
      <c r="L93" s="6">
        <v>0.0</v>
      </c>
      <c r="M93" s="6" t="s">
        <v>5197</v>
      </c>
      <c r="N93" s="6" t="s">
        <v>4880</v>
      </c>
      <c r="O93" s="6" t="s">
        <v>4880</v>
      </c>
    </row>
    <row r="94">
      <c r="A94" s="6" t="s">
        <v>5198</v>
      </c>
      <c r="B94" s="6" t="s">
        <v>5198</v>
      </c>
      <c r="C94" s="6" t="s">
        <v>5199</v>
      </c>
      <c r="D94" s="6">
        <v>96.0</v>
      </c>
      <c r="E94" s="6">
        <v>3.57647733147117E14</v>
      </c>
      <c r="F94" s="6" t="s">
        <v>1562</v>
      </c>
      <c r="G94" s="6" t="s">
        <v>4874</v>
      </c>
      <c r="J94" s="6">
        <v>0.0</v>
      </c>
      <c r="L94" s="6">
        <v>0.0</v>
      </c>
      <c r="M94" s="6" t="s">
        <v>5200</v>
      </c>
      <c r="N94" s="6" t="s">
        <v>4880</v>
      </c>
      <c r="O94" s="6" t="s">
        <v>4880</v>
      </c>
    </row>
    <row r="95">
      <c r="A95" s="6" t="s">
        <v>5201</v>
      </c>
      <c r="B95" s="6" t="s">
        <v>5201</v>
      </c>
      <c r="C95" s="6" t="s">
        <v>5202</v>
      </c>
      <c r="D95" s="6">
        <v>97.0</v>
      </c>
      <c r="E95" s="6">
        <v>3.51385224078451E14</v>
      </c>
      <c r="F95" s="6" t="s">
        <v>1562</v>
      </c>
      <c r="G95" s="6" t="s">
        <v>4874</v>
      </c>
      <c r="J95" s="6">
        <v>0.0</v>
      </c>
      <c r="L95" s="6">
        <v>0.0</v>
      </c>
      <c r="M95" s="6" t="s">
        <v>5203</v>
      </c>
      <c r="N95" s="6" t="s">
        <v>4880</v>
      </c>
      <c r="O95" s="6" t="s">
        <v>4880</v>
      </c>
    </row>
    <row r="96">
      <c r="A96" s="6" t="s">
        <v>5204</v>
      </c>
      <c r="B96" s="6" t="s">
        <v>5204</v>
      </c>
      <c r="C96" s="6" t="s">
        <v>5205</v>
      </c>
      <c r="D96" s="6">
        <v>98.0</v>
      </c>
      <c r="E96" s="6">
        <v>3.51048874474137E14</v>
      </c>
      <c r="F96" s="6" t="s">
        <v>1562</v>
      </c>
      <c r="G96" s="6" t="s">
        <v>4874</v>
      </c>
      <c r="J96" s="6">
        <v>0.0</v>
      </c>
      <c r="L96" s="6">
        <v>0.0</v>
      </c>
      <c r="M96" s="6" t="s">
        <v>5206</v>
      </c>
      <c r="N96" s="6" t="s">
        <v>4880</v>
      </c>
      <c r="O96" s="6" t="s">
        <v>4880</v>
      </c>
    </row>
    <row r="97">
      <c r="A97" s="6" t="s">
        <v>5207</v>
      </c>
      <c r="B97" s="6" t="s">
        <v>5207</v>
      </c>
      <c r="C97" s="6" t="s">
        <v>5208</v>
      </c>
      <c r="D97" s="6">
        <v>99.0</v>
      </c>
      <c r="E97" s="6">
        <v>3.5777433246356E14</v>
      </c>
      <c r="F97" s="6" t="s">
        <v>5209</v>
      </c>
      <c r="G97" s="6" t="s">
        <v>4874</v>
      </c>
      <c r="J97" s="6">
        <v>0.0</v>
      </c>
      <c r="L97" s="6">
        <v>0.0</v>
      </c>
      <c r="M97" s="6" t="s">
        <v>5210</v>
      </c>
      <c r="N97" s="6" t="s">
        <v>4880</v>
      </c>
      <c r="O97" s="6" t="s">
        <v>4880</v>
      </c>
    </row>
    <row r="98">
      <c r="A98" s="6" t="s">
        <v>5211</v>
      </c>
      <c r="B98" s="6" t="s">
        <v>5211</v>
      </c>
      <c r="C98" s="6" t="s">
        <v>5212</v>
      </c>
      <c r="D98" s="6">
        <v>100.0</v>
      </c>
      <c r="E98" s="6">
        <v>3.53990992863535E14</v>
      </c>
      <c r="F98" s="6" t="s">
        <v>189</v>
      </c>
      <c r="G98" s="6" t="s">
        <v>4874</v>
      </c>
      <c r="J98" s="6">
        <v>0.0</v>
      </c>
      <c r="L98" s="6">
        <v>0.0</v>
      </c>
      <c r="M98" s="6" t="s">
        <v>5213</v>
      </c>
      <c r="N98" s="6" t="s">
        <v>4880</v>
      </c>
      <c r="O98" s="6" t="s">
        <v>4880</v>
      </c>
    </row>
    <row r="99">
      <c r="A99" s="6" t="s">
        <v>5214</v>
      </c>
      <c r="B99" s="6" t="s">
        <v>5214</v>
      </c>
      <c r="C99" s="6" t="s">
        <v>5215</v>
      </c>
      <c r="D99" s="6">
        <v>101.0</v>
      </c>
      <c r="E99" s="6">
        <v>3.51109799799329E14</v>
      </c>
      <c r="F99" s="6" t="s">
        <v>5216</v>
      </c>
      <c r="G99" s="6" t="s">
        <v>4874</v>
      </c>
      <c r="J99" s="6">
        <v>0.0</v>
      </c>
      <c r="L99" s="6">
        <v>0.0</v>
      </c>
      <c r="M99" s="6" t="s">
        <v>5217</v>
      </c>
      <c r="N99" s="6" t="s">
        <v>4880</v>
      </c>
      <c r="O99" s="6" t="s">
        <v>4880</v>
      </c>
    </row>
    <row r="100">
      <c r="A100" s="6" t="s">
        <v>5218</v>
      </c>
      <c r="B100" s="6" t="s">
        <v>5218</v>
      </c>
      <c r="C100" s="6" t="s">
        <v>5219</v>
      </c>
      <c r="D100" s="6">
        <v>102.0</v>
      </c>
      <c r="E100" s="6">
        <v>3.59954312840064E14</v>
      </c>
      <c r="F100" s="6" t="s">
        <v>5220</v>
      </c>
      <c r="G100" s="6" t="s">
        <v>4874</v>
      </c>
      <c r="J100" s="6">
        <v>0.0</v>
      </c>
      <c r="L100" s="6">
        <v>0.0</v>
      </c>
      <c r="M100" s="6" t="s">
        <v>5221</v>
      </c>
      <c r="N100" s="6" t="s">
        <v>4880</v>
      </c>
      <c r="O100" s="6" t="s">
        <v>4880</v>
      </c>
    </row>
    <row r="101">
      <c r="A101" s="6" t="s">
        <v>5222</v>
      </c>
      <c r="B101" s="6" t="s">
        <v>5222</v>
      </c>
      <c r="C101" s="6" t="s">
        <v>5223</v>
      </c>
      <c r="D101" s="6">
        <v>103.0</v>
      </c>
      <c r="E101" s="6">
        <v>3.54633446483463E14</v>
      </c>
      <c r="F101" s="6" t="s">
        <v>101</v>
      </c>
      <c r="G101" s="6" t="s">
        <v>4874</v>
      </c>
      <c r="J101" s="6">
        <v>0.0</v>
      </c>
      <c r="L101" s="6">
        <v>0.0</v>
      </c>
      <c r="M101" s="6" t="s">
        <v>5224</v>
      </c>
      <c r="N101" s="6" t="s">
        <v>4880</v>
      </c>
      <c r="O101" s="6" t="s">
        <v>4880</v>
      </c>
    </row>
    <row r="102">
      <c r="A102" s="6" t="s">
        <v>5225</v>
      </c>
      <c r="B102" s="6" t="s">
        <v>5225</v>
      </c>
      <c r="C102" s="6" t="s">
        <v>5226</v>
      </c>
      <c r="D102" s="6">
        <v>104.0</v>
      </c>
      <c r="E102" s="6">
        <v>3.55658239031111E14</v>
      </c>
      <c r="F102" s="6" t="s">
        <v>605</v>
      </c>
      <c r="G102" s="6" t="s">
        <v>4874</v>
      </c>
      <c r="J102" s="6">
        <v>0.0</v>
      </c>
      <c r="L102" s="6">
        <v>0.0</v>
      </c>
      <c r="M102" s="6" t="s">
        <v>5227</v>
      </c>
      <c r="N102" s="6" t="s">
        <v>4880</v>
      </c>
      <c r="O102" s="6" t="s">
        <v>4880</v>
      </c>
    </row>
    <row r="103">
      <c r="A103" s="6" t="s">
        <v>5228</v>
      </c>
      <c r="B103" s="6" t="s">
        <v>5228</v>
      </c>
      <c r="C103" s="6" t="s">
        <v>5229</v>
      </c>
      <c r="D103" s="6">
        <v>105.0</v>
      </c>
      <c r="E103" s="6">
        <v>3.53941307592558E14</v>
      </c>
      <c r="F103" s="6" t="s">
        <v>5230</v>
      </c>
      <c r="G103" s="6" t="s">
        <v>4874</v>
      </c>
      <c r="J103" s="6">
        <v>0.0</v>
      </c>
      <c r="L103" s="6">
        <v>0.0</v>
      </c>
      <c r="M103" s="6" t="s">
        <v>5231</v>
      </c>
      <c r="N103" s="6" t="s">
        <v>4880</v>
      </c>
      <c r="O103" s="6" t="s">
        <v>4880</v>
      </c>
    </row>
    <row r="104">
      <c r="A104" s="6" t="s">
        <v>5232</v>
      </c>
      <c r="B104" s="6" t="s">
        <v>5232</v>
      </c>
      <c r="C104" s="6" t="s">
        <v>5233</v>
      </c>
      <c r="D104" s="6">
        <v>106.0</v>
      </c>
      <c r="E104" s="6" t="s">
        <v>5234</v>
      </c>
      <c r="F104" s="6" t="s">
        <v>4884</v>
      </c>
      <c r="G104" s="6" t="s">
        <v>4874</v>
      </c>
      <c r="J104" s="6">
        <v>0.0</v>
      </c>
      <c r="L104" s="6">
        <v>0.0</v>
      </c>
      <c r="M104" s="6" t="s">
        <v>5235</v>
      </c>
      <c r="N104" s="6" t="s">
        <v>4880</v>
      </c>
      <c r="O104" s="6" t="s">
        <v>4880</v>
      </c>
    </row>
    <row r="105">
      <c r="A105" s="6" t="s">
        <v>5236</v>
      </c>
      <c r="B105" s="6" t="s">
        <v>5236</v>
      </c>
      <c r="C105" s="6" t="s">
        <v>5237</v>
      </c>
      <c r="D105" s="6">
        <v>107.0</v>
      </c>
      <c r="E105" s="6">
        <v>3.58654496191471E14</v>
      </c>
      <c r="G105" s="6" t="s">
        <v>4874</v>
      </c>
      <c r="J105" s="6">
        <v>0.0</v>
      </c>
      <c r="L105" s="6">
        <v>0.0</v>
      </c>
      <c r="M105" s="6" t="s">
        <v>5238</v>
      </c>
      <c r="N105" s="6" t="s">
        <v>4880</v>
      </c>
      <c r="O105" s="6" t="s">
        <v>4880</v>
      </c>
    </row>
    <row r="106">
      <c r="A106" s="6" t="s">
        <v>5239</v>
      </c>
      <c r="B106" s="6" t="s">
        <v>5239</v>
      </c>
      <c r="C106" s="6" t="s">
        <v>5240</v>
      </c>
      <c r="D106" s="6">
        <v>108.0</v>
      </c>
      <c r="F106" s="6" t="s">
        <v>1154</v>
      </c>
      <c r="G106" s="6" t="s">
        <v>4874</v>
      </c>
      <c r="J106" s="6">
        <v>0.0</v>
      </c>
      <c r="L106" s="6">
        <v>0.0</v>
      </c>
      <c r="M106" s="6" t="s">
        <v>5241</v>
      </c>
      <c r="N106" s="6" t="s">
        <v>4880</v>
      </c>
      <c r="O106" s="6" t="s">
        <v>4880</v>
      </c>
    </row>
    <row r="107">
      <c r="A107" s="6" t="s">
        <v>5242</v>
      </c>
      <c r="B107" s="6" t="s">
        <v>5242</v>
      </c>
      <c r="C107" s="6" t="s">
        <v>5243</v>
      </c>
      <c r="D107" s="6">
        <v>109.0</v>
      </c>
      <c r="E107" s="6">
        <v>3.56416672408935E14</v>
      </c>
      <c r="F107" s="6" t="s">
        <v>5244</v>
      </c>
      <c r="G107" s="6" t="s">
        <v>4874</v>
      </c>
      <c r="J107" s="6">
        <v>0.0</v>
      </c>
      <c r="L107" s="6">
        <v>0.0</v>
      </c>
      <c r="M107" s="6" t="s">
        <v>5245</v>
      </c>
      <c r="N107" s="6" t="s">
        <v>4880</v>
      </c>
      <c r="O107" s="6" t="s">
        <v>4880</v>
      </c>
    </row>
    <row r="108">
      <c r="A108" s="6" t="s">
        <v>5246</v>
      </c>
      <c r="B108" s="6" t="s">
        <v>5246</v>
      </c>
      <c r="C108" s="6" t="s">
        <v>5247</v>
      </c>
      <c r="D108" s="6">
        <v>110.0</v>
      </c>
      <c r="E108" s="6">
        <v>3.54700281636768E14</v>
      </c>
      <c r="G108" s="6" t="s">
        <v>4874</v>
      </c>
      <c r="J108" s="6">
        <v>0.0</v>
      </c>
      <c r="L108" s="6">
        <v>0.0</v>
      </c>
      <c r="M108" s="6" t="s">
        <v>5248</v>
      </c>
      <c r="N108" s="6" t="s">
        <v>4880</v>
      </c>
      <c r="O108" s="6" t="s">
        <v>4880</v>
      </c>
    </row>
    <row r="109">
      <c r="A109" s="6" t="s">
        <v>5249</v>
      </c>
      <c r="B109" s="6" t="s">
        <v>5249</v>
      </c>
      <c r="C109" s="6" t="s">
        <v>5250</v>
      </c>
      <c r="D109" s="6">
        <v>111.0</v>
      </c>
      <c r="E109" s="6">
        <v>3.51935565754696E14</v>
      </c>
      <c r="F109" s="6" t="s">
        <v>70</v>
      </c>
      <c r="G109" s="6" t="s">
        <v>4874</v>
      </c>
      <c r="J109" s="6">
        <v>0.0</v>
      </c>
      <c r="L109" s="6">
        <v>0.0</v>
      </c>
      <c r="M109" s="6" t="s">
        <v>5251</v>
      </c>
      <c r="N109" s="6" t="s">
        <v>4880</v>
      </c>
      <c r="O109" s="6" t="s">
        <v>4880</v>
      </c>
    </row>
    <row r="110">
      <c r="A110" s="6" t="s">
        <v>5252</v>
      </c>
      <c r="B110" s="6" t="s">
        <v>5252</v>
      </c>
      <c r="C110" s="6" t="s">
        <v>5253</v>
      </c>
      <c r="D110" s="6">
        <v>112.0</v>
      </c>
      <c r="E110" s="6">
        <v>3.59712289582758E14</v>
      </c>
      <c r="F110" s="6" t="s">
        <v>5254</v>
      </c>
      <c r="G110" s="6" t="s">
        <v>4874</v>
      </c>
      <c r="J110" s="6">
        <v>0.0</v>
      </c>
      <c r="L110" s="6">
        <v>0.0</v>
      </c>
      <c r="M110" s="6" t="s">
        <v>5255</v>
      </c>
      <c r="N110" s="6" t="s">
        <v>4880</v>
      </c>
      <c r="O110" s="6" t="s">
        <v>4880</v>
      </c>
    </row>
    <row r="111">
      <c r="A111" s="6" t="s">
        <v>5256</v>
      </c>
      <c r="B111" s="6" t="s">
        <v>5256</v>
      </c>
      <c r="C111" s="6" t="s">
        <v>5257</v>
      </c>
      <c r="D111" s="6">
        <v>113.0</v>
      </c>
      <c r="G111" s="6" t="s">
        <v>4874</v>
      </c>
      <c r="J111" s="6">
        <v>0.0</v>
      </c>
      <c r="L111" s="6">
        <v>0.0</v>
      </c>
      <c r="M111" s="6" t="s">
        <v>5258</v>
      </c>
      <c r="N111" s="6" t="s">
        <v>4880</v>
      </c>
      <c r="O111" s="6" t="s">
        <v>4880</v>
      </c>
    </row>
    <row r="112">
      <c r="A112" s="6" t="s">
        <v>5259</v>
      </c>
      <c r="B112" s="6" t="s">
        <v>5259</v>
      </c>
      <c r="C112" s="6" t="s">
        <v>5260</v>
      </c>
      <c r="D112" s="6">
        <v>114.0</v>
      </c>
      <c r="E112" s="6">
        <v>3.52013409590939E14</v>
      </c>
      <c r="G112" s="6" t="s">
        <v>4874</v>
      </c>
      <c r="J112" s="6">
        <v>0.0</v>
      </c>
      <c r="L112" s="6">
        <v>0.0</v>
      </c>
      <c r="M112" s="6" t="s">
        <v>5261</v>
      </c>
      <c r="N112" s="6" t="s">
        <v>4880</v>
      </c>
      <c r="O112" s="6" t="s">
        <v>4880</v>
      </c>
    </row>
    <row r="113">
      <c r="A113" s="6" t="s">
        <v>5262</v>
      </c>
      <c r="B113" s="6" t="s">
        <v>5262</v>
      </c>
      <c r="C113" s="6" t="s">
        <v>5263</v>
      </c>
      <c r="D113" s="6">
        <v>115.0</v>
      </c>
      <c r="E113" s="6">
        <v>3.52852114462128E14</v>
      </c>
      <c r="F113" s="6" t="s">
        <v>5264</v>
      </c>
      <c r="G113" s="6" t="s">
        <v>4874</v>
      </c>
      <c r="J113" s="6">
        <v>0.0</v>
      </c>
      <c r="L113" s="6">
        <v>0.0</v>
      </c>
      <c r="M113" s="6" t="s">
        <v>5265</v>
      </c>
      <c r="N113" s="6" t="s">
        <v>4880</v>
      </c>
      <c r="O113" s="6" t="s">
        <v>4880</v>
      </c>
    </row>
    <row r="114">
      <c r="A114" s="6" t="s">
        <v>5266</v>
      </c>
      <c r="B114" s="6" t="s">
        <v>5266</v>
      </c>
      <c r="C114" s="6" t="s">
        <v>5267</v>
      </c>
      <c r="D114" s="6">
        <v>116.0</v>
      </c>
      <c r="E114" s="6" t="s">
        <v>5268</v>
      </c>
      <c r="G114" s="6" t="s">
        <v>4874</v>
      </c>
      <c r="J114" s="6">
        <v>0.0</v>
      </c>
      <c r="L114" s="6">
        <v>0.0</v>
      </c>
      <c r="M114" s="6" t="s">
        <v>5269</v>
      </c>
      <c r="N114" s="6" t="s">
        <v>4880</v>
      </c>
      <c r="O114" s="6" t="s">
        <v>4880</v>
      </c>
    </row>
    <row r="115">
      <c r="A115" s="6" t="s">
        <v>5270</v>
      </c>
      <c r="B115" s="6" t="s">
        <v>5270</v>
      </c>
      <c r="C115" s="6" t="s">
        <v>5271</v>
      </c>
      <c r="D115" s="6">
        <v>117.0</v>
      </c>
      <c r="F115" s="6" t="s">
        <v>5264</v>
      </c>
      <c r="G115" s="6" t="s">
        <v>4874</v>
      </c>
      <c r="J115" s="6">
        <v>0.0</v>
      </c>
      <c r="L115" s="6">
        <v>0.0</v>
      </c>
      <c r="M115" s="6" t="s">
        <v>5272</v>
      </c>
      <c r="N115" s="6" t="s">
        <v>4880</v>
      </c>
      <c r="O115" s="6" t="s">
        <v>4880</v>
      </c>
    </row>
    <row r="116">
      <c r="A116" s="6" t="s">
        <v>5273</v>
      </c>
      <c r="B116" s="6" t="s">
        <v>5273</v>
      </c>
      <c r="C116" s="6" t="s">
        <v>5274</v>
      </c>
      <c r="D116" s="6">
        <v>118.0</v>
      </c>
      <c r="E116" s="6">
        <v>3.5643510904337E14</v>
      </c>
      <c r="F116" s="6" t="s">
        <v>464</v>
      </c>
      <c r="G116" s="6" t="s">
        <v>4874</v>
      </c>
      <c r="J116" s="6">
        <v>0.0</v>
      </c>
      <c r="L116" s="6">
        <v>0.0</v>
      </c>
      <c r="M116" s="6" t="s">
        <v>5275</v>
      </c>
      <c r="N116" s="6" t="s">
        <v>4880</v>
      </c>
      <c r="O116" s="6" t="s">
        <v>4880</v>
      </c>
    </row>
    <row r="117">
      <c r="A117" s="6" t="s">
        <v>5276</v>
      </c>
      <c r="B117" s="6" t="s">
        <v>5276</v>
      </c>
      <c r="C117" s="6" t="s">
        <v>5277</v>
      </c>
      <c r="D117" s="6">
        <v>119.0</v>
      </c>
      <c r="E117" s="6">
        <v>3.52868110732629E14</v>
      </c>
      <c r="F117" s="6" t="s">
        <v>5278</v>
      </c>
      <c r="G117" s="6" t="s">
        <v>4874</v>
      </c>
      <c r="J117" s="6">
        <v>0.0</v>
      </c>
      <c r="L117" s="6">
        <v>0.0</v>
      </c>
      <c r="M117" s="6" t="s">
        <v>5279</v>
      </c>
      <c r="N117" s="6" t="s">
        <v>4880</v>
      </c>
      <c r="O117" s="6" t="s">
        <v>4880</v>
      </c>
    </row>
    <row r="118">
      <c r="A118" s="6" t="s">
        <v>5280</v>
      </c>
      <c r="B118" s="6" t="s">
        <v>5280</v>
      </c>
      <c r="C118" s="6" t="s">
        <v>5281</v>
      </c>
      <c r="D118" s="6">
        <v>120.0</v>
      </c>
      <c r="E118" s="6">
        <v>3.55818457808349E14</v>
      </c>
      <c r="F118" s="6" t="s">
        <v>5264</v>
      </c>
      <c r="G118" s="6" t="s">
        <v>4874</v>
      </c>
      <c r="J118" s="6">
        <v>0.0</v>
      </c>
      <c r="L118" s="6">
        <v>0.0</v>
      </c>
      <c r="M118" s="6" t="s">
        <v>5282</v>
      </c>
      <c r="N118" s="6" t="s">
        <v>4880</v>
      </c>
      <c r="O118" s="6" t="s">
        <v>4880</v>
      </c>
    </row>
    <row r="119">
      <c r="A119" s="6" t="s">
        <v>5283</v>
      </c>
      <c r="B119" s="6" t="s">
        <v>5283</v>
      </c>
      <c r="C119" s="6" t="s">
        <v>5284</v>
      </c>
      <c r="D119" s="6">
        <v>121.0</v>
      </c>
      <c r="E119" s="6">
        <v>3.59272539676876E14</v>
      </c>
      <c r="G119" s="6" t="s">
        <v>4874</v>
      </c>
      <c r="J119" s="6">
        <v>0.0</v>
      </c>
      <c r="L119" s="6">
        <v>0.0</v>
      </c>
      <c r="M119" s="6" t="s">
        <v>5285</v>
      </c>
      <c r="N119" s="6" t="s">
        <v>4880</v>
      </c>
      <c r="O119" s="6" t="s">
        <v>4880</v>
      </c>
    </row>
    <row r="120">
      <c r="A120" s="6" t="s">
        <v>5286</v>
      </c>
      <c r="B120" s="6" t="s">
        <v>5286</v>
      </c>
      <c r="C120" s="6" t="s">
        <v>5287</v>
      </c>
      <c r="D120" s="6">
        <v>122.0</v>
      </c>
      <c r="E120" s="6">
        <v>3.57650616407079E14</v>
      </c>
      <c r="F120" s="6" t="s">
        <v>664</v>
      </c>
      <c r="G120" s="6" t="s">
        <v>4874</v>
      </c>
      <c r="J120" s="6">
        <v>0.0</v>
      </c>
      <c r="L120" s="6">
        <v>0.0</v>
      </c>
      <c r="M120" s="6" t="s">
        <v>5288</v>
      </c>
      <c r="N120" s="6" t="s">
        <v>4880</v>
      </c>
      <c r="O120" s="6" t="s">
        <v>4880</v>
      </c>
    </row>
    <row r="121">
      <c r="A121" s="6" t="s">
        <v>5289</v>
      </c>
      <c r="B121" s="6" t="s">
        <v>5289</v>
      </c>
      <c r="C121" s="6" t="s">
        <v>5290</v>
      </c>
      <c r="D121" s="6">
        <v>123.0</v>
      </c>
      <c r="E121" s="6">
        <v>3.55822262475625E14</v>
      </c>
      <c r="F121" s="6" t="s">
        <v>5291</v>
      </c>
      <c r="G121" s="6" t="s">
        <v>4874</v>
      </c>
      <c r="J121" s="6">
        <v>0.0</v>
      </c>
      <c r="L121" s="6">
        <v>0.0</v>
      </c>
      <c r="M121" s="6" t="s">
        <v>5292</v>
      </c>
      <c r="N121" s="6" t="s">
        <v>4880</v>
      </c>
      <c r="O121" s="6" t="s">
        <v>4880</v>
      </c>
    </row>
    <row r="122">
      <c r="A122" s="6" t="s">
        <v>5293</v>
      </c>
      <c r="B122" s="6" t="s">
        <v>5293</v>
      </c>
      <c r="C122" s="6" t="s">
        <v>5294</v>
      </c>
      <c r="D122" s="6">
        <v>124.0</v>
      </c>
      <c r="E122" s="6">
        <v>3.53776394055543E14</v>
      </c>
      <c r="F122" s="6" t="s">
        <v>2173</v>
      </c>
      <c r="G122" s="6" t="s">
        <v>4874</v>
      </c>
      <c r="J122" s="6">
        <v>0.0</v>
      </c>
      <c r="L122" s="6">
        <v>0.0</v>
      </c>
      <c r="M122" s="6" t="s">
        <v>5295</v>
      </c>
      <c r="N122" s="6" t="s">
        <v>4880</v>
      </c>
      <c r="O122" s="6" t="s">
        <v>4880</v>
      </c>
    </row>
    <row r="123">
      <c r="A123" s="6" t="s">
        <v>5296</v>
      </c>
      <c r="B123" s="6" t="s">
        <v>5296</v>
      </c>
      <c r="C123" s="6" t="s">
        <v>5297</v>
      </c>
      <c r="D123" s="6">
        <v>125.0</v>
      </c>
      <c r="E123" s="6">
        <v>3.53427810573368E14</v>
      </c>
      <c r="F123" s="6" t="s">
        <v>5298</v>
      </c>
      <c r="G123" s="6" t="s">
        <v>4874</v>
      </c>
      <c r="J123" s="6">
        <v>0.0</v>
      </c>
      <c r="L123" s="6">
        <v>0.0</v>
      </c>
      <c r="M123" s="6" t="s">
        <v>5299</v>
      </c>
      <c r="N123" s="6" t="s">
        <v>4880</v>
      </c>
      <c r="O123" s="6" t="s">
        <v>4880</v>
      </c>
    </row>
    <row r="124">
      <c r="A124" s="6" t="s">
        <v>5300</v>
      </c>
      <c r="B124" s="6" t="s">
        <v>5300</v>
      </c>
      <c r="C124" s="6" t="s">
        <v>5301</v>
      </c>
      <c r="D124" s="6">
        <v>126.0</v>
      </c>
      <c r="E124" s="6">
        <v>3.52156544136298E14</v>
      </c>
      <c r="F124" s="6" t="s">
        <v>2006</v>
      </c>
      <c r="G124" s="6" t="s">
        <v>4874</v>
      </c>
      <c r="J124" s="6">
        <v>0.0</v>
      </c>
      <c r="L124" s="6">
        <v>0.0</v>
      </c>
      <c r="M124" s="6" t="s">
        <v>5302</v>
      </c>
      <c r="N124" s="6" t="s">
        <v>4880</v>
      </c>
      <c r="O124" s="6" t="s">
        <v>4880</v>
      </c>
    </row>
    <row r="125">
      <c r="A125" s="6" t="s">
        <v>5303</v>
      </c>
      <c r="B125" s="6" t="s">
        <v>5303</v>
      </c>
      <c r="C125" s="6" t="s">
        <v>5304</v>
      </c>
      <c r="D125" s="6">
        <v>127.0</v>
      </c>
      <c r="E125" s="6">
        <v>3.59843525872909E14</v>
      </c>
      <c r="F125" s="6" t="s">
        <v>1562</v>
      </c>
      <c r="G125" s="6" t="s">
        <v>4874</v>
      </c>
      <c r="J125" s="6">
        <v>0.0</v>
      </c>
      <c r="L125" s="6">
        <v>0.0</v>
      </c>
      <c r="M125" s="6" t="s">
        <v>5305</v>
      </c>
      <c r="N125" s="6" t="s">
        <v>4880</v>
      </c>
      <c r="O125" s="6" t="s">
        <v>4880</v>
      </c>
    </row>
    <row r="126">
      <c r="A126" s="6" t="s">
        <v>5306</v>
      </c>
      <c r="B126" s="6" t="s">
        <v>5306</v>
      </c>
      <c r="C126" s="6" t="s">
        <v>5307</v>
      </c>
      <c r="D126" s="6">
        <v>128.0</v>
      </c>
      <c r="E126" s="6">
        <v>3.5739789209618E14</v>
      </c>
      <c r="G126" s="6" t="s">
        <v>4874</v>
      </c>
      <c r="J126" s="6">
        <v>0.0</v>
      </c>
      <c r="L126" s="6">
        <v>0.0</v>
      </c>
      <c r="M126" s="6" t="s">
        <v>5308</v>
      </c>
      <c r="N126" s="6" t="s">
        <v>4880</v>
      </c>
      <c r="O126" s="6" t="s">
        <v>4880</v>
      </c>
    </row>
    <row r="127">
      <c r="A127" s="6" t="s">
        <v>5309</v>
      </c>
      <c r="B127" s="6" t="s">
        <v>5309</v>
      </c>
      <c r="C127" s="6" t="s">
        <v>5310</v>
      </c>
      <c r="D127" s="6">
        <v>129.0</v>
      </c>
      <c r="E127" s="6">
        <v>3.5739789209618E14</v>
      </c>
      <c r="G127" s="6" t="s">
        <v>4874</v>
      </c>
      <c r="J127" s="6">
        <v>0.0</v>
      </c>
      <c r="L127" s="6">
        <v>0.0</v>
      </c>
      <c r="M127" s="6" t="s">
        <v>5311</v>
      </c>
      <c r="N127" s="6" t="s">
        <v>4880</v>
      </c>
      <c r="O127" s="6" t="s">
        <v>4880</v>
      </c>
    </row>
    <row r="128">
      <c r="A128" s="6" t="s">
        <v>5312</v>
      </c>
      <c r="B128" s="6" t="s">
        <v>5312</v>
      </c>
      <c r="C128" s="6" t="s">
        <v>5313</v>
      </c>
      <c r="D128" s="6">
        <v>130.0</v>
      </c>
      <c r="E128" s="6">
        <v>3.51183327071659E14</v>
      </c>
      <c r="F128" s="6" t="s">
        <v>874</v>
      </c>
      <c r="G128" s="6" t="s">
        <v>4874</v>
      </c>
      <c r="J128" s="6">
        <v>0.0</v>
      </c>
      <c r="L128" s="6">
        <v>0.0</v>
      </c>
      <c r="M128" s="6" t="s">
        <v>5314</v>
      </c>
      <c r="N128" s="6" t="s">
        <v>4880</v>
      </c>
      <c r="O128" s="6" t="s">
        <v>4880</v>
      </c>
    </row>
    <row r="129">
      <c r="A129" s="6" t="s">
        <v>5315</v>
      </c>
      <c r="B129" s="6" t="s">
        <v>5315</v>
      </c>
      <c r="C129" s="6" t="s">
        <v>5316</v>
      </c>
      <c r="D129" s="6">
        <v>131.0</v>
      </c>
      <c r="E129" s="6">
        <v>3.5438735811725E14</v>
      </c>
      <c r="F129" s="6" t="s">
        <v>5317</v>
      </c>
      <c r="G129" s="6" t="s">
        <v>4874</v>
      </c>
      <c r="J129" s="6">
        <v>0.0</v>
      </c>
      <c r="L129" s="6">
        <v>0.0</v>
      </c>
      <c r="M129" s="6" t="s">
        <v>5318</v>
      </c>
      <c r="N129" s="6" t="s">
        <v>4880</v>
      </c>
      <c r="O129" s="6" t="s">
        <v>4880</v>
      </c>
    </row>
    <row r="130">
      <c r="A130" s="6" t="s">
        <v>5319</v>
      </c>
      <c r="B130" s="6" t="s">
        <v>5319</v>
      </c>
      <c r="C130" s="6" t="s">
        <v>5320</v>
      </c>
      <c r="D130" s="6">
        <v>132.0</v>
      </c>
      <c r="E130" s="6">
        <v>3.57879430898516E14</v>
      </c>
      <c r="F130" s="6" t="s">
        <v>1126</v>
      </c>
      <c r="G130" s="6" t="s">
        <v>4874</v>
      </c>
      <c r="J130" s="6">
        <v>0.0</v>
      </c>
      <c r="L130" s="6">
        <v>0.0</v>
      </c>
      <c r="M130" s="6" t="s">
        <v>5321</v>
      </c>
      <c r="N130" s="6" t="s">
        <v>4880</v>
      </c>
      <c r="O130" s="6" t="s">
        <v>4880</v>
      </c>
    </row>
    <row r="131">
      <c r="A131" s="6" t="s">
        <v>5322</v>
      </c>
      <c r="B131" s="6" t="s">
        <v>5322</v>
      </c>
      <c r="C131" s="6" t="s">
        <v>5323</v>
      </c>
      <c r="D131" s="6">
        <v>133.0</v>
      </c>
      <c r="E131" s="6">
        <v>3.53115827426841E14</v>
      </c>
      <c r="G131" s="6" t="s">
        <v>4874</v>
      </c>
      <c r="J131" s="6">
        <v>0.0</v>
      </c>
      <c r="L131" s="6">
        <v>0.0</v>
      </c>
      <c r="M131" s="6" t="s">
        <v>5324</v>
      </c>
      <c r="N131" s="6" t="s">
        <v>4880</v>
      </c>
      <c r="O131" s="6" t="s">
        <v>4880</v>
      </c>
    </row>
    <row r="132">
      <c r="A132" s="6" t="s">
        <v>5325</v>
      </c>
      <c r="B132" s="6" t="s">
        <v>5325</v>
      </c>
      <c r="C132" s="6" t="s">
        <v>5326</v>
      </c>
      <c r="D132" s="6">
        <v>134.0</v>
      </c>
      <c r="E132" s="6">
        <v>3.50168504403685E14</v>
      </c>
      <c r="F132" s="6" t="s">
        <v>1053</v>
      </c>
      <c r="G132" s="6" t="s">
        <v>4874</v>
      </c>
      <c r="J132" s="6">
        <v>0.0</v>
      </c>
      <c r="L132" s="6">
        <v>0.0</v>
      </c>
      <c r="M132" s="6" t="s">
        <v>5327</v>
      </c>
      <c r="N132" s="6" t="s">
        <v>4880</v>
      </c>
      <c r="O132" s="6" t="s">
        <v>4880</v>
      </c>
    </row>
    <row r="133">
      <c r="A133" s="6" t="s">
        <v>5328</v>
      </c>
      <c r="B133" s="6" t="s">
        <v>5328</v>
      </c>
      <c r="C133" s="6" t="s">
        <v>5329</v>
      </c>
      <c r="D133" s="6">
        <v>135.0</v>
      </c>
      <c r="E133" s="6">
        <v>3.591644934874E14</v>
      </c>
      <c r="F133" s="6" t="s">
        <v>2006</v>
      </c>
      <c r="G133" s="6" t="s">
        <v>4874</v>
      </c>
      <c r="J133" s="6">
        <v>0.0</v>
      </c>
      <c r="L133" s="6">
        <v>0.0</v>
      </c>
      <c r="M133" s="6" t="s">
        <v>5330</v>
      </c>
      <c r="N133" s="6" t="s">
        <v>4880</v>
      </c>
      <c r="O133" s="6" t="s">
        <v>4880</v>
      </c>
    </row>
    <row r="134">
      <c r="A134" s="6" t="s">
        <v>5331</v>
      </c>
      <c r="B134" s="6" t="s">
        <v>5331</v>
      </c>
      <c r="C134" s="6" t="s">
        <v>5332</v>
      </c>
      <c r="D134" s="6">
        <v>136.0</v>
      </c>
      <c r="E134" s="6">
        <v>3.52156544136298E14</v>
      </c>
      <c r="F134" s="6" t="s">
        <v>5333</v>
      </c>
      <c r="G134" s="6" t="s">
        <v>4874</v>
      </c>
      <c r="J134" s="6">
        <v>0.0</v>
      </c>
      <c r="L134" s="6">
        <v>0.0</v>
      </c>
      <c r="M134" s="6" t="s">
        <v>5334</v>
      </c>
      <c r="N134" s="6" t="s">
        <v>4880</v>
      </c>
      <c r="O134" s="6" t="s">
        <v>4880</v>
      </c>
    </row>
    <row r="135">
      <c r="A135" s="6" t="s">
        <v>5335</v>
      </c>
      <c r="B135" s="6" t="s">
        <v>5335</v>
      </c>
      <c r="C135" s="6" t="s">
        <v>5336</v>
      </c>
      <c r="D135" s="6">
        <v>137.0</v>
      </c>
      <c r="E135" s="6">
        <v>3.56682116348033E14</v>
      </c>
      <c r="F135" s="6" t="s">
        <v>5337</v>
      </c>
      <c r="G135" s="6" t="s">
        <v>4874</v>
      </c>
      <c r="J135" s="6">
        <v>0.0</v>
      </c>
      <c r="L135" s="6">
        <v>0.0</v>
      </c>
      <c r="M135" s="6" t="s">
        <v>5338</v>
      </c>
      <c r="N135" s="6" t="s">
        <v>4880</v>
      </c>
      <c r="O135" s="6" t="s">
        <v>4880</v>
      </c>
    </row>
    <row r="136">
      <c r="A136" s="6" t="s">
        <v>5339</v>
      </c>
      <c r="B136" s="6" t="s">
        <v>5339</v>
      </c>
      <c r="C136" s="6" t="s">
        <v>5340</v>
      </c>
      <c r="D136" s="6">
        <v>138.0</v>
      </c>
      <c r="E136" s="6">
        <v>3.54068587703306E14</v>
      </c>
      <c r="F136" s="6" t="s">
        <v>5341</v>
      </c>
      <c r="G136" s="6" t="s">
        <v>4874</v>
      </c>
      <c r="J136" s="6">
        <v>0.0</v>
      </c>
      <c r="L136" s="6">
        <v>0.0</v>
      </c>
      <c r="M136" s="6" t="s">
        <v>5342</v>
      </c>
      <c r="N136" s="6" t="s">
        <v>4880</v>
      </c>
      <c r="O136" s="6" t="s">
        <v>4880</v>
      </c>
    </row>
    <row r="137">
      <c r="A137" s="6" t="s">
        <v>5343</v>
      </c>
      <c r="B137" s="6" t="s">
        <v>5343</v>
      </c>
      <c r="C137" s="6" t="s">
        <v>5344</v>
      </c>
      <c r="D137" s="6">
        <v>139.0</v>
      </c>
      <c r="E137" s="6">
        <v>3.53974642335037E14</v>
      </c>
      <c r="F137" s="6" t="s">
        <v>54</v>
      </c>
      <c r="G137" s="6" t="s">
        <v>4874</v>
      </c>
      <c r="J137" s="6">
        <v>0.0</v>
      </c>
      <c r="L137" s="6">
        <v>0.0</v>
      </c>
      <c r="M137" s="6" t="s">
        <v>5345</v>
      </c>
      <c r="N137" s="6" t="s">
        <v>4880</v>
      </c>
      <c r="O137" s="6" t="s">
        <v>4880</v>
      </c>
    </row>
    <row r="138">
      <c r="A138" s="6" t="s">
        <v>5346</v>
      </c>
      <c r="B138" s="6" t="s">
        <v>5346</v>
      </c>
      <c r="C138" s="6" t="s">
        <v>5347</v>
      </c>
      <c r="D138" s="6">
        <v>140.0</v>
      </c>
      <c r="E138" s="6">
        <v>3.58197540742717E14</v>
      </c>
      <c r="F138" s="6" t="s">
        <v>5348</v>
      </c>
      <c r="G138" s="6" t="s">
        <v>4874</v>
      </c>
      <c r="J138" s="6">
        <v>0.0</v>
      </c>
      <c r="L138" s="6">
        <v>0.0</v>
      </c>
      <c r="M138" s="6" t="s">
        <v>5349</v>
      </c>
      <c r="N138" s="6" t="s">
        <v>4880</v>
      </c>
      <c r="O138" s="6" t="s">
        <v>4880</v>
      </c>
    </row>
    <row r="139">
      <c r="A139" s="6" t="s">
        <v>5350</v>
      </c>
      <c r="B139" s="6" t="s">
        <v>5350</v>
      </c>
      <c r="C139" s="6" t="s">
        <v>5351</v>
      </c>
      <c r="D139" s="6">
        <v>141.0</v>
      </c>
      <c r="E139" s="6">
        <v>3.54178504848967E14</v>
      </c>
      <c r="F139" s="6" t="s">
        <v>309</v>
      </c>
      <c r="G139" s="6" t="s">
        <v>4874</v>
      </c>
      <c r="J139" s="6">
        <v>0.0</v>
      </c>
      <c r="L139" s="6">
        <v>0.0</v>
      </c>
      <c r="M139" s="6" t="s">
        <v>5352</v>
      </c>
      <c r="N139" s="6" t="s">
        <v>4880</v>
      </c>
      <c r="O139" s="6" t="s">
        <v>4880</v>
      </c>
    </row>
    <row r="140">
      <c r="A140" s="6" t="s">
        <v>5353</v>
      </c>
      <c r="B140" s="6" t="s">
        <v>5353</v>
      </c>
      <c r="C140" s="6" t="s">
        <v>5354</v>
      </c>
      <c r="D140" s="6">
        <v>142.0</v>
      </c>
      <c r="E140" s="6">
        <v>3.53257395947764E14</v>
      </c>
      <c r="G140" s="6" t="s">
        <v>4874</v>
      </c>
      <c r="J140" s="6">
        <v>0.0</v>
      </c>
      <c r="L140" s="6">
        <v>0.0</v>
      </c>
      <c r="M140" s="6" t="s">
        <v>5355</v>
      </c>
      <c r="N140" s="6" t="s">
        <v>4880</v>
      </c>
      <c r="O140" s="6" t="s">
        <v>4880</v>
      </c>
    </row>
    <row r="141">
      <c r="A141" s="6" t="s">
        <v>5356</v>
      </c>
      <c r="B141" s="6" t="s">
        <v>5356</v>
      </c>
      <c r="C141" s="6" t="s">
        <v>5357</v>
      </c>
      <c r="D141" s="6">
        <v>143.0</v>
      </c>
      <c r="E141" s="6">
        <v>3.53038118080608E14</v>
      </c>
      <c r="F141" s="6" t="s">
        <v>5358</v>
      </c>
      <c r="G141" s="6" t="s">
        <v>4874</v>
      </c>
      <c r="J141" s="6">
        <v>0.0</v>
      </c>
      <c r="L141" s="6">
        <v>0.0</v>
      </c>
      <c r="M141" s="6" t="s">
        <v>5359</v>
      </c>
      <c r="N141" s="6" t="s">
        <v>4880</v>
      </c>
      <c r="O141" s="6" t="s">
        <v>4880</v>
      </c>
    </row>
    <row r="142">
      <c r="A142" s="6" t="s">
        <v>5360</v>
      </c>
      <c r="B142" s="6" t="s">
        <v>5360</v>
      </c>
      <c r="C142" s="6" t="s">
        <v>5361</v>
      </c>
      <c r="D142" s="6">
        <v>144.0</v>
      </c>
      <c r="E142" s="6">
        <v>3.54703754987007E14</v>
      </c>
      <c r="G142" s="6" t="s">
        <v>4874</v>
      </c>
      <c r="J142" s="6">
        <v>0.0</v>
      </c>
      <c r="L142" s="6">
        <v>0.0</v>
      </c>
      <c r="M142" s="6" t="s">
        <v>5362</v>
      </c>
      <c r="N142" s="6" t="s">
        <v>4880</v>
      </c>
      <c r="O142" s="6" t="s">
        <v>4880</v>
      </c>
    </row>
    <row r="143">
      <c r="A143" s="6" t="s">
        <v>5363</v>
      </c>
      <c r="B143" s="6" t="s">
        <v>5363</v>
      </c>
      <c r="C143" s="6" t="s">
        <v>5364</v>
      </c>
      <c r="D143" s="6">
        <v>145.0</v>
      </c>
      <c r="E143" s="6">
        <v>3.50168506619106E14</v>
      </c>
      <c r="G143" s="6" t="s">
        <v>4874</v>
      </c>
      <c r="J143" s="6">
        <v>0.0</v>
      </c>
      <c r="L143" s="6">
        <v>0.0</v>
      </c>
      <c r="M143" s="6" t="s">
        <v>5365</v>
      </c>
      <c r="N143" s="6" t="s">
        <v>4880</v>
      </c>
      <c r="O143" s="6" t="s">
        <v>4880</v>
      </c>
    </row>
    <row r="144">
      <c r="A144" s="6" t="s">
        <v>5366</v>
      </c>
      <c r="B144" s="6" t="s">
        <v>5366</v>
      </c>
      <c r="C144" s="6" t="s">
        <v>5367</v>
      </c>
      <c r="D144" s="6">
        <v>146.0</v>
      </c>
      <c r="E144" s="6">
        <v>3.5147553418907E14</v>
      </c>
      <c r="F144" s="6" t="s">
        <v>5368</v>
      </c>
      <c r="G144" s="6" t="s">
        <v>4874</v>
      </c>
      <c r="J144" s="6">
        <v>0.0</v>
      </c>
      <c r="L144" s="6">
        <v>0.0</v>
      </c>
      <c r="M144" s="6" t="s">
        <v>5369</v>
      </c>
      <c r="N144" s="6" t="s">
        <v>4880</v>
      </c>
      <c r="O144" s="6" t="s">
        <v>4880</v>
      </c>
    </row>
    <row r="145">
      <c r="A145" s="6" t="s">
        <v>5370</v>
      </c>
      <c r="B145" s="6" t="s">
        <v>5370</v>
      </c>
      <c r="C145" s="6" t="s">
        <v>5371</v>
      </c>
      <c r="D145" s="6">
        <v>147.0</v>
      </c>
      <c r="E145" s="6" t="s">
        <v>5372</v>
      </c>
      <c r="F145" s="6" t="s">
        <v>108</v>
      </c>
      <c r="G145" s="6" t="s">
        <v>4874</v>
      </c>
      <c r="J145" s="6">
        <v>0.0</v>
      </c>
      <c r="L145" s="6">
        <v>0.0</v>
      </c>
      <c r="M145" s="6" t="s">
        <v>5373</v>
      </c>
      <c r="N145" s="6" t="s">
        <v>4880</v>
      </c>
      <c r="O145" s="6" t="s">
        <v>4880</v>
      </c>
    </row>
    <row r="146">
      <c r="A146" s="6" t="s">
        <v>5374</v>
      </c>
      <c r="B146" s="6" t="s">
        <v>5374</v>
      </c>
      <c r="C146" s="6" t="s">
        <v>5375</v>
      </c>
      <c r="D146" s="6">
        <v>148.0</v>
      </c>
      <c r="E146" s="6">
        <v>3.58891508637972E14</v>
      </c>
      <c r="G146" s="6" t="s">
        <v>4874</v>
      </c>
      <c r="J146" s="6">
        <v>0.0</v>
      </c>
      <c r="L146" s="6">
        <v>0.0</v>
      </c>
      <c r="M146" s="6" t="s">
        <v>5376</v>
      </c>
      <c r="N146" s="6" t="s">
        <v>4880</v>
      </c>
      <c r="O146" s="6" t="s">
        <v>4880</v>
      </c>
    </row>
    <row r="147">
      <c r="A147" s="6" t="s">
        <v>5377</v>
      </c>
      <c r="B147" s="6" t="s">
        <v>5377</v>
      </c>
      <c r="C147" s="6" t="s">
        <v>5378</v>
      </c>
      <c r="D147" s="6">
        <v>149.0</v>
      </c>
      <c r="E147" s="6">
        <v>3.58098979956077E14</v>
      </c>
      <c r="F147" s="6" t="s">
        <v>5358</v>
      </c>
      <c r="G147" s="6" t="s">
        <v>4874</v>
      </c>
      <c r="J147" s="6">
        <v>0.0</v>
      </c>
      <c r="L147" s="6">
        <v>0.0</v>
      </c>
      <c r="M147" s="6" t="s">
        <v>5379</v>
      </c>
      <c r="N147" s="6" t="s">
        <v>4880</v>
      </c>
      <c r="O147" s="6" t="s">
        <v>4880</v>
      </c>
    </row>
    <row r="148">
      <c r="A148" s="6" t="s">
        <v>5380</v>
      </c>
      <c r="B148" s="6" t="s">
        <v>5380</v>
      </c>
      <c r="C148" s="6" t="s">
        <v>5381</v>
      </c>
      <c r="D148" s="6">
        <v>150.0</v>
      </c>
      <c r="E148" s="6">
        <v>3.57343096498301E14</v>
      </c>
      <c r="F148" s="6" t="s">
        <v>5382</v>
      </c>
      <c r="G148" s="6" t="s">
        <v>4874</v>
      </c>
      <c r="J148" s="6">
        <v>0.0</v>
      </c>
      <c r="L148" s="6">
        <v>0.0</v>
      </c>
      <c r="M148" s="6" t="s">
        <v>5383</v>
      </c>
      <c r="N148" s="6" t="s">
        <v>4880</v>
      </c>
      <c r="O148" s="6" t="s">
        <v>4880</v>
      </c>
    </row>
    <row r="149">
      <c r="A149" s="6" t="s">
        <v>5384</v>
      </c>
      <c r="B149" s="6" t="s">
        <v>5384</v>
      </c>
      <c r="C149" s="6" t="s">
        <v>5385</v>
      </c>
      <c r="D149" s="6">
        <v>151.0</v>
      </c>
      <c r="E149" s="6">
        <v>3.5861560523855E14</v>
      </c>
      <c r="F149" s="6" t="s">
        <v>5386</v>
      </c>
      <c r="G149" s="6" t="s">
        <v>4874</v>
      </c>
      <c r="J149" s="6">
        <v>0.0</v>
      </c>
      <c r="L149" s="6">
        <v>0.0</v>
      </c>
      <c r="M149" s="6" t="s">
        <v>5387</v>
      </c>
      <c r="N149" s="6" t="s">
        <v>4880</v>
      </c>
      <c r="O149" s="6" t="s">
        <v>4880</v>
      </c>
    </row>
    <row r="150">
      <c r="A150" s="6" t="s">
        <v>5388</v>
      </c>
      <c r="B150" s="6" t="s">
        <v>5388</v>
      </c>
      <c r="C150" s="6" t="s">
        <v>5389</v>
      </c>
      <c r="D150" s="6">
        <v>152.0</v>
      </c>
      <c r="E150" s="6">
        <v>3.56432101911894E14</v>
      </c>
      <c r="F150" s="6" t="s">
        <v>358</v>
      </c>
      <c r="G150" s="6" t="s">
        <v>4874</v>
      </c>
      <c r="J150" s="6">
        <v>0.0</v>
      </c>
      <c r="L150" s="6">
        <v>0.0</v>
      </c>
      <c r="M150" s="6" t="s">
        <v>5390</v>
      </c>
      <c r="N150" s="6" t="s">
        <v>4880</v>
      </c>
      <c r="O150" s="6" t="s">
        <v>4880</v>
      </c>
    </row>
    <row r="151">
      <c r="A151" s="6" t="s">
        <v>5391</v>
      </c>
      <c r="B151" s="6" t="s">
        <v>5391</v>
      </c>
      <c r="C151" s="6" t="s">
        <v>5392</v>
      </c>
      <c r="D151" s="6">
        <v>153.0</v>
      </c>
      <c r="E151" s="6">
        <v>3.59843525872909E14</v>
      </c>
      <c r="G151" s="6" t="s">
        <v>4874</v>
      </c>
      <c r="J151" s="6">
        <v>0.0</v>
      </c>
      <c r="L151" s="6">
        <v>0.0</v>
      </c>
      <c r="M151" s="6" t="s">
        <v>5393</v>
      </c>
      <c r="N151" s="6" t="s">
        <v>4880</v>
      </c>
      <c r="O151" s="6" t="s">
        <v>4880</v>
      </c>
    </row>
    <row r="152">
      <c r="A152" s="6" t="s">
        <v>5394</v>
      </c>
      <c r="B152" s="6" t="s">
        <v>5394</v>
      </c>
      <c r="C152" s="6" t="s">
        <v>5395</v>
      </c>
      <c r="D152" s="6">
        <v>154.0</v>
      </c>
      <c r="E152" s="6">
        <v>3.50753692386469E14</v>
      </c>
      <c r="G152" s="6" t="s">
        <v>4874</v>
      </c>
      <c r="J152" s="6">
        <v>0.0</v>
      </c>
      <c r="L152" s="6">
        <v>0.0</v>
      </c>
      <c r="M152" s="6" t="s">
        <v>5396</v>
      </c>
      <c r="N152" s="6" t="s">
        <v>4880</v>
      </c>
      <c r="O152" s="6" t="s">
        <v>4880</v>
      </c>
    </row>
    <row r="153">
      <c r="A153" s="6" t="s">
        <v>5397</v>
      </c>
      <c r="B153" s="6" t="s">
        <v>5397</v>
      </c>
      <c r="C153" s="6" t="s">
        <v>5398</v>
      </c>
      <c r="D153" s="6">
        <v>155.0</v>
      </c>
      <c r="E153" s="6">
        <v>3.50642214197472E14</v>
      </c>
      <c r="G153" s="6" t="s">
        <v>4874</v>
      </c>
      <c r="J153" s="6">
        <v>0.0</v>
      </c>
      <c r="L153" s="6">
        <v>0.0</v>
      </c>
      <c r="M153" s="6" t="s">
        <v>5399</v>
      </c>
      <c r="N153" s="6" t="s">
        <v>4880</v>
      </c>
      <c r="O153" s="6" t="s">
        <v>4880</v>
      </c>
    </row>
    <row r="154">
      <c r="A154" s="6" t="s">
        <v>5400</v>
      </c>
      <c r="B154" s="6" t="s">
        <v>5400</v>
      </c>
      <c r="C154" s="6" t="s">
        <v>5401</v>
      </c>
      <c r="D154" s="6">
        <v>156.0</v>
      </c>
      <c r="E154" s="6">
        <v>3.59031086897107E14</v>
      </c>
      <c r="F154" s="6" t="s">
        <v>5131</v>
      </c>
      <c r="G154" s="6" t="s">
        <v>4874</v>
      </c>
      <c r="J154" s="6">
        <v>0.0</v>
      </c>
      <c r="L154" s="6">
        <v>0.0</v>
      </c>
      <c r="M154" s="6" t="s">
        <v>5402</v>
      </c>
      <c r="N154" s="6" t="s">
        <v>4880</v>
      </c>
      <c r="O154" s="6" t="s">
        <v>4880</v>
      </c>
    </row>
    <row r="155">
      <c r="A155" s="6" t="s">
        <v>5403</v>
      </c>
      <c r="B155" s="6" t="s">
        <v>5403</v>
      </c>
      <c r="C155" s="6" t="s">
        <v>5404</v>
      </c>
      <c r="D155" s="6">
        <v>157.0</v>
      </c>
      <c r="E155" s="6">
        <v>3.51570365411716E14</v>
      </c>
      <c r="F155" s="6" t="s">
        <v>5405</v>
      </c>
      <c r="G155" s="6" t="s">
        <v>4874</v>
      </c>
      <c r="J155" s="6">
        <v>0.0</v>
      </c>
      <c r="L155" s="6">
        <v>0.0</v>
      </c>
      <c r="M155" s="6" t="s">
        <v>5406</v>
      </c>
      <c r="N155" s="6" t="s">
        <v>4880</v>
      </c>
      <c r="O155" s="6" t="s">
        <v>4880</v>
      </c>
    </row>
    <row r="156">
      <c r="A156" s="6" t="s">
        <v>5407</v>
      </c>
      <c r="B156" s="6" t="s">
        <v>5407</v>
      </c>
      <c r="C156" s="6" t="s">
        <v>5408</v>
      </c>
      <c r="D156" s="6">
        <v>158.0</v>
      </c>
      <c r="E156" s="6">
        <v>3.59702370902932E14</v>
      </c>
      <c r="G156" s="6" t="s">
        <v>4874</v>
      </c>
      <c r="J156" s="6">
        <v>0.0</v>
      </c>
      <c r="L156" s="6">
        <v>0.0</v>
      </c>
      <c r="M156" s="6" t="s">
        <v>5409</v>
      </c>
      <c r="N156" s="6" t="s">
        <v>4880</v>
      </c>
      <c r="O156" s="6" t="s">
        <v>4880</v>
      </c>
    </row>
    <row r="157">
      <c r="A157" s="6" t="s">
        <v>5410</v>
      </c>
      <c r="B157" s="6" t="s">
        <v>5410</v>
      </c>
      <c r="C157" s="6" t="s">
        <v>5411</v>
      </c>
      <c r="D157" s="6">
        <v>159.0</v>
      </c>
      <c r="E157" s="6">
        <v>3.53147474614361E14</v>
      </c>
      <c r="G157" s="6" t="s">
        <v>4874</v>
      </c>
      <c r="J157" s="6">
        <v>0.0</v>
      </c>
      <c r="L157" s="6">
        <v>0.0</v>
      </c>
      <c r="M157" s="6" t="s">
        <v>5412</v>
      </c>
      <c r="N157" s="6" t="s">
        <v>4880</v>
      </c>
      <c r="O157" s="6" t="s">
        <v>4880</v>
      </c>
    </row>
    <row r="158">
      <c r="A158" s="6" t="s">
        <v>5413</v>
      </c>
      <c r="B158" s="6" t="s">
        <v>5413</v>
      </c>
      <c r="C158" s="6" t="s">
        <v>5414</v>
      </c>
      <c r="D158" s="6">
        <v>160.0</v>
      </c>
      <c r="E158" s="6">
        <v>3.5777433246356E14</v>
      </c>
      <c r="F158" s="6" t="s">
        <v>500</v>
      </c>
      <c r="G158" s="6" t="s">
        <v>4874</v>
      </c>
      <c r="J158" s="6">
        <v>0.0</v>
      </c>
      <c r="L158" s="6">
        <v>0.0</v>
      </c>
      <c r="M158" s="6" t="s">
        <v>5415</v>
      </c>
      <c r="N158" s="6" t="s">
        <v>4880</v>
      </c>
      <c r="O158" s="6" t="s">
        <v>4880</v>
      </c>
    </row>
    <row r="159">
      <c r="A159" s="6" t="s">
        <v>5416</v>
      </c>
      <c r="B159" s="6" t="s">
        <v>5416</v>
      </c>
      <c r="C159" s="6" t="s">
        <v>5417</v>
      </c>
      <c r="D159" s="6">
        <v>161.0</v>
      </c>
      <c r="E159" s="6">
        <v>3.56133312187908E14</v>
      </c>
      <c r="F159" s="6" t="s">
        <v>5418</v>
      </c>
      <c r="G159" s="6" t="s">
        <v>4874</v>
      </c>
      <c r="J159" s="6">
        <v>0.0</v>
      </c>
      <c r="L159" s="6">
        <v>0.0</v>
      </c>
      <c r="M159" s="6" t="s">
        <v>5419</v>
      </c>
      <c r="N159" s="6" t="s">
        <v>4880</v>
      </c>
      <c r="O159" s="6" t="s">
        <v>4880</v>
      </c>
    </row>
    <row r="160">
      <c r="A160" s="6" t="s">
        <v>5420</v>
      </c>
      <c r="B160" s="6" t="s">
        <v>5420</v>
      </c>
      <c r="C160" s="6" t="s">
        <v>5421</v>
      </c>
      <c r="D160" s="6">
        <v>162.0</v>
      </c>
      <c r="E160" s="6">
        <v>2.58823346568143E14</v>
      </c>
      <c r="F160" s="6" t="s">
        <v>5418</v>
      </c>
      <c r="G160" s="6" t="s">
        <v>4874</v>
      </c>
      <c r="J160" s="6">
        <v>0.0</v>
      </c>
      <c r="L160" s="6">
        <v>0.0</v>
      </c>
      <c r="M160" s="6" t="s">
        <v>5422</v>
      </c>
      <c r="N160" s="6" t="s">
        <v>4880</v>
      </c>
      <c r="O160" s="6" t="s">
        <v>4880</v>
      </c>
    </row>
    <row r="161">
      <c r="A161" s="6" t="s">
        <v>5423</v>
      </c>
      <c r="B161" s="6" t="s">
        <v>5423</v>
      </c>
      <c r="C161" s="6" t="s">
        <v>5424</v>
      </c>
      <c r="D161" s="6">
        <v>163.0</v>
      </c>
      <c r="E161" s="6" t="s">
        <v>5425</v>
      </c>
      <c r="F161" s="6" t="s">
        <v>5426</v>
      </c>
      <c r="G161" s="6" t="s">
        <v>4874</v>
      </c>
      <c r="J161" s="6">
        <v>0.0</v>
      </c>
      <c r="L161" s="6">
        <v>0.0</v>
      </c>
      <c r="M161" s="6" t="s">
        <v>5427</v>
      </c>
      <c r="N161" s="6" t="s">
        <v>4880</v>
      </c>
      <c r="O161" s="6" t="s">
        <v>4880</v>
      </c>
    </row>
    <row r="162">
      <c r="A162" s="6" t="s">
        <v>5428</v>
      </c>
      <c r="B162" s="6" t="s">
        <v>5428</v>
      </c>
      <c r="C162" s="6" t="s">
        <v>5429</v>
      </c>
      <c r="D162" s="6">
        <v>164.0</v>
      </c>
      <c r="E162" s="6" t="s">
        <v>5430</v>
      </c>
      <c r="F162" s="6" t="s">
        <v>1705</v>
      </c>
      <c r="G162" s="6" t="s">
        <v>4874</v>
      </c>
      <c r="J162" s="6">
        <v>0.0</v>
      </c>
      <c r="L162" s="6">
        <v>0.0</v>
      </c>
      <c r="M162" s="6" t="s">
        <v>5431</v>
      </c>
      <c r="N162" s="6" t="s">
        <v>4880</v>
      </c>
      <c r="O162" s="6" t="s">
        <v>4880</v>
      </c>
    </row>
    <row r="163">
      <c r="A163" s="6" t="s">
        <v>5432</v>
      </c>
      <c r="B163" s="6" t="s">
        <v>5432</v>
      </c>
      <c r="C163" s="6" t="s">
        <v>5433</v>
      </c>
      <c r="D163" s="6">
        <v>165.0</v>
      </c>
      <c r="E163" s="6" t="s">
        <v>5430</v>
      </c>
      <c r="F163" s="6" t="s">
        <v>4957</v>
      </c>
      <c r="G163" s="6" t="s">
        <v>4874</v>
      </c>
      <c r="J163" s="6">
        <v>0.0</v>
      </c>
      <c r="L163" s="6">
        <v>0.0</v>
      </c>
      <c r="M163" s="6" t="s">
        <v>5434</v>
      </c>
      <c r="N163" s="6" t="s">
        <v>4880</v>
      </c>
      <c r="O163" s="6" t="s">
        <v>4880</v>
      </c>
    </row>
    <row r="164">
      <c r="A164" s="6" t="s">
        <v>5435</v>
      </c>
      <c r="B164" s="6" t="s">
        <v>5435</v>
      </c>
      <c r="C164" s="6" t="s">
        <v>5436</v>
      </c>
      <c r="D164" s="6">
        <v>166.0</v>
      </c>
      <c r="E164" s="6">
        <v>3.56199676578412E14</v>
      </c>
      <c r="G164" s="6" t="s">
        <v>4874</v>
      </c>
      <c r="J164" s="6">
        <v>0.0</v>
      </c>
      <c r="L164" s="6">
        <v>0.0</v>
      </c>
      <c r="M164" s="6" t="s">
        <v>5437</v>
      </c>
      <c r="N164" s="6" t="s">
        <v>4880</v>
      </c>
      <c r="O164" s="6" t="s">
        <v>4880</v>
      </c>
    </row>
    <row r="165">
      <c r="A165" s="6" t="s">
        <v>5438</v>
      </c>
      <c r="B165" s="6" t="s">
        <v>5438</v>
      </c>
      <c r="C165" s="6" t="s">
        <v>5439</v>
      </c>
      <c r="D165" s="6">
        <v>167.0</v>
      </c>
      <c r="F165" s="6" t="s">
        <v>5440</v>
      </c>
      <c r="G165" s="6" t="s">
        <v>4874</v>
      </c>
      <c r="J165" s="6">
        <v>0.0</v>
      </c>
      <c r="L165" s="6">
        <v>0.0</v>
      </c>
      <c r="M165" s="6" t="s">
        <v>5441</v>
      </c>
      <c r="N165" s="6" t="s">
        <v>4880</v>
      </c>
      <c r="O165" s="6" t="s">
        <v>4880</v>
      </c>
    </row>
    <row r="166">
      <c r="A166" s="6" t="s">
        <v>5442</v>
      </c>
      <c r="B166" s="6" t="s">
        <v>5442</v>
      </c>
      <c r="C166" s="6" t="s">
        <v>5443</v>
      </c>
      <c r="D166" s="6">
        <v>168.0</v>
      </c>
      <c r="E166" s="6">
        <v>3.53410574830711E14</v>
      </c>
      <c r="F166" s="6" t="s">
        <v>5444</v>
      </c>
      <c r="G166" s="6" t="s">
        <v>4874</v>
      </c>
      <c r="J166" s="6">
        <v>0.0</v>
      </c>
      <c r="L166" s="6">
        <v>0.0</v>
      </c>
      <c r="M166" s="6" t="s">
        <v>5445</v>
      </c>
      <c r="N166" s="6" t="s">
        <v>4880</v>
      </c>
      <c r="O166" s="6" t="s">
        <v>4880</v>
      </c>
    </row>
    <row r="167">
      <c r="A167" s="6" t="s">
        <v>5446</v>
      </c>
      <c r="B167" s="6" t="s">
        <v>5446</v>
      </c>
      <c r="C167" s="6" t="s">
        <v>5447</v>
      </c>
      <c r="D167" s="6">
        <v>169.0</v>
      </c>
      <c r="E167" s="6">
        <v>3.55870379888339E14</v>
      </c>
      <c r="F167" s="6" t="s">
        <v>5448</v>
      </c>
      <c r="G167" s="6" t="s">
        <v>4874</v>
      </c>
      <c r="J167" s="6">
        <v>0.0</v>
      </c>
      <c r="L167" s="6">
        <v>0.0</v>
      </c>
      <c r="M167" s="6" t="s">
        <v>5449</v>
      </c>
      <c r="N167" s="6" t="s">
        <v>4880</v>
      </c>
      <c r="O167" s="6" t="s">
        <v>4880</v>
      </c>
    </row>
    <row r="168">
      <c r="A168" s="6" t="s">
        <v>5450</v>
      </c>
      <c r="B168" s="6" t="s">
        <v>5450</v>
      </c>
      <c r="C168" s="6" t="s">
        <v>5451</v>
      </c>
      <c r="D168" s="6">
        <v>170.0</v>
      </c>
      <c r="E168" s="6">
        <v>3.5686211008609E14</v>
      </c>
      <c r="G168" s="6" t="s">
        <v>4874</v>
      </c>
      <c r="J168" s="6">
        <v>0.0</v>
      </c>
      <c r="L168" s="6">
        <v>0.0</v>
      </c>
      <c r="M168" s="6" t="s">
        <v>5452</v>
      </c>
      <c r="N168" s="6" t="s">
        <v>4880</v>
      </c>
      <c r="O168" s="6" t="s">
        <v>4880</v>
      </c>
    </row>
    <row r="169">
      <c r="A169" s="6" t="s">
        <v>5453</v>
      </c>
      <c r="B169" s="6" t="s">
        <v>5453</v>
      </c>
      <c r="C169" s="6" t="s">
        <v>5454</v>
      </c>
      <c r="D169" s="6">
        <v>171.0</v>
      </c>
      <c r="E169" s="6">
        <v>3.53905997084192E14</v>
      </c>
      <c r="G169" s="6" t="s">
        <v>4874</v>
      </c>
      <c r="J169" s="6">
        <v>0.0</v>
      </c>
      <c r="L169" s="6">
        <v>0.0</v>
      </c>
      <c r="M169" s="6" t="s">
        <v>5455</v>
      </c>
      <c r="N169" s="6" t="s">
        <v>4880</v>
      </c>
      <c r="O169" s="6" t="s">
        <v>4880</v>
      </c>
    </row>
    <row r="170">
      <c r="A170" s="6" t="s">
        <v>5456</v>
      </c>
      <c r="B170" s="6" t="s">
        <v>5456</v>
      </c>
      <c r="C170" s="6" t="s">
        <v>5457</v>
      </c>
      <c r="D170" s="6">
        <v>172.0</v>
      </c>
      <c r="E170" s="6" t="s">
        <v>5458</v>
      </c>
      <c r="F170" s="6" t="s">
        <v>5459</v>
      </c>
      <c r="G170" s="6" t="s">
        <v>4874</v>
      </c>
      <c r="J170" s="6">
        <v>0.0</v>
      </c>
      <c r="L170" s="6">
        <v>0.0</v>
      </c>
      <c r="M170" s="6" t="s">
        <v>5460</v>
      </c>
      <c r="N170" s="6" t="s">
        <v>4880</v>
      </c>
      <c r="O170" s="6" t="s">
        <v>4880</v>
      </c>
    </row>
    <row r="171">
      <c r="A171" s="6" t="s">
        <v>5461</v>
      </c>
      <c r="B171" s="6" t="s">
        <v>5461</v>
      </c>
      <c r="C171" s="6" t="s">
        <v>5462</v>
      </c>
      <c r="D171" s="6">
        <v>173.0</v>
      </c>
      <c r="E171" s="6">
        <v>3.56760682088231E14</v>
      </c>
      <c r="F171" s="6" t="s">
        <v>101</v>
      </c>
      <c r="G171" s="6" t="s">
        <v>4874</v>
      </c>
      <c r="J171" s="6">
        <v>0.0</v>
      </c>
      <c r="L171" s="6">
        <v>0.0</v>
      </c>
      <c r="M171" s="6" t="s">
        <v>5463</v>
      </c>
      <c r="N171" s="6" t="s">
        <v>4880</v>
      </c>
      <c r="O171" s="6" t="s">
        <v>4880</v>
      </c>
    </row>
    <row r="172">
      <c r="A172" s="6" t="s">
        <v>5464</v>
      </c>
      <c r="B172" s="6" t="s">
        <v>5464</v>
      </c>
      <c r="C172" s="6" t="s">
        <v>5465</v>
      </c>
      <c r="D172" s="6">
        <v>174.0</v>
      </c>
      <c r="E172" s="6">
        <v>3.5230639009356E14</v>
      </c>
      <c r="F172" s="6" t="s">
        <v>5220</v>
      </c>
      <c r="G172" s="6" t="s">
        <v>4874</v>
      </c>
      <c r="J172" s="6">
        <v>0.0</v>
      </c>
      <c r="L172" s="6">
        <v>0.0</v>
      </c>
      <c r="M172" s="6" t="s">
        <v>5466</v>
      </c>
      <c r="N172" s="6" t="s">
        <v>4880</v>
      </c>
      <c r="O172" s="6" t="s">
        <v>4880</v>
      </c>
    </row>
    <row r="173">
      <c r="A173" s="6" t="s">
        <v>5467</v>
      </c>
      <c r="B173" s="6" t="s">
        <v>5467</v>
      </c>
      <c r="C173" s="6" t="s">
        <v>5468</v>
      </c>
      <c r="D173" s="6">
        <v>175.0</v>
      </c>
      <c r="E173" s="6">
        <v>3.51016867546971E14</v>
      </c>
      <c r="F173" s="6" t="s">
        <v>254</v>
      </c>
      <c r="G173" s="6" t="s">
        <v>4874</v>
      </c>
      <c r="J173" s="6">
        <v>0.0</v>
      </c>
      <c r="L173" s="6">
        <v>0.0</v>
      </c>
      <c r="M173" s="6" t="s">
        <v>5469</v>
      </c>
      <c r="N173" s="6" t="s">
        <v>4880</v>
      </c>
      <c r="O173" s="6" t="s">
        <v>4880</v>
      </c>
    </row>
    <row r="174">
      <c r="A174" s="6" t="s">
        <v>5470</v>
      </c>
      <c r="B174" s="6" t="s">
        <v>5470</v>
      </c>
      <c r="C174" s="6" t="s">
        <v>5471</v>
      </c>
      <c r="D174" s="6">
        <v>176.0</v>
      </c>
      <c r="E174" s="6">
        <v>3.53889108494922E14</v>
      </c>
      <c r="G174" s="6" t="s">
        <v>4874</v>
      </c>
      <c r="J174" s="6">
        <v>0.0</v>
      </c>
      <c r="L174" s="6">
        <v>0.0</v>
      </c>
      <c r="M174" s="6" t="s">
        <v>5472</v>
      </c>
      <c r="N174" s="6" t="s">
        <v>4880</v>
      </c>
      <c r="O174" s="6" t="s">
        <v>4880</v>
      </c>
    </row>
    <row r="175">
      <c r="A175" s="6" t="s">
        <v>5473</v>
      </c>
      <c r="B175" s="6" t="s">
        <v>5473</v>
      </c>
      <c r="C175" s="6" t="s">
        <v>5474</v>
      </c>
      <c r="D175" s="6">
        <v>177.0</v>
      </c>
      <c r="E175" s="6">
        <v>3.5438735811725E14</v>
      </c>
      <c r="F175" s="6" t="s">
        <v>5475</v>
      </c>
      <c r="G175" s="6" t="s">
        <v>4874</v>
      </c>
      <c r="J175" s="6">
        <v>0.0</v>
      </c>
      <c r="L175" s="6">
        <v>0.0</v>
      </c>
      <c r="M175" s="6" t="s">
        <v>5476</v>
      </c>
      <c r="N175" s="6" t="s">
        <v>4880</v>
      </c>
      <c r="O175" s="6" t="s">
        <v>4880</v>
      </c>
    </row>
    <row r="176">
      <c r="A176" s="6" t="s">
        <v>5477</v>
      </c>
      <c r="B176" s="6" t="s">
        <v>5477</v>
      </c>
      <c r="C176" s="6" t="s">
        <v>5478</v>
      </c>
      <c r="D176" s="6">
        <v>178.0</v>
      </c>
      <c r="E176" s="6">
        <v>3.56166890451536E14</v>
      </c>
      <c r="F176" s="6" t="s">
        <v>5317</v>
      </c>
      <c r="G176" s="6" t="s">
        <v>4874</v>
      </c>
      <c r="J176" s="6">
        <v>0.0</v>
      </c>
      <c r="L176" s="6">
        <v>0.0</v>
      </c>
      <c r="M176" s="6" t="s">
        <v>5479</v>
      </c>
      <c r="N176" s="6" t="s">
        <v>4880</v>
      </c>
      <c r="O176" s="6" t="s">
        <v>4880</v>
      </c>
    </row>
    <row r="177">
      <c r="A177" s="6" t="s">
        <v>5480</v>
      </c>
      <c r="B177" s="6" t="s">
        <v>5480</v>
      </c>
      <c r="C177" s="6" t="s">
        <v>5481</v>
      </c>
      <c r="D177" s="6">
        <v>179.0</v>
      </c>
      <c r="E177" s="6">
        <v>3.51016867546971E14</v>
      </c>
      <c r="F177" s="6" t="s">
        <v>5482</v>
      </c>
      <c r="G177" s="6" t="s">
        <v>4874</v>
      </c>
      <c r="J177" s="6">
        <v>0.0</v>
      </c>
      <c r="L177" s="6">
        <v>0.0</v>
      </c>
      <c r="M177" s="6" t="s">
        <v>5483</v>
      </c>
      <c r="N177" s="6" t="s">
        <v>4880</v>
      </c>
      <c r="O177" s="6" t="s">
        <v>4880</v>
      </c>
    </row>
    <row r="178">
      <c r="A178" s="6" t="s">
        <v>5484</v>
      </c>
      <c r="B178" s="6" t="s">
        <v>5484</v>
      </c>
      <c r="C178" s="6" t="s">
        <v>5485</v>
      </c>
      <c r="D178" s="6">
        <v>180.0</v>
      </c>
      <c r="E178" s="6">
        <v>3.58915824671264E14</v>
      </c>
      <c r="F178" s="6" t="s">
        <v>2322</v>
      </c>
      <c r="G178" s="6" t="s">
        <v>4874</v>
      </c>
      <c r="J178" s="6">
        <v>0.0</v>
      </c>
      <c r="L178" s="6">
        <v>0.0</v>
      </c>
      <c r="M178" s="6" t="s">
        <v>5486</v>
      </c>
      <c r="N178" s="6" t="s">
        <v>4880</v>
      </c>
      <c r="O178" s="6" t="s">
        <v>4880</v>
      </c>
    </row>
    <row r="179">
      <c r="A179" s="6" t="s">
        <v>5487</v>
      </c>
      <c r="B179" s="6" t="s">
        <v>5487</v>
      </c>
      <c r="C179" s="6" t="s">
        <v>5488</v>
      </c>
      <c r="D179" s="6">
        <v>181.0</v>
      </c>
      <c r="E179" s="6">
        <v>3.55603302305836E14</v>
      </c>
      <c r="F179" s="6" t="s">
        <v>43</v>
      </c>
      <c r="G179" s="6" t="s">
        <v>4874</v>
      </c>
      <c r="J179" s="6">
        <v>0.0</v>
      </c>
      <c r="L179" s="6">
        <v>0.0</v>
      </c>
      <c r="M179" s="6" t="s">
        <v>5489</v>
      </c>
      <c r="N179" s="6" t="s">
        <v>4880</v>
      </c>
      <c r="O179" s="6" t="s">
        <v>4880</v>
      </c>
    </row>
    <row r="180">
      <c r="A180" s="6" t="s">
        <v>5490</v>
      </c>
      <c r="B180" s="6" t="s">
        <v>5490</v>
      </c>
      <c r="C180" s="6" t="s">
        <v>5491</v>
      </c>
      <c r="D180" s="6">
        <v>182.0</v>
      </c>
      <c r="E180" s="6">
        <v>3.56448107400633E14</v>
      </c>
      <c r="F180" s="6" t="s">
        <v>605</v>
      </c>
      <c r="G180" s="6" t="s">
        <v>4874</v>
      </c>
      <c r="J180" s="6">
        <v>0.0</v>
      </c>
      <c r="L180" s="6">
        <v>0.0</v>
      </c>
      <c r="M180" s="6" t="s">
        <v>5492</v>
      </c>
      <c r="N180" s="6" t="s">
        <v>4880</v>
      </c>
      <c r="O180" s="6" t="s">
        <v>4880</v>
      </c>
    </row>
    <row r="181">
      <c r="A181" s="6" t="s">
        <v>5493</v>
      </c>
      <c r="B181" s="6" t="s">
        <v>5493</v>
      </c>
      <c r="C181" s="6" t="s">
        <v>5494</v>
      </c>
      <c r="D181" s="6">
        <v>183.0</v>
      </c>
      <c r="E181" s="6">
        <v>3.52958418383389E14</v>
      </c>
      <c r="F181" s="6" t="s">
        <v>358</v>
      </c>
      <c r="G181" s="6" t="s">
        <v>4874</v>
      </c>
      <c r="J181" s="6">
        <v>0.0</v>
      </c>
      <c r="L181" s="6">
        <v>0.0</v>
      </c>
      <c r="M181" s="6" t="s">
        <v>5495</v>
      </c>
      <c r="N181" s="6" t="s">
        <v>4880</v>
      </c>
      <c r="O181" s="6" t="s">
        <v>4880</v>
      </c>
    </row>
    <row r="182">
      <c r="A182" s="6" t="s">
        <v>5496</v>
      </c>
      <c r="B182" s="6" t="s">
        <v>5496</v>
      </c>
      <c r="C182" s="6" t="s">
        <v>5497</v>
      </c>
      <c r="D182" s="6">
        <v>184.0</v>
      </c>
      <c r="E182" s="6">
        <v>3.53889108494922E14</v>
      </c>
      <c r="F182" s="6" t="s">
        <v>5498</v>
      </c>
      <c r="G182" s="6" t="s">
        <v>4874</v>
      </c>
      <c r="J182" s="6">
        <v>0.0</v>
      </c>
      <c r="L182" s="6">
        <v>0.0</v>
      </c>
      <c r="M182" s="6" t="s">
        <v>5499</v>
      </c>
      <c r="N182" s="6" t="s">
        <v>4880</v>
      </c>
      <c r="O182" s="6" t="s">
        <v>4880</v>
      </c>
    </row>
    <row r="183">
      <c r="A183" s="6" t="s">
        <v>5500</v>
      </c>
      <c r="B183" s="6" t="s">
        <v>5500</v>
      </c>
      <c r="C183" s="6" t="s">
        <v>5501</v>
      </c>
      <c r="D183" s="6">
        <v>185.0</v>
      </c>
      <c r="E183" s="6">
        <v>3.51661824246809E14</v>
      </c>
      <c r="F183" s="6" t="s">
        <v>5502</v>
      </c>
      <c r="G183" s="6" t="s">
        <v>4874</v>
      </c>
      <c r="J183" s="6">
        <v>0.0</v>
      </c>
      <c r="L183" s="6">
        <v>0.0</v>
      </c>
      <c r="M183" s="6" t="s">
        <v>5503</v>
      </c>
      <c r="N183" s="6" t="s">
        <v>4880</v>
      </c>
      <c r="O183" s="6" t="s">
        <v>4880</v>
      </c>
    </row>
    <row r="184">
      <c r="A184" s="6" t="s">
        <v>5504</v>
      </c>
      <c r="B184" s="6" t="s">
        <v>5504</v>
      </c>
      <c r="C184" s="6" t="s">
        <v>5505</v>
      </c>
      <c r="D184" s="6">
        <v>186.0</v>
      </c>
      <c r="E184" s="6">
        <v>3.56752981797091E14</v>
      </c>
      <c r="G184" s="6" t="s">
        <v>4874</v>
      </c>
      <c r="J184" s="6">
        <v>0.0</v>
      </c>
      <c r="L184" s="6">
        <v>0.0</v>
      </c>
      <c r="M184" s="6" t="s">
        <v>5506</v>
      </c>
      <c r="N184" s="6" t="s">
        <v>4880</v>
      </c>
      <c r="O184" s="6" t="s">
        <v>4880</v>
      </c>
    </row>
    <row r="185">
      <c r="A185" s="6" t="s">
        <v>5507</v>
      </c>
      <c r="B185" s="6" t="s">
        <v>5507</v>
      </c>
      <c r="C185" s="6" t="s">
        <v>5508</v>
      </c>
      <c r="D185" s="6">
        <v>187.0</v>
      </c>
      <c r="E185" s="6">
        <v>3.50521066262644E14</v>
      </c>
      <c r="F185" s="6" t="s">
        <v>5509</v>
      </c>
      <c r="G185" s="6" t="s">
        <v>4874</v>
      </c>
      <c r="J185" s="6">
        <v>0.0</v>
      </c>
      <c r="L185" s="6">
        <v>0.0</v>
      </c>
      <c r="M185" s="6" t="s">
        <v>5510</v>
      </c>
      <c r="N185" s="6" t="s">
        <v>4880</v>
      </c>
      <c r="O185" s="6" t="s">
        <v>4880</v>
      </c>
    </row>
    <row r="186">
      <c r="A186" s="6" t="s">
        <v>5511</v>
      </c>
      <c r="B186" s="6" t="s">
        <v>5511</v>
      </c>
      <c r="C186" s="6" t="s">
        <v>5512</v>
      </c>
      <c r="D186" s="6">
        <v>188.0</v>
      </c>
      <c r="E186" s="6">
        <v>3.51133753328164E14</v>
      </c>
      <c r="F186" s="6" t="s">
        <v>5513</v>
      </c>
      <c r="G186" s="6" t="s">
        <v>4874</v>
      </c>
      <c r="J186" s="6">
        <v>0.0</v>
      </c>
      <c r="L186" s="6">
        <v>0.0</v>
      </c>
      <c r="M186" s="6" t="s">
        <v>5514</v>
      </c>
      <c r="N186" s="6" t="s">
        <v>4880</v>
      </c>
      <c r="O186" s="6" t="s">
        <v>4880</v>
      </c>
    </row>
    <row r="187">
      <c r="A187" s="6" t="s">
        <v>5515</v>
      </c>
      <c r="B187" s="6" t="s">
        <v>5515</v>
      </c>
      <c r="C187" s="6" t="s">
        <v>5516</v>
      </c>
      <c r="D187" s="6">
        <v>189.0</v>
      </c>
      <c r="E187" s="6">
        <v>3.50232422073978E14</v>
      </c>
      <c r="F187" s="6" t="s">
        <v>5517</v>
      </c>
      <c r="G187" s="6" t="s">
        <v>4874</v>
      </c>
      <c r="J187" s="6">
        <v>0.0</v>
      </c>
      <c r="L187" s="6">
        <v>0.0</v>
      </c>
      <c r="M187" s="6" t="s">
        <v>5518</v>
      </c>
      <c r="N187" s="6" t="s">
        <v>4880</v>
      </c>
      <c r="O187" s="6" t="s">
        <v>4880</v>
      </c>
    </row>
    <row r="188">
      <c r="A188" s="6" t="s">
        <v>5519</v>
      </c>
      <c r="B188" s="6" t="s">
        <v>5519</v>
      </c>
      <c r="C188" s="6" t="s">
        <v>5520</v>
      </c>
      <c r="D188" s="6">
        <v>190.0</v>
      </c>
      <c r="E188" s="6">
        <v>3.51588826396086E14</v>
      </c>
      <c r="F188" s="6" t="s">
        <v>5521</v>
      </c>
      <c r="G188" s="6" t="s">
        <v>4874</v>
      </c>
      <c r="J188" s="6">
        <v>0.0</v>
      </c>
      <c r="L188" s="6">
        <v>0.0</v>
      </c>
      <c r="M188" s="6" t="s">
        <v>5522</v>
      </c>
      <c r="N188" s="6" t="s">
        <v>4880</v>
      </c>
      <c r="O188" s="6" t="s">
        <v>4880</v>
      </c>
    </row>
    <row r="189">
      <c r="A189" s="6" t="s">
        <v>5523</v>
      </c>
      <c r="B189" s="6" t="s">
        <v>5523</v>
      </c>
      <c r="C189" s="6" t="s">
        <v>5524</v>
      </c>
      <c r="D189" s="6">
        <v>191.0</v>
      </c>
      <c r="E189" s="6">
        <v>3.50165055577768E14</v>
      </c>
      <c r="F189" s="6" t="s">
        <v>5525</v>
      </c>
      <c r="G189" s="6" t="s">
        <v>4874</v>
      </c>
      <c r="J189" s="6">
        <v>0.0</v>
      </c>
      <c r="L189" s="6">
        <v>0.0</v>
      </c>
      <c r="M189" s="6" t="s">
        <v>5526</v>
      </c>
      <c r="N189" s="6" t="s">
        <v>4880</v>
      </c>
      <c r="O189" s="6" t="s">
        <v>4880</v>
      </c>
    </row>
    <row r="190">
      <c r="A190" s="6" t="s">
        <v>5527</v>
      </c>
      <c r="B190" s="6" t="s">
        <v>5527</v>
      </c>
      <c r="C190" s="6" t="s">
        <v>5528</v>
      </c>
      <c r="D190" s="6">
        <v>192.0</v>
      </c>
      <c r="E190" s="6">
        <v>3.54985552902169E14</v>
      </c>
      <c r="G190" s="6" t="s">
        <v>4874</v>
      </c>
      <c r="J190" s="6">
        <v>0.0</v>
      </c>
      <c r="L190" s="6">
        <v>0.0</v>
      </c>
      <c r="M190" s="6" t="s">
        <v>5529</v>
      </c>
      <c r="N190" s="6" t="s">
        <v>4880</v>
      </c>
      <c r="O190" s="6" t="s">
        <v>4880</v>
      </c>
    </row>
    <row r="191">
      <c r="A191" s="6" t="s">
        <v>5530</v>
      </c>
      <c r="B191" s="6" t="s">
        <v>5530</v>
      </c>
      <c r="C191" s="6" t="s">
        <v>5531</v>
      </c>
      <c r="D191" s="6">
        <v>193.0</v>
      </c>
      <c r="E191" s="6">
        <v>3.52164237251507E14</v>
      </c>
      <c r="F191" s="6" t="s">
        <v>70</v>
      </c>
      <c r="G191" s="6" t="s">
        <v>4874</v>
      </c>
      <c r="J191" s="6">
        <v>0.0</v>
      </c>
      <c r="L191" s="6">
        <v>0.0</v>
      </c>
      <c r="M191" s="6" t="s">
        <v>5532</v>
      </c>
      <c r="N191" s="6" t="s">
        <v>4880</v>
      </c>
      <c r="O191" s="6" t="s">
        <v>4880</v>
      </c>
    </row>
    <row r="192">
      <c r="A192" s="6" t="s">
        <v>5533</v>
      </c>
      <c r="B192" s="6" t="s">
        <v>5533</v>
      </c>
      <c r="C192" s="6" t="s">
        <v>5534</v>
      </c>
      <c r="D192" s="6">
        <v>194.0</v>
      </c>
      <c r="F192" s="6" t="s">
        <v>372</v>
      </c>
      <c r="G192" s="6" t="s">
        <v>4874</v>
      </c>
      <c r="J192" s="6">
        <v>0.0</v>
      </c>
      <c r="L192" s="6">
        <v>0.0</v>
      </c>
      <c r="M192" s="6" t="s">
        <v>5535</v>
      </c>
      <c r="N192" s="6" t="s">
        <v>4880</v>
      </c>
      <c r="O192" s="6" t="s">
        <v>4880</v>
      </c>
    </row>
    <row r="193">
      <c r="A193" s="6" t="s">
        <v>5536</v>
      </c>
      <c r="B193" s="6" t="s">
        <v>5536</v>
      </c>
      <c r="C193" s="6" t="s">
        <v>5537</v>
      </c>
      <c r="D193" s="6">
        <v>195.0</v>
      </c>
      <c r="E193" s="6">
        <v>3.5189267423775E13</v>
      </c>
      <c r="F193" s="6" t="s">
        <v>5220</v>
      </c>
      <c r="G193" s="6" t="s">
        <v>4874</v>
      </c>
      <c r="J193" s="6">
        <v>0.0</v>
      </c>
      <c r="L193" s="6">
        <v>0.0</v>
      </c>
      <c r="M193" s="6" t="s">
        <v>5538</v>
      </c>
      <c r="N193" s="6" t="s">
        <v>4880</v>
      </c>
      <c r="O193" s="6" t="s">
        <v>4880</v>
      </c>
    </row>
    <row r="194">
      <c r="A194" s="6" t="s">
        <v>5539</v>
      </c>
      <c r="B194" s="6" t="s">
        <v>5539</v>
      </c>
      <c r="C194" s="6" t="s">
        <v>5540</v>
      </c>
      <c r="D194" s="6">
        <v>196.0</v>
      </c>
      <c r="E194" s="6">
        <v>3.5230639009356E14</v>
      </c>
      <c r="F194" s="6" t="s">
        <v>5541</v>
      </c>
      <c r="G194" s="6" t="s">
        <v>4874</v>
      </c>
      <c r="J194" s="6">
        <v>0.0</v>
      </c>
      <c r="L194" s="6">
        <v>0.0</v>
      </c>
      <c r="M194" s="6" t="s">
        <v>5542</v>
      </c>
      <c r="N194" s="6" t="s">
        <v>4880</v>
      </c>
      <c r="O194" s="6" t="s">
        <v>4880</v>
      </c>
    </row>
    <row r="195">
      <c r="A195" s="6" t="s">
        <v>5543</v>
      </c>
      <c r="B195" s="6" t="s">
        <v>5543</v>
      </c>
      <c r="C195" s="6" t="s">
        <v>5544</v>
      </c>
      <c r="D195" s="6">
        <v>197.0</v>
      </c>
      <c r="E195" s="6">
        <v>3.59843525872909E14</v>
      </c>
      <c r="F195" s="6" t="s">
        <v>306</v>
      </c>
      <c r="G195" s="6" t="s">
        <v>4874</v>
      </c>
      <c r="J195" s="6">
        <v>0.0</v>
      </c>
      <c r="L195" s="6">
        <v>0.0</v>
      </c>
      <c r="M195" s="6" t="s">
        <v>5545</v>
      </c>
      <c r="N195" s="6" t="s">
        <v>4880</v>
      </c>
      <c r="O195" s="6" t="s">
        <v>4880</v>
      </c>
    </row>
    <row r="196">
      <c r="A196" s="6" t="s">
        <v>5546</v>
      </c>
      <c r="B196" s="6" t="s">
        <v>5546</v>
      </c>
      <c r="C196" s="6" t="s">
        <v>5547</v>
      </c>
      <c r="D196" s="6">
        <v>198.0</v>
      </c>
      <c r="E196" s="6" t="s">
        <v>5548</v>
      </c>
      <c r="F196" s="6" t="s">
        <v>605</v>
      </c>
      <c r="G196" s="6" t="s">
        <v>4874</v>
      </c>
      <c r="J196" s="6">
        <v>0.0</v>
      </c>
      <c r="L196" s="6">
        <v>0.0</v>
      </c>
      <c r="M196" s="6" t="s">
        <v>5549</v>
      </c>
      <c r="N196" s="6" t="s">
        <v>4880</v>
      </c>
      <c r="O196" s="6" t="s">
        <v>4880</v>
      </c>
    </row>
    <row r="197">
      <c r="A197" s="6" t="s">
        <v>5550</v>
      </c>
      <c r="B197" s="6" t="s">
        <v>5550</v>
      </c>
      <c r="C197" s="6" t="s">
        <v>5551</v>
      </c>
      <c r="D197" s="6">
        <v>199.0</v>
      </c>
      <c r="G197" s="6" t="s">
        <v>4874</v>
      </c>
      <c r="J197" s="6">
        <v>0.0</v>
      </c>
      <c r="L197" s="6">
        <v>0.0</v>
      </c>
      <c r="M197" s="6" t="s">
        <v>5552</v>
      </c>
      <c r="N197" s="6" t="s">
        <v>4880</v>
      </c>
      <c r="O197" s="6" t="s">
        <v>4880</v>
      </c>
    </row>
    <row r="198">
      <c r="A198" s="6" t="s">
        <v>5553</v>
      </c>
      <c r="B198" s="6" t="s">
        <v>5553</v>
      </c>
      <c r="C198" s="6" t="s">
        <v>5554</v>
      </c>
      <c r="D198" s="6">
        <v>200.0</v>
      </c>
      <c r="E198" s="6">
        <v>3.55762297295517E14</v>
      </c>
      <c r="F198" s="6" t="s">
        <v>5426</v>
      </c>
      <c r="G198" s="6" t="s">
        <v>4874</v>
      </c>
      <c r="J198" s="6">
        <v>0.0</v>
      </c>
      <c r="L198" s="6">
        <v>0.0</v>
      </c>
      <c r="M198" s="6" t="s">
        <v>5555</v>
      </c>
      <c r="N198" s="6" t="s">
        <v>4880</v>
      </c>
      <c r="O198" s="6" t="s">
        <v>4880</v>
      </c>
    </row>
    <row r="199">
      <c r="A199" s="6" t="s">
        <v>5556</v>
      </c>
      <c r="B199" s="6" t="s">
        <v>5556</v>
      </c>
      <c r="C199" s="6" t="s">
        <v>5557</v>
      </c>
      <c r="D199" s="6">
        <v>201.0</v>
      </c>
      <c r="E199" s="6" t="s">
        <v>5558</v>
      </c>
      <c r="F199" s="6" t="s">
        <v>5337</v>
      </c>
      <c r="G199" s="6" t="s">
        <v>4874</v>
      </c>
      <c r="J199" s="6">
        <v>0.0</v>
      </c>
      <c r="L199" s="6">
        <v>0.0</v>
      </c>
      <c r="M199" s="6" t="s">
        <v>5559</v>
      </c>
      <c r="N199" s="6" t="s">
        <v>4880</v>
      </c>
      <c r="O199" s="6" t="s">
        <v>4880</v>
      </c>
    </row>
    <row r="200">
      <c r="A200" s="6" t="s">
        <v>5560</v>
      </c>
      <c r="B200" s="6" t="s">
        <v>5560</v>
      </c>
      <c r="C200" s="6" t="s">
        <v>5561</v>
      </c>
      <c r="D200" s="6">
        <v>202.0</v>
      </c>
      <c r="E200" s="6" t="s">
        <v>5562</v>
      </c>
      <c r="G200" s="6" t="s">
        <v>4874</v>
      </c>
      <c r="J200" s="6">
        <v>0.0</v>
      </c>
      <c r="L200" s="6">
        <v>0.0</v>
      </c>
      <c r="M200" s="6" t="s">
        <v>5563</v>
      </c>
      <c r="N200" s="6" t="s">
        <v>4880</v>
      </c>
      <c r="O200" s="6" t="s">
        <v>4880</v>
      </c>
    </row>
    <row r="201">
      <c r="A201" s="6" t="s">
        <v>5564</v>
      </c>
      <c r="B201" s="6" t="s">
        <v>5564</v>
      </c>
      <c r="C201" s="6" t="s">
        <v>5565</v>
      </c>
      <c r="D201" s="6">
        <v>203.0</v>
      </c>
      <c r="E201" s="6" t="s">
        <v>5566</v>
      </c>
      <c r="G201" s="6" t="s">
        <v>4874</v>
      </c>
      <c r="J201" s="6">
        <v>0.0</v>
      </c>
      <c r="L201" s="6">
        <v>0.0</v>
      </c>
      <c r="M201" s="6" t="s">
        <v>5567</v>
      </c>
      <c r="N201" s="6" t="s">
        <v>4880</v>
      </c>
      <c r="O201" s="6" t="s">
        <v>4880</v>
      </c>
    </row>
    <row r="202">
      <c r="A202" s="6" t="s">
        <v>5568</v>
      </c>
      <c r="B202" s="6" t="s">
        <v>5568</v>
      </c>
      <c r="C202" s="6" t="s">
        <v>5569</v>
      </c>
      <c r="D202" s="6">
        <v>204.0</v>
      </c>
      <c r="E202" s="6">
        <v>3.5147553418907E14</v>
      </c>
      <c r="F202" s="6" t="s">
        <v>4957</v>
      </c>
      <c r="G202" s="6" t="s">
        <v>4874</v>
      </c>
      <c r="J202" s="6">
        <v>0.0</v>
      </c>
      <c r="L202" s="6">
        <v>0.0</v>
      </c>
      <c r="M202" s="6" t="s">
        <v>5570</v>
      </c>
      <c r="N202" s="6" t="s">
        <v>4880</v>
      </c>
      <c r="O202" s="6" t="s">
        <v>4880</v>
      </c>
    </row>
    <row r="203">
      <c r="A203" s="6" t="s">
        <v>5571</v>
      </c>
      <c r="B203" s="6" t="s">
        <v>5571</v>
      </c>
      <c r="C203" s="6" t="s">
        <v>5572</v>
      </c>
      <c r="D203" s="6">
        <v>205.0</v>
      </c>
      <c r="E203" s="6">
        <v>3.59072843030673E14</v>
      </c>
      <c r="F203" s="6" t="s">
        <v>5573</v>
      </c>
      <c r="G203" s="6" t="s">
        <v>4874</v>
      </c>
      <c r="J203" s="6">
        <v>0.0</v>
      </c>
      <c r="L203" s="6">
        <v>0.0</v>
      </c>
      <c r="M203" s="6" t="s">
        <v>5574</v>
      </c>
      <c r="N203" s="6" t="s">
        <v>4880</v>
      </c>
      <c r="O203" s="6" t="s">
        <v>4880</v>
      </c>
    </row>
    <row r="204">
      <c r="A204" s="6" t="s">
        <v>5575</v>
      </c>
      <c r="B204" s="6" t="s">
        <v>5575</v>
      </c>
      <c r="C204" s="6" t="s">
        <v>5576</v>
      </c>
      <c r="D204" s="6">
        <v>206.0</v>
      </c>
      <c r="E204" s="6">
        <v>3.53575222991832E14</v>
      </c>
      <c r="F204" s="6" t="s">
        <v>2173</v>
      </c>
      <c r="G204" s="6" t="s">
        <v>4874</v>
      </c>
      <c r="J204" s="6">
        <v>0.0</v>
      </c>
      <c r="L204" s="6">
        <v>0.0</v>
      </c>
      <c r="M204" s="6" t="s">
        <v>5577</v>
      </c>
      <c r="N204" s="6" t="s">
        <v>4880</v>
      </c>
      <c r="O204" s="6" t="s">
        <v>4880</v>
      </c>
    </row>
    <row r="205">
      <c r="A205" s="6" t="s">
        <v>5578</v>
      </c>
      <c r="B205" s="6" t="s">
        <v>5578</v>
      </c>
      <c r="C205" s="6" t="s">
        <v>5579</v>
      </c>
      <c r="D205" s="6">
        <v>207.0</v>
      </c>
      <c r="E205" s="6">
        <v>3.54996264284754E14</v>
      </c>
      <c r="F205" s="6" t="s">
        <v>64</v>
      </c>
      <c r="G205" s="6" t="s">
        <v>4874</v>
      </c>
      <c r="J205" s="6">
        <v>0.0</v>
      </c>
      <c r="L205" s="6">
        <v>0.0</v>
      </c>
      <c r="M205" s="6" t="s">
        <v>5580</v>
      </c>
      <c r="N205" s="6" t="s">
        <v>4880</v>
      </c>
      <c r="O205" s="6" t="s">
        <v>4880</v>
      </c>
    </row>
    <row r="206">
      <c r="A206" s="6" t="s">
        <v>5581</v>
      </c>
      <c r="B206" s="6" t="s">
        <v>5581</v>
      </c>
      <c r="C206" s="6" t="s">
        <v>5582</v>
      </c>
      <c r="D206" s="6">
        <v>208.0</v>
      </c>
      <c r="E206" s="6">
        <v>3.54996264314536E14</v>
      </c>
      <c r="G206" s="6" t="s">
        <v>5583</v>
      </c>
      <c r="J206" s="6">
        <v>0.0</v>
      </c>
      <c r="L206" s="6">
        <v>0.0</v>
      </c>
      <c r="M206" s="6" t="s">
        <v>5584</v>
      </c>
      <c r="N206" s="6" t="s">
        <v>4880</v>
      </c>
      <c r="O206" s="6" t="s">
        <v>4880</v>
      </c>
    </row>
    <row r="207">
      <c r="A207" s="6" t="s">
        <v>5585</v>
      </c>
      <c r="B207" s="6" t="s">
        <v>5585</v>
      </c>
      <c r="C207" s="6" t="s">
        <v>5586</v>
      </c>
      <c r="D207" s="6">
        <v>209.0</v>
      </c>
      <c r="E207" s="6">
        <v>3.51446988434544E14</v>
      </c>
      <c r="F207" s="6" t="s">
        <v>5587</v>
      </c>
      <c r="G207" s="6" t="s">
        <v>4874</v>
      </c>
      <c r="J207" s="6">
        <v>0.0</v>
      </c>
      <c r="L207" s="6">
        <v>0.0</v>
      </c>
      <c r="M207" s="6" t="s">
        <v>5588</v>
      </c>
      <c r="N207" s="6" t="s">
        <v>4880</v>
      </c>
      <c r="O207" s="6" t="s">
        <v>4880</v>
      </c>
    </row>
    <row r="208">
      <c r="A208" s="6" t="s">
        <v>5589</v>
      </c>
      <c r="B208" s="6" t="s">
        <v>5589</v>
      </c>
      <c r="C208" s="6" t="s">
        <v>5590</v>
      </c>
      <c r="D208" s="6">
        <v>210.0</v>
      </c>
      <c r="E208" s="6">
        <v>3.51280854486498E14</v>
      </c>
      <c r="F208" s="6" t="s">
        <v>23</v>
      </c>
      <c r="G208" s="6" t="s">
        <v>4874</v>
      </c>
      <c r="J208" s="6">
        <v>0.0</v>
      </c>
      <c r="L208" s="6">
        <v>0.0</v>
      </c>
      <c r="M208" s="6" t="s">
        <v>5591</v>
      </c>
      <c r="N208" s="6" t="s">
        <v>4880</v>
      </c>
      <c r="O208" s="6" t="s">
        <v>4880</v>
      </c>
    </row>
    <row r="209">
      <c r="A209" s="6" t="s">
        <v>5592</v>
      </c>
      <c r="B209" s="6" t="s">
        <v>5592</v>
      </c>
      <c r="C209" s="6" t="s">
        <v>5593</v>
      </c>
      <c r="D209" s="6">
        <v>211.0</v>
      </c>
      <c r="E209" s="6">
        <v>3.50470395849343E14</v>
      </c>
      <c r="F209" s="6" t="s">
        <v>5594</v>
      </c>
      <c r="G209" s="6" t="s">
        <v>4874</v>
      </c>
      <c r="J209" s="6">
        <v>0.0</v>
      </c>
      <c r="L209" s="6">
        <v>0.0</v>
      </c>
      <c r="M209" s="6" t="s">
        <v>5595</v>
      </c>
      <c r="N209" s="6" t="s">
        <v>4880</v>
      </c>
      <c r="O209" s="6" t="s">
        <v>4880</v>
      </c>
    </row>
    <row r="210">
      <c r="A210" s="6" t="s">
        <v>5596</v>
      </c>
      <c r="B210" s="6" t="s">
        <v>5596</v>
      </c>
      <c r="C210" s="6" t="s">
        <v>5597</v>
      </c>
      <c r="D210" s="6">
        <v>212.0</v>
      </c>
      <c r="E210" s="6">
        <v>3.53431651842023E14</v>
      </c>
      <c r="G210" s="6" t="s">
        <v>4874</v>
      </c>
      <c r="J210" s="6">
        <v>0.0</v>
      </c>
      <c r="L210" s="6">
        <v>0.0</v>
      </c>
      <c r="M210" s="6" t="s">
        <v>5598</v>
      </c>
      <c r="N210" s="6" t="s">
        <v>4880</v>
      </c>
      <c r="O210" s="6" t="s">
        <v>4880</v>
      </c>
    </row>
    <row r="211">
      <c r="A211" s="6" t="s">
        <v>5599</v>
      </c>
      <c r="B211" s="6" t="s">
        <v>5599</v>
      </c>
      <c r="C211" s="6" t="s">
        <v>5600</v>
      </c>
      <c r="D211" s="6">
        <v>213.0</v>
      </c>
      <c r="E211" s="6" t="s">
        <v>5601</v>
      </c>
      <c r="G211" s="6" t="s">
        <v>4874</v>
      </c>
      <c r="J211" s="6">
        <v>0.0</v>
      </c>
      <c r="L211" s="6">
        <v>0.0</v>
      </c>
      <c r="M211" s="6" t="s">
        <v>5602</v>
      </c>
      <c r="N211" s="6" t="s">
        <v>4880</v>
      </c>
      <c r="O211" s="6" t="s">
        <v>4880</v>
      </c>
    </row>
    <row r="212">
      <c r="A212" s="6" t="s">
        <v>5603</v>
      </c>
      <c r="B212" s="6" t="s">
        <v>5603</v>
      </c>
      <c r="C212" s="6" t="s">
        <v>5604</v>
      </c>
      <c r="D212" s="6">
        <v>214.0</v>
      </c>
      <c r="E212" s="6" t="s">
        <v>5605</v>
      </c>
      <c r="G212" s="6" t="s">
        <v>4874</v>
      </c>
      <c r="J212" s="6">
        <v>0.0</v>
      </c>
      <c r="L212" s="6">
        <v>0.0</v>
      </c>
      <c r="M212" s="6" t="s">
        <v>5606</v>
      </c>
      <c r="N212" s="6" t="s">
        <v>4880</v>
      </c>
      <c r="O212" s="6" t="s">
        <v>4880</v>
      </c>
    </row>
    <row r="213">
      <c r="A213" s="6" t="s">
        <v>5607</v>
      </c>
      <c r="B213" s="6" t="s">
        <v>5607</v>
      </c>
      <c r="C213" s="6" t="s">
        <v>5608</v>
      </c>
      <c r="D213" s="6">
        <v>215.0</v>
      </c>
      <c r="E213" s="6">
        <v>3.5741419923729E14</v>
      </c>
      <c r="G213" s="6" t="s">
        <v>4874</v>
      </c>
      <c r="J213" s="6">
        <v>0.0</v>
      </c>
      <c r="L213" s="6">
        <v>0.0</v>
      </c>
      <c r="M213" s="6" t="s">
        <v>5609</v>
      </c>
      <c r="N213" s="6" t="s">
        <v>4880</v>
      </c>
      <c r="O213" s="6" t="s">
        <v>4880</v>
      </c>
    </row>
    <row r="214">
      <c r="A214" s="6" t="s">
        <v>5610</v>
      </c>
      <c r="B214" s="6" t="s">
        <v>5610</v>
      </c>
      <c r="C214" s="6" t="s">
        <v>5611</v>
      </c>
      <c r="D214" s="6">
        <v>216.0</v>
      </c>
      <c r="E214" s="6" t="s">
        <v>5612</v>
      </c>
      <c r="G214" s="6" t="s">
        <v>4874</v>
      </c>
      <c r="J214" s="6">
        <v>0.0</v>
      </c>
      <c r="L214" s="6">
        <v>0.0</v>
      </c>
      <c r="M214" s="6" t="s">
        <v>5613</v>
      </c>
      <c r="N214" s="6" t="s">
        <v>4880</v>
      </c>
      <c r="O214" s="6" t="s">
        <v>4880</v>
      </c>
    </row>
    <row r="215">
      <c r="A215" s="6" t="s">
        <v>5614</v>
      </c>
      <c r="B215" s="6" t="s">
        <v>5614</v>
      </c>
      <c r="C215" s="6" t="s">
        <v>5615</v>
      </c>
      <c r="D215" s="6">
        <v>217.0</v>
      </c>
      <c r="E215" s="6" t="s">
        <v>5616</v>
      </c>
      <c r="G215" s="6" t="s">
        <v>4874</v>
      </c>
      <c r="J215" s="6">
        <v>0.0</v>
      </c>
      <c r="L215" s="6">
        <v>0.0</v>
      </c>
      <c r="M215" s="6" t="s">
        <v>5617</v>
      </c>
      <c r="N215" s="6" t="s">
        <v>4880</v>
      </c>
      <c r="O215" s="6" t="s">
        <v>4880</v>
      </c>
    </row>
    <row r="216">
      <c r="A216" s="6" t="s">
        <v>5618</v>
      </c>
      <c r="B216" s="6" t="s">
        <v>5618</v>
      </c>
      <c r="C216" s="6" t="s">
        <v>5619</v>
      </c>
      <c r="D216" s="6">
        <v>218.0</v>
      </c>
      <c r="G216" s="6" t="s">
        <v>4874</v>
      </c>
      <c r="J216" s="6">
        <v>0.0</v>
      </c>
      <c r="L216" s="6">
        <v>0.0</v>
      </c>
      <c r="M216" s="6" t="s">
        <v>5620</v>
      </c>
      <c r="N216" s="6" t="s">
        <v>4880</v>
      </c>
      <c r="O216" s="6" t="s">
        <v>4880</v>
      </c>
    </row>
    <row r="217">
      <c r="A217" s="6" t="s">
        <v>5621</v>
      </c>
      <c r="B217" s="6" t="s">
        <v>5621</v>
      </c>
      <c r="C217" s="6" t="s">
        <v>5622</v>
      </c>
      <c r="D217" s="6">
        <v>219.0</v>
      </c>
      <c r="E217" s="6">
        <v>3.56493667315169E14</v>
      </c>
      <c r="G217" s="6" t="s">
        <v>4874</v>
      </c>
      <c r="J217" s="6">
        <v>0.0</v>
      </c>
      <c r="L217" s="6">
        <v>0.0</v>
      </c>
      <c r="M217" s="6" t="s">
        <v>5623</v>
      </c>
      <c r="N217" s="6" t="s">
        <v>4880</v>
      </c>
      <c r="O217" s="6" t="s">
        <v>4880</v>
      </c>
    </row>
    <row r="218">
      <c r="A218" s="6" t="s">
        <v>5624</v>
      </c>
      <c r="B218" s="6" t="s">
        <v>5624</v>
      </c>
      <c r="C218" s="6" t="s">
        <v>5625</v>
      </c>
      <c r="D218" s="6">
        <v>220.0</v>
      </c>
      <c r="E218" s="6">
        <v>3.51156783495059E14</v>
      </c>
      <c r="G218" s="6" t="s">
        <v>4874</v>
      </c>
      <c r="J218" s="6">
        <v>0.0</v>
      </c>
      <c r="L218" s="6">
        <v>0.0</v>
      </c>
      <c r="M218" s="6" t="s">
        <v>5626</v>
      </c>
      <c r="N218" s="6" t="s">
        <v>4880</v>
      </c>
      <c r="O218" s="6" t="s">
        <v>4880</v>
      </c>
    </row>
    <row r="219">
      <c r="A219" s="6" t="s">
        <v>5627</v>
      </c>
      <c r="B219" s="6" t="s">
        <v>5627</v>
      </c>
      <c r="C219" s="6" t="s">
        <v>5628</v>
      </c>
      <c r="D219" s="6">
        <v>221.0</v>
      </c>
      <c r="E219" s="6">
        <v>3.56422160839516E14</v>
      </c>
      <c r="G219" s="6" t="s">
        <v>4874</v>
      </c>
      <c r="J219" s="6">
        <v>0.0</v>
      </c>
      <c r="L219" s="6">
        <v>0.0</v>
      </c>
      <c r="M219" s="6" t="s">
        <v>5629</v>
      </c>
      <c r="N219" s="6" t="s">
        <v>4880</v>
      </c>
      <c r="O219" s="6" t="s">
        <v>4880</v>
      </c>
    </row>
    <row r="220">
      <c r="A220" s="6" t="s">
        <v>5630</v>
      </c>
      <c r="B220" s="6" t="s">
        <v>5630</v>
      </c>
      <c r="C220" s="6" t="s">
        <v>5631</v>
      </c>
      <c r="D220" s="6">
        <v>222.0</v>
      </c>
      <c r="E220" s="6">
        <v>3.56422162316778E14</v>
      </c>
      <c r="F220" s="6" t="s">
        <v>4957</v>
      </c>
      <c r="G220" s="6" t="s">
        <v>4874</v>
      </c>
      <c r="J220" s="6">
        <v>0.0</v>
      </c>
      <c r="L220" s="6">
        <v>0.0</v>
      </c>
      <c r="M220" s="6" t="s">
        <v>5632</v>
      </c>
      <c r="N220" s="6" t="s">
        <v>4880</v>
      </c>
      <c r="O220" s="6" t="s">
        <v>4880</v>
      </c>
    </row>
    <row r="221">
      <c r="A221" s="6" t="s">
        <v>5633</v>
      </c>
      <c r="B221" s="6" t="s">
        <v>5633</v>
      </c>
      <c r="C221" s="6" t="s">
        <v>5634</v>
      </c>
      <c r="D221" s="6">
        <v>223.0</v>
      </c>
      <c r="E221" s="6">
        <v>3.59824379492614E14</v>
      </c>
      <c r="G221" s="6" t="s">
        <v>4874</v>
      </c>
      <c r="J221" s="6">
        <v>0.0</v>
      </c>
      <c r="L221" s="6">
        <v>0.0</v>
      </c>
      <c r="M221" s="6" t="s">
        <v>5635</v>
      </c>
      <c r="N221" s="6" t="s">
        <v>4880</v>
      </c>
      <c r="O221" s="6" t="s">
        <v>4880</v>
      </c>
    </row>
    <row r="222">
      <c r="A222" s="6" t="s">
        <v>5636</v>
      </c>
      <c r="B222" s="6" t="s">
        <v>5636</v>
      </c>
      <c r="C222" s="6" t="s">
        <v>5637</v>
      </c>
      <c r="D222" s="6">
        <v>224.0</v>
      </c>
      <c r="E222" s="6" t="s">
        <v>5638</v>
      </c>
      <c r="F222" s="6" t="s">
        <v>70</v>
      </c>
      <c r="G222" s="6" t="s">
        <v>4874</v>
      </c>
      <c r="J222" s="6">
        <v>0.0</v>
      </c>
      <c r="L222" s="6">
        <v>0.0</v>
      </c>
      <c r="M222" s="6" t="s">
        <v>5639</v>
      </c>
      <c r="N222" s="6" t="s">
        <v>4880</v>
      </c>
      <c r="O222" s="6" t="s">
        <v>4880</v>
      </c>
    </row>
    <row r="223">
      <c r="A223" s="6" t="s">
        <v>5640</v>
      </c>
      <c r="B223" s="6" t="s">
        <v>5640</v>
      </c>
      <c r="C223" s="6" t="s">
        <v>5641</v>
      </c>
      <c r="D223" s="6">
        <v>225.0</v>
      </c>
      <c r="E223" s="6" t="s">
        <v>5642</v>
      </c>
      <c r="G223" s="6" t="s">
        <v>4874</v>
      </c>
      <c r="J223" s="6">
        <v>0.0</v>
      </c>
      <c r="L223" s="6">
        <v>0.0</v>
      </c>
      <c r="M223" s="6" t="s">
        <v>5643</v>
      </c>
      <c r="N223" s="6" t="s">
        <v>4880</v>
      </c>
      <c r="O223" s="6" t="s">
        <v>4880</v>
      </c>
    </row>
    <row r="224">
      <c r="A224" s="6" t="s">
        <v>5644</v>
      </c>
      <c r="B224" s="6" t="s">
        <v>5644</v>
      </c>
      <c r="C224" s="6" t="s">
        <v>5645</v>
      </c>
      <c r="D224" s="6">
        <v>226.0</v>
      </c>
      <c r="E224" s="6" t="s">
        <v>5646</v>
      </c>
      <c r="G224" s="6" t="s">
        <v>4874</v>
      </c>
      <c r="J224" s="6">
        <v>0.0</v>
      </c>
      <c r="L224" s="6">
        <v>0.0</v>
      </c>
      <c r="M224" s="6" t="s">
        <v>5647</v>
      </c>
      <c r="N224" s="6" t="s">
        <v>4880</v>
      </c>
      <c r="O224" s="6" t="s">
        <v>4880</v>
      </c>
    </row>
    <row r="225">
      <c r="A225" s="6" t="s">
        <v>5648</v>
      </c>
      <c r="B225" s="6" t="s">
        <v>5648</v>
      </c>
      <c r="C225" s="6" t="s">
        <v>5649</v>
      </c>
      <c r="D225" s="6">
        <v>227.0</v>
      </c>
      <c r="E225" s="6">
        <v>3.54509713653071E14</v>
      </c>
      <c r="G225" s="6" t="s">
        <v>4874</v>
      </c>
      <c r="J225" s="6">
        <v>0.0</v>
      </c>
      <c r="L225" s="6">
        <v>0.0</v>
      </c>
      <c r="M225" s="6" t="s">
        <v>5650</v>
      </c>
      <c r="N225" s="6" t="s">
        <v>4880</v>
      </c>
      <c r="O225" s="6" t="s">
        <v>4880</v>
      </c>
    </row>
    <row r="226">
      <c r="A226" s="6" t="s">
        <v>5651</v>
      </c>
      <c r="B226" s="6" t="s">
        <v>5651</v>
      </c>
      <c r="C226" s="6" t="s">
        <v>5652</v>
      </c>
      <c r="D226" s="6">
        <v>228.0</v>
      </c>
      <c r="E226" s="6">
        <v>3.56487145927504E14</v>
      </c>
      <c r="G226" s="6" t="s">
        <v>4874</v>
      </c>
      <c r="J226" s="6">
        <v>0.0</v>
      </c>
      <c r="L226" s="6">
        <v>0.0</v>
      </c>
      <c r="M226" s="6" t="s">
        <v>5653</v>
      </c>
      <c r="N226" s="6" t="s">
        <v>4880</v>
      </c>
      <c r="O226" s="6" t="s">
        <v>4880</v>
      </c>
    </row>
    <row r="227">
      <c r="A227" s="6" t="s">
        <v>5654</v>
      </c>
      <c r="B227" s="6" t="s">
        <v>5654</v>
      </c>
      <c r="C227" s="6" t="s">
        <v>5655</v>
      </c>
      <c r="D227" s="6">
        <v>229.0</v>
      </c>
      <c r="E227" s="6">
        <v>3.51465644967036E14</v>
      </c>
      <c r="F227" s="6" t="s">
        <v>5656</v>
      </c>
      <c r="G227" s="6" t="s">
        <v>4874</v>
      </c>
      <c r="J227" s="6">
        <v>0.0</v>
      </c>
      <c r="L227" s="6">
        <v>0.0</v>
      </c>
      <c r="M227" s="6" t="s">
        <v>5657</v>
      </c>
      <c r="N227" s="6" t="s">
        <v>4880</v>
      </c>
      <c r="O227" s="6" t="s">
        <v>4880</v>
      </c>
    </row>
    <row r="228">
      <c r="A228" s="6" t="s">
        <v>5658</v>
      </c>
      <c r="B228" s="6" t="s">
        <v>5658</v>
      </c>
      <c r="C228" s="6" t="s">
        <v>5659</v>
      </c>
      <c r="D228" s="6">
        <v>230.0</v>
      </c>
      <c r="E228" s="6">
        <v>3.55721799980281E14</v>
      </c>
      <c r="G228" s="6" t="s">
        <v>4874</v>
      </c>
      <c r="J228" s="6">
        <v>0.0</v>
      </c>
      <c r="L228" s="6">
        <v>0.0</v>
      </c>
      <c r="M228" s="6" t="s">
        <v>5660</v>
      </c>
      <c r="N228" s="6" t="s">
        <v>4880</v>
      </c>
      <c r="O228" s="6" t="s">
        <v>4880</v>
      </c>
    </row>
    <row r="229">
      <c r="A229" s="6" t="s">
        <v>5661</v>
      </c>
      <c r="B229" s="6" t="s">
        <v>5661</v>
      </c>
      <c r="C229" s="6" t="s">
        <v>5662</v>
      </c>
      <c r="D229" s="6">
        <v>231.0</v>
      </c>
      <c r="E229" s="6">
        <v>3.54496318217173E14</v>
      </c>
      <c r="G229" s="6" t="s">
        <v>4874</v>
      </c>
      <c r="J229" s="6">
        <v>0.0</v>
      </c>
      <c r="L229" s="6">
        <v>0.0</v>
      </c>
      <c r="M229" s="6" t="s">
        <v>5663</v>
      </c>
      <c r="N229" s="6" t="s">
        <v>4880</v>
      </c>
      <c r="O229" s="6" t="s">
        <v>4880</v>
      </c>
    </row>
    <row r="230">
      <c r="A230" s="6" t="s">
        <v>5664</v>
      </c>
      <c r="B230" s="6" t="s">
        <v>5664</v>
      </c>
      <c r="C230" s="6" t="s">
        <v>5665</v>
      </c>
      <c r="D230" s="6">
        <v>232.0</v>
      </c>
      <c r="E230" s="6" t="s">
        <v>1813</v>
      </c>
      <c r="F230" s="6" t="s">
        <v>127</v>
      </c>
      <c r="G230" s="6" t="s">
        <v>4874</v>
      </c>
      <c r="J230" s="6">
        <v>0.0</v>
      </c>
      <c r="L230" s="6">
        <v>0.0</v>
      </c>
      <c r="M230" s="6" t="s">
        <v>5666</v>
      </c>
      <c r="N230" s="6" t="s">
        <v>4880</v>
      </c>
      <c r="O230" s="6" t="s">
        <v>4880</v>
      </c>
    </row>
    <row r="231">
      <c r="A231" s="6" t="s">
        <v>5667</v>
      </c>
      <c r="B231" s="6" t="s">
        <v>5667</v>
      </c>
      <c r="C231" s="6" t="s">
        <v>5668</v>
      </c>
      <c r="D231" s="6">
        <v>233.0</v>
      </c>
      <c r="E231" s="6" t="s">
        <v>5605</v>
      </c>
      <c r="G231" s="6" t="s">
        <v>4874</v>
      </c>
      <c r="J231" s="6">
        <v>0.0</v>
      </c>
      <c r="L231" s="6">
        <v>0.0</v>
      </c>
      <c r="M231" s="6" t="s">
        <v>5669</v>
      </c>
      <c r="N231" s="6" t="s">
        <v>4880</v>
      </c>
      <c r="O231" s="6" t="s">
        <v>4880</v>
      </c>
    </row>
    <row r="232">
      <c r="A232" s="6" t="s">
        <v>5670</v>
      </c>
      <c r="B232" s="6" t="s">
        <v>5670</v>
      </c>
      <c r="C232" s="6" t="s">
        <v>5671</v>
      </c>
      <c r="D232" s="6">
        <v>234.0</v>
      </c>
      <c r="E232" s="6">
        <v>3.591644934874E14</v>
      </c>
      <c r="F232" s="6" t="s">
        <v>5672</v>
      </c>
      <c r="G232" s="6" t="s">
        <v>4874</v>
      </c>
      <c r="J232" s="6">
        <v>0.0</v>
      </c>
      <c r="L232" s="6">
        <v>0.0</v>
      </c>
      <c r="M232" s="6" t="s">
        <v>5673</v>
      </c>
      <c r="N232" s="6" t="s">
        <v>4880</v>
      </c>
      <c r="O232" s="6" t="s">
        <v>4880</v>
      </c>
    </row>
    <row r="233">
      <c r="A233" s="6" t="s">
        <v>5674</v>
      </c>
      <c r="B233" s="6" t="s">
        <v>5674</v>
      </c>
      <c r="C233" s="6" t="s">
        <v>5675</v>
      </c>
      <c r="D233" s="6">
        <v>235.0</v>
      </c>
      <c r="E233" s="6">
        <v>3.53841081915761E14</v>
      </c>
      <c r="F233" s="6" t="s">
        <v>5676</v>
      </c>
      <c r="G233" s="6" t="s">
        <v>4874</v>
      </c>
      <c r="J233" s="6">
        <v>0.0</v>
      </c>
      <c r="L233" s="6">
        <v>0.0</v>
      </c>
      <c r="M233" s="6" t="s">
        <v>5677</v>
      </c>
      <c r="N233" s="6" t="s">
        <v>4880</v>
      </c>
      <c r="O233" s="6" t="s">
        <v>4880</v>
      </c>
    </row>
    <row r="234">
      <c r="A234" s="6" t="s">
        <v>5678</v>
      </c>
      <c r="B234" s="6" t="s">
        <v>5678</v>
      </c>
      <c r="C234" s="6" t="s">
        <v>5679</v>
      </c>
      <c r="D234" s="6">
        <v>236.0</v>
      </c>
      <c r="E234" s="6">
        <v>3.50991541697468E14</v>
      </c>
      <c r="F234" s="6" t="s">
        <v>1556</v>
      </c>
      <c r="G234" s="6" t="s">
        <v>4874</v>
      </c>
      <c r="J234" s="6">
        <v>0.0</v>
      </c>
      <c r="L234" s="6">
        <v>0.0</v>
      </c>
      <c r="M234" s="6" t="s">
        <v>5680</v>
      </c>
      <c r="N234" s="6" t="s">
        <v>4880</v>
      </c>
      <c r="O234" s="6" t="s">
        <v>4880</v>
      </c>
    </row>
    <row r="235">
      <c r="A235" s="6" t="s">
        <v>5681</v>
      </c>
      <c r="B235" s="6" t="s">
        <v>5681</v>
      </c>
      <c r="C235" s="6" t="s">
        <v>5682</v>
      </c>
      <c r="D235" s="6">
        <v>237.0</v>
      </c>
      <c r="E235" s="6">
        <v>3.577698504057E13</v>
      </c>
      <c r="F235" s="6" t="s">
        <v>5683</v>
      </c>
      <c r="G235" s="6" t="s">
        <v>4874</v>
      </c>
      <c r="J235" s="6">
        <v>0.0</v>
      </c>
      <c r="L235" s="6">
        <v>0.0</v>
      </c>
      <c r="M235" s="6" t="s">
        <v>5684</v>
      </c>
      <c r="N235" s="6" t="s">
        <v>4880</v>
      </c>
      <c r="O235" s="6" t="s">
        <v>4880</v>
      </c>
    </row>
    <row r="236">
      <c r="A236" s="6" t="s">
        <v>5685</v>
      </c>
      <c r="B236" s="6" t="s">
        <v>5685</v>
      </c>
      <c r="C236" s="6" t="s">
        <v>5686</v>
      </c>
      <c r="D236" s="6">
        <v>238.0</v>
      </c>
      <c r="E236" s="6">
        <v>3.54178508141252E14</v>
      </c>
      <c r="F236" s="6" t="s">
        <v>43</v>
      </c>
      <c r="G236" s="6" t="s">
        <v>4874</v>
      </c>
      <c r="J236" s="6">
        <v>0.0</v>
      </c>
      <c r="L236" s="6">
        <v>0.0</v>
      </c>
      <c r="M236" s="6" t="s">
        <v>5687</v>
      </c>
      <c r="N236" s="6" t="s">
        <v>4880</v>
      </c>
      <c r="O236" s="6" t="s">
        <v>4880</v>
      </c>
    </row>
    <row r="237">
      <c r="A237" s="6" t="s">
        <v>5688</v>
      </c>
      <c r="B237" s="6" t="s">
        <v>5688</v>
      </c>
      <c r="C237" s="6" t="s">
        <v>5689</v>
      </c>
      <c r="D237" s="6">
        <v>239.0</v>
      </c>
      <c r="E237" s="6">
        <v>3.51592242986884E14</v>
      </c>
      <c r="F237" s="6" t="s">
        <v>993</v>
      </c>
      <c r="G237" s="6" t="s">
        <v>4874</v>
      </c>
      <c r="J237" s="6">
        <v>0.0</v>
      </c>
      <c r="L237" s="6">
        <v>0.0</v>
      </c>
      <c r="M237" s="6" t="s">
        <v>5690</v>
      </c>
      <c r="N237" s="6" t="s">
        <v>4880</v>
      </c>
      <c r="O237" s="6" t="s">
        <v>4880</v>
      </c>
    </row>
    <row r="238">
      <c r="A238" s="6" t="s">
        <v>5691</v>
      </c>
      <c r="B238" s="6" t="s">
        <v>5691</v>
      </c>
      <c r="C238" s="6" t="s">
        <v>5692</v>
      </c>
      <c r="D238" s="6">
        <v>240.0</v>
      </c>
      <c r="E238" s="6">
        <v>3.51582379112024E14</v>
      </c>
      <c r="F238" s="6" t="s">
        <v>105</v>
      </c>
      <c r="G238" s="6" t="s">
        <v>4874</v>
      </c>
      <c r="J238" s="6">
        <v>0.0</v>
      </c>
      <c r="L238" s="6">
        <v>0.0</v>
      </c>
      <c r="M238" s="6" t="s">
        <v>5693</v>
      </c>
      <c r="N238" s="6" t="s">
        <v>4880</v>
      </c>
      <c r="O238" s="6" t="s">
        <v>4880</v>
      </c>
    </row>
    <row r="239">
      <c r="A239" s="6" t="s">
        <v>5694</v>
      </c>
      <c r="B239" s="6" t="s">
        <v>5694</v>
      </c>
      <c r="C239" s="6" t="s">
        <v>5695</v>
      </c>
      <c r="D239" s="6">
        <v>241.0</v>
      </c>
      <c r="E239" s="6">
        <v>3.50922059167172E14</v>
      </c>
      <c r="F239" s="6" t="s">
        <v>5696</v>
      </c>
      <c r="G239" s="6" t="s">
        <v>4874</v>
      </c>
      <c r="J239" s="6">
        <v>0.0</v>
      </c>
      <c r="L239" s="6">
        <v>0.0</v>
      </c>
      <c r="M239" s="6" t="s">
        <v>5697</v>
      </c>
      <c r="N239" s="6" t="s">
        <v>4880</v>
      </c>
      <c r="O239" s="6" t="s">
        <v>4880</v>
      </c>
    </row>
    <row r="240">
      <c r="A240" s="6" t="s">
        <v>5698</v>
      </c>
      <c r="B240" s="6" t="s">
        <v>5698</v>
      </c>
      <c r="C240" s="6" t="s">
        <v>5699</v>
      </c>
      <c r="D240" s="6">
        <v>242.0</v>
      </c>
      <c r="E240" s="6">
        <v>3.58915828246758E14</v>
      </c>
      <c r="F240" s="6" t="s">
        <v>404</v>
      </c>
      <c r="G240" s="6" t="s">
        <v>5700</v>
      </c>
      <c r="J240" s="6">
        <v>0.0</v>
      </c>
      <c r="L240" s="6">
        <v>0.0</v>
      </c>
      <c r="M240" s="6" t="s">
        <v>5701</v>
      </c>
      <c r="N240" s="6" t="s">
        <v>4880</v>
      </c>
      <c r="O240" s="6" t="s">
        <v>4880</v>
      </c>
    </row>
    <row r="241">
      <c r="A241" s="6" t="s">
        <v>5702</v>
      </c>
      <c r="B241" s="6" t="s">
        <v>5702</v>
      </c>
      <c r="C241" s="6" t="s">
        <v>5703</v>
      </c>
      <c r="D241" s="6">
        <v>243.0</v>
      </c>
      <c r="E241" s="6">
        <v>8.62439070040255E14</v>
      </c>
      <c r="G241" s="6" t="s">
        <v>4874</v>
      </c>
      <c r="J241" s="6">
        <v>0.0</v>
      </c>
      <c r="L241" s="6">
        <v>0.0</v>
      </c>
      <c r="M241" s="6" t="s">
        <v>5704</v>
      </c>
      <c r="N241" s="6" t="s">
        <v>4880</v>
      </c>
      <c r="O241" s="6" t="s">
        <v>4880</v>
      </c>
    </row>
    <row r="242">
      <c r="A242" s="6" t="s">
        <v>5705</v>
      </c>
      <c r="B242" s="6" t="s">
        <v>5705</v>
      </c>
      <c r="C242" s="6" t="s">
        <v>5706</v>
      </c>
      <c r="D242" s="6">
        <v>244.0</v>
      </c>
      <c r="E242" s="6">
        <v>3.52890115836692E14</v>
      </c>
      <c r="F242" s="6" t="s">
        <v>89</v>
      </c>
      <c r="G242" s="6" t="s">
        <v>4874</v>
      </c>
      <c r="J242" s="6">
        <v>0.0</v>
      </c>
      <c r="L242" s="6">
        <v>0.0</v>
      </c>
      <c r="M242" s="6" t="s">
        <v>5707</v>
      </c>
      <c r="N242" s="6" t="s">
        <v>4880</v>
      </c>
      <c r="O242" s="6" t="s">
        <v>4880</v>
      </c>
    </row>
    <row r="243">
      <c r="A243" s="6" t="s">
        <v>5708</v>
      </c>
      <c r="B243" s="6" t="s">
        <v>5708</v>
      </c>
      <c r="C243" s="6" t="s">
        <v>5709</v>
      </c>
      <c r="D243" s="6">
        <v>245.0</v>
      </c>
      <c r="E243" s="6" t="s">
        <v>5710</v>
      </c>
      <c r="G243" s="6" t="s">
        <v>4874</v>
      </c>
      <c r="J243" s="6">
        <v>0.0</v>
      </c>
      <c r="L243" s="6">
        <v>0.0</v>
      </c>
      <c r="M243" s="6" t="s">
        <v>5711</v>
      </c>
      <c r="N243" s="6" t="s">
        <v>4880</v>
      </c>
      <c r="O243" s="6" t="s">
        <v>4880</v>
      </c>
    </row>
    <row r="244">
      <c r="A244" s="6" t="s">
        <v>5712</v>
      </c>
      <c r="B244" s="6" t="s">
        <v>5712</v>
      </c>
      <c r="C244" s="6" t="s">
        <v>5713</v>
      </c>
      <c r="D244" s="6">
        <v>246.0</v>
      </c>
      <c r="E244" s="6" t="s">
        <v>5714</v>
      </c>
      <c r="G244" s="6" t="s">
        <v>4874</v>
      </c>
      <c r="J244" s="6">
        <v>0.0</v>
      </c>
      <c r="L244" s="6">
        <v>0.0</v>
      </c>
      <c r="M244" s="6" t="s">
        <v>5715</v>
      </c>
      <c r="N244" s="6" t="s">
        <v>4880</v>
      </c>
      <c r="O244" s="6" t="s">
        <v>4880</v>
      </c>
    </row>
    <row r="245">
      <c r="A245" s="6" t="s">
        <v>5716</v>
      </c>
      <c r="B245" s="6" t="s">
        <v>5716</v>
      </c>
      <c r="C245" s="6" t="s">
        <v>5717</v>
      </c>
      <c r="D245" s="6">
        <v>247.0</v>
      </c>
      <c r="E245" s="6">
        <v>3.56444107071458E14</v>
      </c>
      <c r="F245" s="6" t="s">
        <v>5718</v>
      </c>
      <c r="G245" s="6" t="s">
        <v>4874</v>
      </c>
      <c r="J245" s="6">
        <v>0.0</v>
      </c>
      <c r="L245" s="6">
        <v>0.0</v>
      </c>
      <c r="M245" s="6" t="s">
        <v>5719</v>
      </c>
      <c r="N245" s="6" t="s">
        <v>4880</v>
      </c>
      <c r="O245" s="6" t="s">
        <v>4880</v>
      </c>
    </row>
    <row r="246">
      <c r="A246" s="6" t="s">
        <v>5720</v>
      </c>
      <c r="B246" s="6" t="s">
        <v>5720</v>
      </c>
      <c r="C246" s="6" t="s">
        <v>5721</v>
      </c>
      <c r="D246" s="6">
        <v>248.0</v>
      </c>
      <c r="E246" s="6">
        <v>3.53762466103551E14</v>
      </c>
      <c r="F246" s="6" t="s">
        <v>105</v>
      </c>
      <c r="G246" s="6" t="s">
        <v>4874</v>
      </c>
      <c r="J246" s="6">
        <v>0.0</v>
      </c>
      <c r="L246" s="6">
        <v>0.0</v>
      </c>
      <c r="M246" s="6" t="s">
        <v>5722</v>
      </c>
      <c r="N246" s="6" t="s">
        <v>4880</v>
      </c>
      <c r="O246" s="6" t="s">
        <v>4880</v>
      </c>
    </row>
    <row r="247">
      <c r="A247" s="6" t="s">
        <v>5723</v>
      </c>
      <c r="B247" s="6" t="s">
        <v>5723</v>
      </c>
      <c r="C247" s="6" t="s">
        <v>5724</v>
      </c>
      <c r="D247" s="6">
        <v>249.0</v>
      </c>
      <c r="E247" s="6">
        <v>3.54741550229463E14</v>
      </c>
      <c r="F247" s="6" t="s">
        <v>192</v>
      </c>
      <c r="G247" s="6" t="s">
        <v>4874</v>
      </c>
      <c r="J247" s="6">
        <v>0.0</v>
      </c>
      <c r="L247" s="6">
        <v>0.0</v>
      </c>
      <c r="M247" s="6" t="s">
        <v>5725</v>
      </c>
      <c r="N247" s="6" t="s">
        <v>4880</v>
      </c>
      <c r="O247" s="6" t="s">
        <v>4880</v>
      </c>
    </row>
    <row r="248">
      <c r="A248" s="6" t="s">
        <v>5726</v>
      </c>
      <c r="B248" s="6" t="s">
        <v>5726</v>
      </c>
      <c r="C248" s="6" t="s">
        <v>5727</v>
      </c>
      <c r="D248" s="6">
        <v>250.0</v>
      </c>
      <c r="G248" s="6" t="s">
        <v>4874</v>
      </c>
      <c r="J248" s="6">
        <v>0.0</v>
      </c>
      <c r="L248" s="6">
        <v>0.0</v>
      </c>
      <c r="M248" s="6" t="s">
        <v>5728</v>
      </c>
      <c r="N248" s="6" t="s">
        <v>4880</v>
      </c>
      <c r="O248" s="6" t="s">
        <v>4880</v>
      </c>
    </row>
    <row r="249">
      <c r="A249" s="6" t="s">
        <v>5729</v>
      </c>
      <c r="B249" s="6" t="s">
        <v>5729</v>
      </c>
      <c r="C249" s="6" t="s">
        <v>5730</v>
      </c>
      <c r="D249" s="6">
        <v>251.0</v>
      </c>
      <c r="G249" s="6" t="s">
        <v>4874</v>
      </c>
      <c r="J249" s="6">
        <v>0.0</v>
      </c>
      <c r="L249" s="6">
        <v>0.0</v>
      </c>
      <c r="M249" s="6" t="s">
        <v>5731</v>
      </c>
      <c r="N249" s="6" t="s">
        <v>4880</v>
      </c>
      <c r="O249" s="6" t="s">
        <v>4880</v>
      </c>
    </row>
    <row r="250">
      <c r="A250" s="6" t="s">
        <v>5732</v>
      </c>
      <c r="B250" s="6" t="s">
        <v>5732</v>
      </c>
      <c r="C250" s="6" t="s">
        <v>5733</v>
      </c>
      <c r="D250" s="6">
        <v>252.0</v>
      </c>
      <c r="E250" s="6">
        <v>3.56542103397585E14</v>
      </c>
      <c r="F250" s="6" t="s">
        <v>5734</v>
      </c>
      <c r="G250" s="6" t="s">
        <v>4874</v>
      </c>
      <c r="J250" s="6">
        <v>0.0</v>
      </c>
      <c r="L250" s="6">
        <v>0.0</v>
      </c>
      <c r="M250" s="6" t="s">
        <v>5735</v>
      </c>
      <c r="N250" s="6" t="s">
        <v>4880</v>
      </c>
      <c r="O250" s="6" t="s">
        <v>4880</v>
      </c>
    </row>
    <row r="251">
      <c r="A251" s="6" t="s">
        <v>5736</v>
      </c>
      <c r="B251" s="6" t="s">
        <v>5736</v>
      </c>
      <c r="C251" s="6" t="s">
        <v>5737</v>
      </c>
      <c r="D251" s="6">
        <v>253.0</v>
      </c>
      <c r="E251" s="6">
        <v>3.56440108654318E14</v>
      </c>
      <c r="F251" s="6" t="s">
        <v>5738</v>
      </c>
      <c r="G251" s="6" t="s">
        <v>4874</v>
      </c>
      <c r="J251" s="6">
        <v>0.0</v>
      </c>
      <c r="L251" s="6">
        <v>0.0</v>
      </c>
      <c r="M251" s="6" t="s">
        <v>5739</v>
      </c>
      <c r="N251" s="6" t="s">
        <v>4880</v>
      </c>
      <c r="O251" s="6" t="s">
        <v>4880</v>
      </c>
    </row>
    <row r="252">
      <c r="A252" s="6" t="s">
        <v>5740</v>
      </c>
      <c r="B252" s="6" t="s">
        <v>5740</v>
      </c>
      <c r="C252" s="6" t="s">
        <v>5741</v>
      </c>
      <c r="D252" s="6">
        <v>254.0</v>
      </c>
      <c r="E252" s="6">
        <v>3.53662256514381E14</v>
      </c>
      <c r="F252" s="6" t="s">
        <v>788</v>
      </c>
      <c r="G252" s="6" t="s">
        <v>4874</v>
      </c>
      <c r="J252" s="6">
        <v>0.0</v>
      </c>
      <c r="L252" s="6">
        <v>0.0</v>
      </c>
      <c r="M252" s="6" t="s">
        <v>5742</v>
      </c>
      <c r="N252" s="6" t="s">
        <v>4880</v>
      </c>
      <c r="O252" s="6" t="s">
        <v>4880</v>
      </c>
    </row>
    <row r="253">
      <c r="A253" s="6" t="s">
        <v>5743</v>
      </c>
      <c r="B253" s="6" t="s">
        <v>5743</v>
      </c>
      <c r="C253" s="6" t="s">
        <v>5744</v>
      </c>
      <c r="D253" s="6">
        <v>255.0</v>
      </c>
      <c r="E253" s="6">
        <v>3.54243574015213E14</v>
      </c>
      <c r="G253" s="6" t="s">
        <v>5745</v>
      </c>
      <c r="J253" s="6">
        <v>0.0</v>
      </c>
      <c r="L253" s="6">
        <v>0.0</v>
      </c>
      <c r="M253" s="6" t="s">
        <v>5746</v>
      </c>
      <c r="N253" s="6" t="s">
        <v>4880</v>
      </c>
      <c r="O253" s="6" t="s">
        <v>4880</v>
      </c>
    </row>
    <row r="254">
      <c r="A254" s="6" t="s">
        <v>5747</v>
      </c>
      <c r="B254" s="6" t="s">
        <v>5747</v>
      </c>
      <c r="C254" s="6" t="s">
        <v>5748</v>
      </c>
      <c r="D254" s="6">
        <v>256.0</v>
      </c>
      <c r="E254" s="6">
        <v>3.5970237250843E14</v>
      </c>
      <c r="F254" s="6" t="s">
        <v>5749</v>
      </c>
      <c r="G254" s="6" t="s">
        <v>4874</v>
      </c>
      <c r="J254" s="6">
        <v>0.0</v>
      </c>
      <c r="L254" s="6">
        <v>0.0</v>
      </c>
      <c r="M254" s="6" t="s">
        <v>5750</v>
      </c>
      <c r="N254" s="6" t="s">
        <v>4880</v>
      </c>
      <c r="O254" s="6" t="s">
        <v>4880</v>
      </c>
    </row>
    <row r="255">
      <c r="A255" s="6" t="s">
        <v>5751</v>
      </c>
      <c r="B255" s="6" t="s">
        <v>5751</v>
      </c>
      <c r="C255" s="6" t="s">
        <v>5752</v>
      </c>
      <c r="D255" s="6">
        <v>257.0</v>
      </c>
      <c r="E255" s="6" t="s">
        <v>5753</v>
      </c>
      <c r="F255" s="6" t="s">
        <v>183</v>
      </c>
      <c r="G255" s="6" t="s">
        <v>4874</v>
      </c>
      <c r="J255" s="6">
        <v>0.0</v>
      </c>
      <c r="L255" s="6">
        <v>0.0</v>
      </c>
      <c r="M255" s="6" t="s">
        <v>5754</v>
      </c>
      <c r="N255" s="6" t="s">
        <v>4880</v>
      </c>
      <c r="O255" s="6" t="s">
        <v>4880</v>
      </c>
    </row>
    <row r="256">
      <c r="A256" s="6" t="s">
        <v>5755</v>
      </c>
      <c r="B256" s="6" t="s">
        <v>5755</v>
      </c>
      <c r="C256" s="6" t="s">
        <v>5756</v>
      </c>
      <c r="D256" s="6">
        <v>258.0</v>
      </c>
      <c r="E256" s="6" t="s">
        <v>5757</v>
      </c>
      <c r="G256" s="6" t="s">
        <v>4874</v>
      </c>
      <c r="J256" s="6">
        <v>0.0</v>
      </c>
      <c r="L256" s="6">
        <v>0.0</v>
      </c>
      <c r="M256" s="6" t="s">
        <v>5758</v>
      </c>
      <c r="N256" s="6" t="s">
        <v>4880</v>
      </c>
      <c r="O256" s="6" t="s">
        <v>4880</v>
      </c>
    </row>
    <row r="257">
      <c r="A257" s="6" t="s">
        <v>5759</v>
      </c>
      <c r="B257" s="6" t="s">
        <v>5759</v>
      </c>
      <c r="C257" s="6" t="s">
        <v>5760</v>
      </c>
      <c r="D257" s="6">
        <v>259.0</v>
      </c>
      <c r="E257" s="6" t="s">
        <v>5761</v>
      </c>
      <c r="F257" s="6" t="s">
        <v>418</v>
      </c>
      <c r="G257" s="6" t="s">
        <v>4874</v>
      </c>
      <c r="J257" s="6">
        <v>0.0</v>
      </c>
      <c r="L257" s="6">
        <v>0.0</v>
      </c>
      <c r="M257" s="6" t="s">
        <v>5762</v>
      </c>
      <c r="N257" s="6" t="s">
        <v>4880</v>
      </c>
      <c r="O257" s="6" t="s">
        <v>4880</v>
      </c>
    </row>
    <row r="258">
      <c r="A258" s="6" t="s">
        <v>5763</v>
      </c>
      <c r="B258" s="6" t="s">
        <v>5763</v>
      </c>
      <c r="C258" s="6" t="s">
        <v>5764</v>
      </c>
      <c r="D258" s="6">
        <v>260.0</v>
      </c>
      <c r="E258" s="6" t="s">
        <v>5765</v>
      </c>
      <c r="F258" s="6" t="s">
        <v>5766</v>
      </c>
      <c r="G258" s="6" t="s">
        <v>4874</v>
      </c>
      <c r="J258" s="6">
        <v>0.0</v>
      </c>
      <c r="L258" s="6">
        <v>0.0</v>
      </c>
      <c r="M258" s="6" t="s">
        <v>5767</v>
      </c>
      <c r="N258" s="6" t="s">
        <v>4880</v>
      </c>
      <c r="O258" s="6" t="s">
        <v>4880</v>
      </c>
    </row>
    <row r="259">
      <c r="A259" s="6" t="s">
        <v>5768</v>
      </c>
      <c r="B259" s="6" t="s">
        <v>5768</v>
      </c>
      <c r="C259" s="6" t="s">
        <v>5769</v>
      </c>
      <c r="D259" s="6">
        <v>261.0</v>
      </c>
      <c r="E259" s="6">
        <v>3.56295374969208E14</v>
      </c>
      <c r="F259" s="6" t="s">
        <v>5770</v>
      </c>
      <c r="G259" s="6" t="s">
        <v>4874</v>
      </c>
      <c r="J259" s="6">
        <v>0.0</v>
      </c>
      <c r="L259" s="6">
        <v>0.0</v>
      </c>
      <c r="M259" s="6" t="s">
        <v>5771</v>
      </c>
      <c r="N259" s="6" t="s">
        <v>4880</v>
      </c>
      <c r="O259" s="6" t="s">
        <v>4880</v>
      </c>
    </row>
    <row r="260">
      <c r="A260" s="6" t="s">
        <v>5772</v>
      </c>
      <c r="B260" s="6" t="s">
        <v>5772</v>
      </c>
      <c r="C260" s="6" t="s">
        <v>5773</v>
      </c>
      <c r="D260" s="6">
        <v>262.0</v>
      </c>
      <c r="E260" s="6">
        <v>3.53070097381244E14</v>
      </c>
      <c r="G260" s="6" t="s">
        <v>4874</v>
      </c>
      <c r="J260" s="6">
        <v>0.0</v>
      </c>
      <c r="L260" s="6">
        <v>0.0</v>
      </c>
      <c r="M260" s="6" t="s">
        <v>5774</v>
      </c>
      <c r="N260" s="6" t="s">
        <v>4880</v>
      </c>
      <c r="O260" s="6" t="s">
        <v>4880</v>
      </c>
    </row>
    <row r="261">
      <c r="A261" s="6" t="s">
        <v>5775</v>
      </c>
      <c r="B261" s="6" t="s">
        <v>5775</v>
      </c>
      <c r="C261" s="6" t="s">
        <v>5776</v>
      </c>
      <c r="D261" s="6">
        <v>263.0</v>
      </c>
      <c r="G261" s="6" t="s">
        <v>4874</v>
      </c>
      <c r="J261" s="6">
        <v>0.0</v>
      </c>
      <c r="L261" s="6">
        <v>0.0</v>
      </c>
      <c r="M261" s="6" t="s">
        <v>5777</v>
      </c>
      <c r="N261" s="6" t="s">
        <v>4880</v>
      </c>
      <c r="O261" s="6" t="s">
        <v>4880</v>
      </c>
    </row>
    <row r="262">
      <c r="A262" s="6" t="s">
        <v>5778</v>
      </c>
      <c r="B262" s="6" t="s">
        <v>5778</v>
      </c>
      <c r="C262" s="6" t="s">
        <v>5779</v>
      </c>
      <c r="D262" s="6">
        <v>264.0</v>
      </c>
      <c r="E262" s="6">
        <v>3.50183987500121E14</v>
      </c>
      <c r="F262" s="6" t="s">
        <v>5780</v>
      </c>
      <c r="G262" s="6" t="s">
        <v>4874</v>
      </c>
      <c r="J262" s="6">
        <v>0.0</v>
      </c>
      <c r="L262" s="6">
        <v>0.0</v>
      </c>
      <c r="M262" s="6" t="s">
        <v>5781</v>
      </c>
      <c r="N262" s="6" t="s">
        <v>4880</v>
      </c>
      <c r="O262" s="6" t="s">
        <v>4880</v>
      </c>
    </row>
    <row r="263">
      <c r="A263" s="6" t="s">
        <v>5782</v>
      </c>
      <c r="B263" s="6" t="s">
        <v>5782</v>
      </c>
      <c r="C263" s="6" t="s">
        <v>5783</v>
      </c>
      <c r="D263" s="6">
        <v>265.0</v>
      </c>
      <c r="E263" s="6">
        <v>3.50069704422501E14</v>
      </c>
      <c r="F263" s="6" t="s">
        <v>64</v>
      </c>
      <c r="G263" s="6" t="s">
        <v>4874</v>
      </c>
      <c r="J263" s="6">
        <v>0.0</v>
      </c>
      <c r="L263" s="6">
        <v>0.0</v>
      </c>
      <c r="M263" s="6" t="s">
        <v>5784</v>
      </c>
      <c r="N263" s="6" t="s">
        <v>4880</v>
      </c>
      <c r="O263" s="6" t="s">
        <v>4880</v>
      </c>
    </row>
    <row r="264">
      <c r="A264" s="6" t="s">
        <v>5785</v>
      </c>
      <c r="B264" s="6" t="s">
        <v>5785</v>
      </c>
      <c r="C264" s="6" t="s">
        <v>5786</v>
      </c>
      <c r="D264" s="6">
        <v>266.0</v>
      </c>
      <c r="E264" s="6">
        <v>3.51071524715196E14</v>
      </c>
      <c r="F264" s="6" t="s">
        <v>93</v>
      </c>
      <c r="G264" s="6" t="s">
        <v>4874</v>
      </c>
      <c r="J264" s="6">
        <v>0.0</v>
      </c>
      <c r="L264" s="6">
        <v>0.0</v>
      </c>
      <c r="M264" s="6" t="s">
        <v>5787</v>
      </c>
      <c r="N264" s="6" t="s">
        <v>4880</v>
      </c>
      <c r="O264" s="6" t="s">
        <v>4880</v>
      </c>
    </row>
    <row r="265">
      <c r="A265" s="6" t="s">
        <v>5788</v>
      </c>
      <c r="B265" s="6" t="s">
        <v>5788</v>
      </c>
      <c r="C265" s="6" t="s">
        <v>5789</v>
      </c>
      <c r="D265" s="6">
        <v>267.0</v>
      </c>
      <c r="E265" s="6">
        <v>3.59702375154869E14</v>
      </c>
      <c r="F265" s="6" t="s">
        <v>1391</v>
      </c>
      <c r="G265" s="6" t="s">
        <v>4874</v>
      </c>
      <c r="J265" s="6">
        <v>0.0</v>
      </c>
      <c r="L265" s="6">
        <v>0.0</v>
      </c>
      <c r="M265" s="6" t="s">
        <v>5790</v>
      </c>
      <c r="N265" s="6" t="s">
        <v>4880</v>
      </c>
      <c r="O265" s="6" t="s">
        <v>4880</v>
      </c>
    </row>
    <row r="266">
      <c r="A266" s="6" t="s">
        <v>5791</v>
      </c>
      <c r="B266" s="6" t="s">
        <v>5791</v>
      </c>
      <c r="C266" s="6" t="s">
        <v>5792</v>
      </c>
      <c r="D266" s="6">
        <v>268.0</v>
      </c>
      <c r="E266" s="6">
        <v>3.59035292273391E14</v>
      </c>
      <c r="F266" s="6" t="s">
        <v>202</v>
      </c>
      <c r="G266" s="6" t="s">
        <v>4874</v>
      </c>
      <c r="J266" s="6">
        <v>0.0</v>
      </c>
      <c r="L266" s="6">
        <v>0.0</v>
      </c>
      <c r="M266" s="6" t="s">
        <v>5793</v>
      </c>
      <c r="N266" s="6" t="s">
        <v>4880</v>
      </c>
      <c r="O266" s="6" t="s">
        <v>4880</v>
      </c>
    </row>
    <row r="267">
      <c r="A267" s="6" t="s">
        <v>5794</v>
      </c>
      <c r="B267" s="6" t="s">
        <v>5794</v>
      </c>
      <c r="C267" s="6" t="s">
        <v>5795</v>
      </c>
      <c r="D267" s="6">
        <v>269.0</v>
      </c>
      <c r="E267" s="6">
        <v>3.55883347687311E14</v>
      </c>
      <c r="F267" s="6" t="s">
        <v>5796</v>
      </c>
      <c r="G267" s="6" t="s">
        <v>4874</v>
      </c>
      <c r="J267" s="6">
        <v>0.0</v>
      </c>
      <c r="L267" s="6">
        <v>0.0</v>
      </c>
      <c r="M267" s="6" t="s">
        <v>5797</v>
      </c>
      <c r="N267" s="6" t="s">
        <v>4880</v>
      </c>
      <c r="O267" s="6" t="s">
        <v>4880</v>
      </c>
    </row>
    <row r="268">
      <c r="A268" s="6" t="s">
        <v>5798</v>
      </c>
      <c r="B268" s="6" t="s">
        <v>5798</v>
      </c>
      <c r="C268" s="6" t="s">
        <v>5799</v>
      </c>
      <c r="D268" s="6">
        <v>270.0</v>
      </c>
      <c r="E268" s="6">
        <v>3.53431651842023E14</v>
      </c>
      <c r="F268" s="6" t="s">
        <v>221</v>
      </c>
      <c r="G268" s="6" t="s">
        <v>4874</v>
      </c>
      <c r="J268" s="6">
        <v>0.0</v>
      </c>
      <c r="L268" s="6">
        <v>0.0</v>
      </c>
      <c r="M268" s="6" t="s">
        <v>5800</v>
      </c>
      <c r="N268" s="6" t="s">
        <v>4880</v>
      </c>
      <c r="O268" s="6" t="s">
        <v>4880</v>
      </c>
    </row>
    <row r="269">
      <c r="A269" s="6" t="s">
        <v>5801</v>
      </c>
      <c r="B269" s="6" t="s">
        <v>5801</v>
      </c>
      <c r="C269" s="6" t="s">
        <v>5802</v>
      </c>
      <c r="D269" s="6">
        <v>271.0</v>
      </c>
      <c r="E269" s="6">
        <v>3.57266099445187E14</v>
      </c>
      <c r="F269" s="6" t="s">
        <v>513</v>
      </c>
      <c r="G269" s="6" t="s">
        <v>4874</v>
      </c>
      <c r="J269" s="6">
        <v>0.0</v>
      </c>
      <c r="L269" s="6">
        <v>0.0</v>
      </c>
      <c r="M269" s="6" t="s">
        <v>5803</v>
      </c>
      <c r="N269" s="6" t="s">
        <v>4880</v>
      </c>
      <c r="O269" s="6" t="s">
        <v>4880</v>
      </c>
    </row>
    <row r="270">
      <c r="A270" s="6" t="s">
        <v>5804</v>
      </c>
      <c r="B270" s="6" t="s">
        <v>5804</v>
      </c>
      <c r="C270" s="6" t="s">
        <v>5805</v>
      </c>
      <c r="D270" s="6">
        <v>272.0</v>
      </c>
      <c r="E270" s="6">
        <v>3.50923383300943E14</v>
      </c>
      <c r="F270" s="6" t="s">
        <v>418</v>
      </c>
      <c r="G270" s="6" t="s">
        <v>4874</v>
      </c>
      <c r="J270" s="6">
        <v>0.0</v>
      </c>
      <c r="L270" s="6">
        <v>0.0</v>
      </c>
      <c r="M270" s="6" t="s">
        <v>5806</v>
      </c>
      <c r="N270" s="6" t="s">
        <v>4880</v>
      </c>
      <c r="O270" s="6" t="s">
        <v>4880</v>
      </c>
    </row>
    <row r="271">
      <c r="A271" s="6" t="s">
        <v>5807</v>
      </c>
      <c r="B271" s="6" t="s">
        <v>5807</v>
      </c>
      <c r="C271" s="6" t="s">
        <v>5808</v>
      </c>
      <c r="D271" s="6">
        <v>273.0</v>
      </c>
      <c r="E271" s="6">
        <v>3.56842119300858E14</v>
      </c>
      <c r="F271" s="6" t="s">
        <v>813</v>
      </c>
      <c r="G271" s="6" t="s">
        <v>4874</v>
      </c>
      <c r="J271" s="6">
        <v>0.0</v>
      </c>
      <c r="L271" s="6">
        <v>0.0</v>
      </c>
      <c r="M271" s="6" t="s">
        <v>5809</v>
      </c>
      <c r="N271" s="6" t="s">
        <v>4880</v>
      </c>
      <c r="O271" s="6" t="s">
        <v>4880</v>
      </c>
    </row>
    <row r="272">
      <c r="A272" s="6" t="s">
        <v>5810</v>
      </c>
      <c r="B272" s="6" t="s">
        <v>5810</v>
      </c>
      <c r="C272" s="6" t="s">
        <v>5811</v>
      </c>
      <c r="D272" s="6">
        <v>274.0</v>
      </c>
      <c r="E272" s="6">
        <v>3.59497080311579E14</v>
      </c>
      <c r="F272" s="6" t="s">
        <v>5812</v>
      </c>
      <c r="G272" s="6" t="s">
        <v>4874</v>
      </c>
      <c r="J272" s="6">
        <v>0.0</v>
      </c>
      <c r="L272" s="6">
        <v>0.0</v>
      </c>
      <c r="M272" s="6" t="s">
        <v>5813</v>
      </c>
      <c r="N272" s="6" t="s">
        <v>4880</v>
      </c>
      <c r="O272" s="6" t="s">
        <v>4880</v>
      </c>
    </row>
    <row r="273">
      <c r="A273" s="6" t="s">
        <v>5814</v>
      </c>
      <c r="B273" s="6" t="s">
        <v>5814</v>
      </c>
      <c r="C273" s="6" t="s">
        <v>5815</v>
      </c>
      <c r="D273" s="6">
        <v>275.0</v>
      </c>
      <c r="E273" s="6">
        <v>3.5647010599722E14</v>
      </c>
      <c r="G273" s="6" t="s">
        <v>4874</v>
      </c>
      <c r="J273" s="6">
        <v>0.0</v>
      </c>
      <c r="L273" s="6">
        <v>0.0</v>
      </c>
      <c r="M273" s="6" t="s">
        <v>5816</v>
      </c>
      <c r="N273" s="6" t="s">
        <v>4880</v>
      </c>
      <c r="O273" s="6" t="s">
        <v>4880</v>
      </c>
    </row>
    <row r="274">
      <c r="A274" s="6" t="s">
        <v>5817</v>
      </c>
      <c r="B274" s="6" t="s">
        <v>5817</v>
      </c>
      <c r="C274" s="6" t="s">
        <v>5818</v>
      </c>
      <c r="D274" s="6">
        <v>276.0</v>
      </c>
      <c r="E274" s="6">
        <v>3.56840111699814E14</v>
      </c>
      <c r="G274" s="6" t="s">
        <v>4874</v>
      </c>
      <c r="J274" s="6">
        <v>0.0</v>
      </c>
      <c r="L274" s="6">
        <v>0.0</v>
      </c>
      <c r="M274" s="6" t="s">
        <v>5819</v>
      </c>
      <c r="N274" s="6" t="s">
        <v>4880</v>
      </c>
      <c r="O274" s="6" t="s">
        <v>4880</v>
      </c>
    </row>
    <row r="275">
      <c r="A275" s="6" t="s">
        <v>5820</v>
      </c>
      <c r="B275" s="6" t="s">
        <v>5820</v>
      </c>
      <c r="C275" s="6" t="s">
        <v>5821</v>
      </c>
      <c r="D275" s="6">
        <v>277.0</v>
      </c>
      <c r="E275" s="6">
        <v>3.56841111235385E14</v>
      </c>
      <c r="F275" s="6" t="s">
        <v>715</v>
      </c>
      <c r="G275" s="6" t="s">
        <v>4874</v>
      </c>
      <c r="J275" s="6">
        <v>0.0</v>
      </c>
      <c r="L275" s="6">
        <v>0.0</v>
      </c>
      <c r="M275" s="6" t="s">
        <v>5822</v>
      </c>
      <c r="N275" s="6" t="s">
        <v>4880</v>
      </c>
      <c r="O275" s="6" t="s">
        <v>4880</v>
      </c>
    </row>
    <row r="276">
      <c r="A276" s="6" t="s">
        <v>5823</v>
      </c>
      <c r="B276" s="6" t="s">
        <v>5823</v>
      </c>
      <c r="C276" s="6" t="s">
        <v>5824</v>
      </c>
      <c r="D276" s="6">
        <v>278.0</v>
      </c>
      <c r="E276" s="6">
        <v>3.52373266174783E14</v>
      </c>
      <c r="G276" s="6" t="s">
        <v>4874</v>
      </c>
      <c r="J276" s="6">
        <v>0.0</v>
      </c>
      <c r="L276" s="6">
        <v>0.0</v>
      </c>
      <c r="M276" s="6" t="s">
        <v>5825</v>
      </c>
      <c r="N276" s="6" t="s">
        <v>4880</v>
      </c>
      <c r="O276" s="6" t="s">
        <v>4880</v>
      </c>
    </row>
    <row r="277">
      <c r="A277" s="6" t="s">
        <v>5826</v>
      </c>
      <c r="B277" s="6" t="s">
        <v>5826</v>
      </c>
      <c r="C277" s="6" t="s">
        <v>5827</v>
      </c>
      <c r="D277" s="6">
        <v>279.0</v>
      </c>
      <c r="E277" s="6">
        <v>3.53247108602988E14</v>
      </c>
      <c r="F277" s="6" t="s">
        <v>5828</v>
      </c>
      <c r="G277" s="6" t="s">
        <v>4874</v>
      </c>
      <c r="J277" s="6">
        <v>0.0</v>
      </c>
      <c r="L277" s="6">
        <v>0.0</v>
      </c>
      <c r="M277" s="6" t="s">
        <v>5829</v>
      </c>
      <c r="N277" s="6" t="s">
        <v>4880</v>
      </c>
      <c r="O277" s="6" t="s">
        <v>4880</v>
      </c>
    </row>
    <row r="278">
      <c r="A278" s="6" t="s">
        <v>5830</v>
      </c>
      <c r="B278" s="6" t="s">
        <v>5830</v>
      </c>
      <c r="C278" s="6" t="s">
        <v>5831</v>
      </c>
      <c r="D278" s="6">
        <v>280.0</v>
      </c>
      <c r="E278" s="6">
        <v>3.55300183605562E14</v>
      </c>
      <c r="F278" s="6" t="s">
        <v>18</v>
      </c>
      <c r="G278" s="6" t="s">
        <v>4874</v>
      </c>
      <c r="J278" s="6">
        <v>0.0</v>
      </c>
      <c r="L278" s="6">
        <v>0.0</v>
      </c>
      <c r="M278" s="6" t="s">
        <v>5832</v>
      </c>
      <c r="N278" s="6" t="s">
        <v>4880</v>
      </c>
      <c r="O278" s="6" t="s">
        <v>4880</v>
      </c>
    </row>
    <row r="279">
      <c r="A279" s="6" t="s">
        <v>5833</v>
      </c>
      <c r="B279" s="6" t="s">
        <v>5833</v>
      </c>
      <c r="C279" s="6" t="s">
        <v>5834</v>
      </c>
      <c r="D279" s="6">
        <v>281.0</v>
      </c>
      <c r="E279" s="6" t="s">
        <v>5835</v>
      </c>
      <c r="G279" s="6" t="s">
        <v>4874</v>
      </c>
      <c r="J279" s="6">
        <v>0.0</v>
      </c>
      <c r="L279" s="6">
        <v>0.0</v>
      </c>
      <c r="M279" s="6" t="s">
        <v>5836</v>
      </c>
      <c r="N279" s="6" t="s">
        <v>4880</v>
      </c>
      <c r="O279" s="6" t="s">
        <v>4880</v>
      </c>
    </row>
    <row r="280">
      <c r="A280" s="6" t="s">
        <v>5837</v>
      </c>
      <c r="B280" s="6" t="s">
        <v>5837</v>
      </c>
      <c r="C280" s="6" t="s">
        <v>5838</v>
      </c>
      <c r="D280" s="6">
        <v>282.0</v>
      </c>
      <c r="E280" s="6">
        <v>3.54321296051388E14</v>
      </c>
      <c r="F280" s="6" t="s">
        <v>5839</v>
      </c>
      <c r="G280" s="6" t="s">
        <v>4874</v>
      </c>
      <c r="J280" s="6">
        <v>0.0</v>
      </c>
      <c r="L280" s="6">
        <v>0.0</v>
      </c>
      <c r="M280" s="6" t="s">
        <v>5840</v>
      </c>
      <c r="N280" s="6" t="s">
        <v>4880</v>
      </c>
      <c r="O280" s="6" t="s">
        <v>4880</v>
      </c>
    </row>
    <row r="281">
      <c r="A281" s="6" t="s">
        <v>5841</v>
      </c>
      <c r="B281" s="6" t="s">
        <v>5841</v>
      </c>
      <c r="C281" s="6" t="s">
        <v>5842</v>
      </c>
      <c r="D281" s="6">
        <v>283.0</v>
      </c>
      <c r="E281" s="6">
        <v>3.5283240058032E14</v>
      </c>
      <c r="F281" s="6" t="s">
        <v>43</v>
      </c>
      <c r="G281" s="6" t="s">
        <v>4874</v>
      </c>
      <c r="J281" s="6">
        <v>0.0</v>
      </c>
      <c r="L281" s="6">
        <v>0.0</v>
      </c>
      <c r="M281" s="6" t="s">
        <v>5843</v>
      </c>
      <c r="N281" s="6" t="s">
        <v>4880</v>
      </c>
      <c r="O281" s="6" t="s">
        <v>4880</v>
      </c>
    </row>
    <row r="282">
      <c r="A282" s="6" t="s">
        <v>5844</v>
      </c>
      <c r="B282" s="6" t="s">
        <v>5844</v>
      </c>
      <c r="C282" s="6" t="s">
        <v>5845</v>
      </c>
      <c r="D282" s="6">
        <v>284.0</v>
      </c>
      <c r="E282" s="6">
        <v>3.54136651263562E14</v>
      </c>
      <c r="F282" s="6" t="s">
        <v>605</v>
      </c>
      <c r="G282" s="6" t="s">
        <v>4874</v>
      </c>
      <c r="J282" s="6">
        <v>0.0</v>
      </c>
      <c r="L282" s="6">
        <v>0.0</v>
      </c>
      <c r="M282" s="6" t="s">
        <v>5846</v>
      </c>
      <c r="N282" s="6" t="s">
        <v>4880</v>
      </c>
      <c r="O282" s="6" t="s">
        <v>4880</v>
      </c>
    </row>
    <row r="283">
      <c r="A283" s="6" t="s">
        <v>5847</v>
      </c>
      <c r="B283" s="6" t="s">
        <v>5847</v>
      </c>
      <c r="C283" s="6" t="s">
        <v>5848</v>
      </c>
      <c r="D283" s="6">
        <v>285.0</v>
      </c>
      <c r="E283" s="6">
        <v>3.58302111565956E14</v>
      </c>
      <c r="F283" s="6" t="s">
        <v>500</v>
      </c>
      <c r="G283" s="6" t="s">
        <v>4874</v>
      </c>
      <c r="J283" s="6">
        <v>0.0</v>
      </c>
      <c r="L283" s="6">
        <v>0.0</v>
      </c>
      <c r="M283" s="6" t="s">
        <v>5849</v>
      </c>
      <c r="N283" s="6" t="s">
        <v>4880</v>
      </c>
      <c r="O283" s="6" t="s">
        <v>4880</v>
      </c>
    </row>
    <row r="284">
      <c r="A284" s="6" t="s">
        <v>5850</v>
      </c>
      <c r="B284" s="6" t="s">
        <v>5850</v>
      </c>
      <c r="C284" s="6" t="s">
        <v>5851</v>
      </c>
      <c r="D284" s="6">
        <v>286.0</v>
      </c>
      <c r="E284" s="6" t="s">
        <v>515</v>
      </c>
      <c r="F284" s="6" t="s">
        <v>513</v>
      </c>
      <c r="G284" s="6" t="s">
        <v>4874</v>
      </c>
      <c r="J284" s="6">
        <v>0.0</v>
      </c>
      <c r="L284" s="6">
        <v>0.0</v>
      </c>
      <c r="M284" s="6" t="s">
        <v>5852</v>
      </c>
      <c r="N284" s="6" t="s">
        <v>4880</v>
      </c>
      <c r="O284" s="6" t="s">
        <v>4880</v>
      </c>
    </row>
    <row r="285">
      <c r="A285" s="6" t="s">
        <v>5853</v>
      </c>
      <c r="B285" s="6" t="s">
        <v>5853</v>
      </c>
      <c r="C285" s="6" t="s">
        <v>5854</v>
      </c>
      <c r="D285" s="6">
        <v>287.0</v>
      </c>
      <c r="E285" s="6">
        <v>3.53497851214438E14</v>
      </c>
      <c r="F285" s="6" t="s">
        <v>513</v>
      </c>
      <c r="G285" s="6" t="s">
        <v>5700</v>
      </c>
      <c r="J285" s="6">
        <v>0.0</v>
      </c>
      <c r="L285" s="6">
        <v>0.0</v>
      </c>
      <c r="M285" s="6" t="s">
        <v>5855</v>
      </c>
      <c r="N285" s="6" t="s">
        <v>4880</v>
      </c>
      <c r="O285" s="6" t="s">
        <v>4880</v>
      </c>
    </row>
    <row r="286">
      <c r="A286" s="6" t="s">
        <v>5856</v>
      </c>
      <c r="B286" s="6" t="s">
        <v>5856</v>
      </c>
      <c r="C286" s="6" t="s">
        <v>5857</v>
      </c>
      <c r="D286" s="6">
        <v>288.0</v>
      </c>
      <c r="E286" s="6">
        <v>3.52678436701855E14</v>
      </c>
      <c r="F286" s="6" t="s">
        <v>5858</v>
      </c>
      <c r="G286" s="6" t="s">
        <v>4874</v>
      </c>
      <c r="J286" s="6">
        <v>0.0</v>
      </c>
      <c r="L286" s="6">
        <v>0.0</v>
      </c>
      <c r="M286" s="6" t="s">
        <v>5859</v>
      </c>
      <c r="N286" s="6" t="s">
        <v>4880</v>
      </c>
      <c r="O286" s="6" t="s">
        <v>4880</v>
      </c>
    </row>
    <row r="287">
      <c r="A287" s="6" t="s">
        <v>5860</v>
      </c>
      <c r="B287" s="6" t="s">
        <v>5860</v>
      </c>
      <c r="C287" s="6" t="s">
        <v>5861</v>
      </c>
      <c r="D287" s="6">
        <v>289.0</v>
      </c>
      <c r="E287" s="6">
        <v>3.57247590767121E14</v>
      </c>
      <c r="F287" s="6" t="s">
        <v>442</v>
      </c>
      <c r="G287" s="6" t="s">
        <v>4874</v>
      </c>
      <c r="J287" s="6">
        <v>0.0</v>
      </c>
      <c r="L287" s="6">
        <v>0.0</v>
      </c>
      <c r="M287" s="6" t="s">
        <v>5862</v>
      </c>
      <c r="N287" s="6" t="s">
        <v>4880</v>
      </c>
      <c r="O287" s="6" t="s">
        <v>4880</v>
      </c>
    </row>
    <row r="288">
      <c r="A288" s="6" t="s">
        <v>5863</v>
      </c>
      <c r="B288" s="6" t="s">
        <v>5863</v>
      </c>
      <c r="C288" s="6" t="s">
        <v>5864</v>
      </c>
      <c r="D288" s="6">
        <v>290.0</v>
      </c>
      <c r="E288" s="6">
        <v>3.5160572245385E14</v>
      </c>
      <c r="F288" s="6" t="s">
        <v>600</v>
      </c>
      <c r="G288" s="6" t="s">
        <v>4874</v>
      </c>
      <c r="J288" s="6">
        <v>0.0</v>
      </c>
      <c r="L288" s="6">
        <v>0.0</v>
      </c>
      <c r="M288" s="6" t="s">
        <v>5865</v>
      </c>
      <c r="N288" s="6" t="s">
        <v>4880</v>
      </c>
      <c r="O288" s="6" t="s">
        <v>4880</v>
      </c>
    </row>
    <row r="289">
      <c r="A289" s="6" t="s">
        <v>5866</v>
      </c>
      <c r="B289" s="6" t="s">
        <v>5866</v>
      </c>
      <c r="C289" s="6" t="s">
        <v>5867</v>
      </c>
      <c r="D289" s="6">
        <v>291.0</v>
      </c>
      <c r="E289" s="6">
        <v>3.51055803413102E14</v>
      </c>
      <c r="F289" s="6" t="s">
        <v>306</v>
      </c>
      <c r="G289" s="6" t="s">
        <v>4874</v>
      </c>
      <c r="J289" s="6">
        <v>0.0</v>
      </c>
      <c r="L289" s="6">
        <v>0.0</v>
      </c>
      <c r="M289" s="6" t="s">
        <v>5868</v>
      </c>
      <c r="N289" s="6" t="s">
        <v>4880</v>
      </c>
      <c r="O289" s="6" t="s">
        <v>4880</v>
      </c>
    </row>
    <row r="290">
      <c r="A290" s="6" t="s">
        <v>5869</v>
      </c>
      <c r="B290" s="6" t="s">
        <v>5869</v>
      </c>
      <c r="C290" s="6" t="s">
        <v>5870</v>
      </c>
      <c r="D290" s="6">
        <v>292.0</v>
      </c>
      <c r="E290" s="6">
        <v>3.54230916172369E14</v>
      </c>
      <c r="F290" s="6" t="s">
        <v>5871</v>
      </c>
      <c r="G290" s="6" t="s">
        <v>4874</v>
      </c>
      <c r="J290" s="6">
        <v>0.0</v>
      </c>
      <c r="L290" s="6">
        <v>0.0</v>
      </c>
      <c r="M290" s="6" t="s">
        <v>5872</v>
      </c>
      <c r="N290" s="6" t="s">
        <v>4880</v>
      </c>
      <c r="O290" s="6" t="s">
        <v>4880</v>
      </c>
    </row>
    <row r="291">
      <c r="A291" s="6" t="s">
        <v>5873</v>
      </c>
      <c r="B291" s="6" t="s">
        <v>5873</v>
      </c>
      <c r="C291" s="6" t="s">
        <v>5874</v>
      </c>
      <c r="D291" s="6">
        <v>293.0</v>
      </c>
      <c r="E291" s="6">
        <v>3.52433809356311E14</v>
      </c>
      <c r="F291" s="6" t="s">
        <v>644</v>
      </c>
      <c r="G291" s="6" t="s">
        <v>4874</v>
      </c>
      <c r="J291" s="6">
        <v>0.0</v>
      </c>
      <c r="L291" s="6">
        <v>0.0</v>
      </c>
      <c r="M291" s="6" t="s">
        <v>5875</v>
      </c>
      <c r="N291" s="6" t="s">
        <v>4880</v>
      </c>
      <c r="O291" s="6" t="s">
        <v>4880</v>
      </c>
    </row>
    <row r="292">
      <c r="A292" s="6" t="s">
        <v>5876</v>
      </c>
      <c r="B292" s="6" t="s">
        <v>5876</v>
      </c>
      <c r="C292" s="6" t="s">
        <v>5877</v>
      </c>
      <c r="D292" s="6">
        <v>294.0</v>
      </c>
      <c r="E292" s="6">
        <v>3.53237107467616E14</v>
      </c>
      <c r="F292" s="6" t="s">
        <v>5878</v>
      </c>
      <c r="G292" s="6" t="s">
        <v>4874</v>
      </c>
      <c r="J292" s="6">
        <v>0.0</v>
      </c>
      <c r="L292" s="6">
        <v>0.0</v>
      </c>
      <c r="M292" s="6" t="s">
        <v>5879</v>
      </c>
      <c r="N292" s="6" t="s">
        <v>4880</v>
      </c>
      <c r="O292" s="6" t="s">
        <v>4880</v>
      </c>
    </row>
    <row r="293">
      <c r="A293" s="6" t="s">
        <v>5880</v>
      </c>
      <c r="B293" s="6" t="s">
        <v>5880</v>
      </c>
      <c r="C293" s="6" t="s">
        <v>5881</v>
      </c>
      <c r="D293" s="6">
        <v>295.0</v>
      </c>
      <c r="E293" s="6">
        <v>3.53235102246621E14</v>
      </c>
      <c r="F293" s="6" t="s">
        <v>5882</v>
      </c>
      <c r="G293" s="6" t="s">
        <v>4874</v>
      </c>
      <c r="J293" s="6">
        <v>0.0</v>
      </c>
      <c r="L293" s="6">
        <v>0.0</v>
      </c>
      <c r="M293" s="6" t="s">
        <v>5883</v>
      </c>
      <c r="N293" s="6" t="s">
        <v>4880</v>
      </c>
      <c r="O293" s="6" t="s">
        <v>4880</v>
      </c>
    </row>
    <row r="294">
      <c r="A294" s="6" t="s">
        <v>5884</v>
      </c>
      <c r="B294" s="6" t="s">
        <v>5884</v>
      </c>
      <c r="C294" s="6" t="s">
        <v>5885</v>
      </c>
      <c r="D294" s="6">
        <v>296.0</v>
      </c>
      <c r="E294" s="6">
        <v>3.54178502696301E14</v>
      </c>
      <c r="G294" s="6" t="s">
        <v>4874</v>
      </c>
      <c r="J294" s="6">
        <v>0.0</v>
      </c>
      <c r="L294" s="6">
        <v>0.0</v>
      </c>
      <c r="M294" s="6" t="s">
        <v>5886</v>
      </c>
      <c r="N294" s="6" t="s">
        <v>4880</v>
      </c>
      <c r="O294" s="6" t="s">
        <v>4880</v>
      </c>
    </row>
    <row r="295">
      <c r="A295" s="6" t="s">
        <v>5887</v>
      </c>
      <c r="B295" s="6" t="s">
        <v>5887</v>
      </c>
      <c r="C295" s="6" t="s">
        <v>5888</v>
      </c>
      <c r="D295" s="6">
        <v>297.0</v>
      </c>
      <c r="E295" s="6">
        <v>3.50465827999914E14</v>
      </c>
      <c r="F295" s="6" t="s">
        <v>5889</v>
      </c>
      <c r="G295" s="6" t="s">
        <v>4874</v>
      </c>
      <c r="J295" s="6">
        <v>0.0</v>
      </c>
      <c r="L295" s="6">
        <v>0.0</v>
      </c>
      <c r="M295" s="6" t="s">
        <v>5890</v>
      </c>
      <c r="N295" s="6" t="s">
        <v>4880</v>
      </c>
      <c r="O295" s="6" t="s">
        <v>4880</v>
      </c>
    </row>
    <row r="296">
      <c r="A296" s="6" t="s">
        <v>5891</v>
      </c>
      <c r="B296" s="6" t="s">
        <v>5891</v>
      </c>
      <c r="C296" s="6" t="s">
        <v>5892</v>
      </c>
      <c r="D296" s="6">
        <v>298.0</v>
      </c>
      <c r="E296" s="6">
        <v>3.52676522059527E14</v>
      </c>
      <c r="F296" s="6" t="s">
        <v>89</v>
      </c>
      <c r="G296" s="6" t="s">
        <v>4874</v>
      </c>
      <c r="J296" s="6">
        <v>0.0</v>
      </c>
      <c r="L296" s="6">
        <v>0.0</v>
      </c>
      <c r="M296" s="6" t="s">
        <v>5893</v>
      </c>
      <c r="N296" s="6" t="s">
        <v>4880</v>
      </c>
      <c r="O296" s="6" t="s">
        <v>4880</v>
      </c>
    </row>
    <row r="297">
      <c r="A297" s="6" t="s">
        <v>5894</v>
      </c>
      <c r="B297" s="6" t="s">
        <v>5894</v>
      </c>
      <c r="C297" s="6" t="s">
        <v>5895</v>
      </c>
      <c r="D297" s="6">
        <v>299.0</v>
      </c>
      <c r="E297" s="6">
        <v>3.57773245354015E14</v>
      </c>
      <c r="F297" s="6" t="s">
        <v>5896</v>
      </c>
      <c r="G297" s="6" t="s">
        <v>4874</v>
      </c>
      <c r="J297" s="6">
        <v>0.0</v>
      </c>
      <c r="L297" s="6">
        <v>0.0</v>
      </c>
      <c r="M297" s="6" t="s">
        <v>5897</v>
      </c>
      <c r="N297" s="6" t="s">
        <v>4880</v>
      </c>
      <c r="O297" s="6" t="s">
        <v>4880</v>
      </c>
    </row>
    <row r="298">
      <c r="A298" s="6" t="s">
        <v>5898</v>
      </c>
      <c r="B298" s="6" t="s">
        <v>5898</v>
      </c>
      <c r="C298" s="6" t="s">
        <v>5899</v>
      </c>
      <c r="D298" s="6">
        <v>300.0</v>
      </c>
      <c r="E298" s="6">
        <v>3.53240103451972E14</v>
      </c>
      <c r="F298" s="6" t="s">
        <v>5333</v>
      </c>
      <c r="G298" s="6" t="s">
        <v>4874</v>
      </c>
      <c r="J298" s="6">
        <v>0.0</v>
      </c>
      <c r="L298" s="6">
        <v>0.0</v>
      </c>
      <c r="M298" s="6" t="s">
        <v>5900</v>
      </c>
      <c r="N298" s="6" t="s">
        <v>4880</v>
      </c>
      <c r="O298" s="6" t="s">
        <v>4880</v>
      </c>
    </row>
    <row r="299">
      <c r="A299" s="6" t="s">
        <v>5901</v>
      </c>
      <c r="B299" s="6" t="s">
        <v>5901</v>
      </c>
      <c r="C299" s="6" t="s">
        <v>5902</v>
      </c>
      <c r="D299" s="6">
        <v>301.0</v>
      </c>
      <c r="E299" s="6">
        <v>3.544232352157E14</v>
      </c>
      <c r="F299" s="6" t="s">
        <v>715</v>
      </c>
      <c r="G299" s="6" t="s">
        <v>4874</v>
      </c>
      <c r="J299" s="6">
        <v>0.0</v>
      </c>
      <c r="L299" s="6">
        <v>0.0</v>
      </c>
      <c r="M299" s="6" t="s">
        <v>5903</v>
      </c>
      <c r="N299" s="6" t="s">
        <v>4880</v>
      </c>
      <c r="O299" s="6" t="s">
        <v>4880</v>
      </c>
    </row>
    <row r="300">
      <c r="A300" s="6" t="s">
        <v>5904</v>
      </c>
      <c r="B300" s="6" t="s">
        <v>5904</v>
      </c>
      <c r="C300" s="6" t="s">
        <v>5905</v>
      </c>
      <c r="D300" s="6">
        <v>302.0</v>
      </c>
      <c r="E300" s="6">
        <v>3.56848113696837E14</v>
      </c>
      <c r="F300" s="6" t="s">
        <v>5906</v>
      </c>
      <c r="G300" s="6" t="s">
        <v>4874</v>
      </c>
      <c r="J300" s="6">
        <v>0.0</v>
      </c>
      <c r="L300" s="6">
        <v>0.0</v>
      </c>
      <c r="M300" s="6" t="s">
        <v>5907</v>
      </c>
      <c r="N300" s="6" t="s">
        <v>4880</v>
      </c>
      <c r="O300" s="6" t="s">
        <v>4880</v>
      </c>
    </row>
    <row r="301">
      <c r="A301" s="6" t="s">
        <v>5908</v>
      </c>
      <c r="B301" s="6" t="s">
        <v>5908</v>
      </c>
      <c r="C301" s="6" t="s">
        <v>5909</v>
      </c>
      <c r="D301" s="6">
        <v>303.0</v>
      </c>
      <c r="E301" s="6">
        <v>3.55361727018118E14</v>
      </c>
      <c r="F301" s="6" t="s">
        <v>5871</v>
      </c>
      <c r="G301" s="6" t="s">
        <v>4874</v>
      </c>
      <c r="J301" s="6">
        <v>0.0</v>
      </c>
      <c r="L301" s="6">
        <v>0.0</v>
      </c>
      <c r="M301" s="6" t="s">
        <v>5910</v>
      </c>
      <c r="N301" s="6" t="s">
        <v>4880</v>
      </c>
      <c r="O301" s="6" t="s">
        <v>4880</v>
      </c>
    </row>
    <row r="302">
      <c r="A302" s="6" t="s">
        <v>5911</v>
      </c>
      <c r="B302" s="6" t="s">
        <v>5911</v>
      </c>
      <c r="C302" s="6" t="s">
        <v>5912</v>
      </c>
      <c r="D302" s="6">
        <v>304.0</v>
      </c>
      <c r="E302" s="6">
        <v>3.58625099111231E14</v>
      </c>
      <c r="F302" s="6" t="s">
        <v>763</v>
      </c>
      <c r="G302" s="6" t="s">
        <v>4874</v>
      </c>
      <c r="J302" s="6">
        <v>0.0</v>
      </c>
      <c r="L302" s="6">
        <v>0.0</v>
      </c>
      <c r="M302" s="6" t="s">
        <v>5913</v>
      </c>
      <c r="N302" s="6" t="s">
        <v>4880</v>
      </c>
      <c r="O302" s="6" t="s">
        <v>4880</v>
      </c>
    </row>
    <row r="303">
      <c r="A303" s="6" t="s">
        <v>5914</v>
      </c>
      <c r="B303" s="6" t="s">
        <v>5914</v>
      </c>
      <c r="C303" s="6" t="s">
        <v>5915</v>
      </c>
      <c r="D303" s="6">
        <v>305.0</v>
      </c>
      <c r="E303" s="6">
        <v>3.5398010756425E14</v>
      </c>
      <c r="F303" s="6" t="s">
        <v>788</v>
      </c>
      <c r="G303" s="6" t="s">
        <v>4874</v>
      </c>
      <c r="J303" s="6">
        <v>0.0</v>
      </c>
      <c r="L303" s="6">
        <v>0.0</v>
      </c>
      <c r="M303" s="6" t="s">
        <v>5916</v>
      </c>
      <c r="N303" s="6" t="s">
        <v>4880</v>
      </c>
      <c r="O303" s="6" t="s">
        <v>4880</v>
      </c>
    </row>
    <row r="304">
      <c r="A304" s="6" t="s">
        <v>5917</v>
      </c>
      <c r="B304" s="6" t="s">
        <v>5917</v>
      </c>
      <c r="C304" s="6" t="s">
        <v>5918</v>
      </c>
      <c r="D304" s="6">
        <v>306.0</v>
      </c>
      <c r="E304" s="6">
        <v>3.53730795949093E14</v>
      </c>
      <c r="F304" s="6" t="s">
        <v>60</v>
      </c>
      <c r="G304" s="6" t="s">
        <v>4874</v>
      </c>
      <c r="J304" s="6">
        <v>0.0</v>
      </c>
      <c r="L304" s="6">
        <v>0.0</v>
      </c>
      <c r="M304" s="6" t="s">
        <v>5919</v>
      </c>
      <c r="N304" s="6" t="s">
        <v>4880</v>
      </c>
      <c r="O304" s="6" t="s">
        <v>4880</v>
      </c>
    </row>
    <row r="305">
      <c r="A305" s="6" t="s">
        <v>5920</v>
      </c>
      <c r="B305" s="6" t="s">
        <v>5920</v>
      </c>
      <c r="C305" s="6" t="s">
        <v>5921</v>
      </c>
      <c r="D305" s="6">
        <v>307.0</v>
      </c>
      <c r="E305" s="6">
        <v>3.50340252616483E14</v>
      </c>
      <c r="F305" s="6" t="s">
        <v>5922</v>
      </c>
      <c r="G305" s="6" t="s">
        <v>4874</v>
      </c>
      <c r="J305" s="6">
        <v>0.0</v>
      </c>
      <c r="L305" s="6">
        <v>0.0</v>
      </c>
      <c r="M305" s="6" t="s">
        <v>5923</v>
      </c>
      <c r="N305" s="6" t="s">
        <v>4880</v>
      </c>
      <c r="O305" s="6" t="s">
        <v>4880</v>
      </c>
    </row>
    <row r="306">
      <c r="A306" s="6" t="s">
        <v>5924</v>
      </c>
      <c r="B306" s="6" t="s">
        <v>5924</v>
      </c>
      <c r="C306" s="6" t="s">
        <v>5925</v>
      </c>
      <c r="D306" s="6">
        <v>308.0</v>
      </c>
      <c r="E306" s="6">
        <v>3.54276354227868E14</v>
      </c>
      <c r="F306" s="6" t="s">
        <v>23</v>
      </c>
      <c r="G306" s="6" t="s">
        <v>4874</v>
      </c>
      <c r="J306" s="6">
        <v>0.0</v>
      </c>
      <c r="L306" s="6">
        <v>0.0</v>
      </c>
      <c r="M306" s="6" t="s">
        <v>5926</v>
      </c>
      <c r="N306" s="6" t="s">
        <v>4880</v>
      </c>
      <c r="O306" s="6" t="s">
        <v>4880</v>
      </c>
    </row>
    <row r="307">
      <c r="A307" s="6" t="s">
        <v>5927</v>
      </c>
      <c r="B307" s="6" t="s">
        <v>5927</v>
      </c>
      <c r="C307" s="6" t="s">
        <v>5928</v>
      </c>
      <c r="D307" s="6">
        <v>309.0</v>
      </c>
      <c r="E307" s="6">
        <v>3.55660520873581E14</v>
      </c>
      <c r="F307" s="6" t="s">
        <v>820</v>
      </c>
      <c r="G307" s="6" t="s">
        <v>4874</v>
      </c>
      <c r="J307" s="6">
        <v>0.0</v>
      </c>
      <c r="L307" s="6">
        <v>0.0</v>
      </c>
      <c r="M307" s="6" t="s">
        <v>5929</v>
      </c>
      <c r="N307" s="6" t="s">
        <v>4880</v>
      </c>
      <c r="O307" s="6" t="s">
        <v>4880</v>
      </c>
    </row>
    <row r="308">
      <c r="A308" s="6" t="s">
        <v>5930</v>
      </c>
      <c r="B308" s="6" t="s">
        <v>5930</v>
      </c>
      <c r="C308" s="6" t="s">
        <v>5931</v>
      </c>
      <c r="D308" s="6">
        <v>310.0</v>
      </c>
      <c r="E308" s="6">
        <v>3.54230911519598E14</v>
      </c>
      <c r="F308" s="6" t="s">
        <v>5871</v>
      </c>
      <c r="G308" s="6" t="s">
        <v>4874</v>
      </c>
      <c r="J308" s="6">
        <v>0.0</v>
      </c>
      <c r="L308" s="6">
        <v>0.0</v>
      </c>
      <c r="M308" s="6" t="s">
        <v>5932</v>
      </c>
      <c r="N308" s="6" t="s">
        <v>4880</v>
      </c>
      <c r="O308" s="6" t="s">
        <v>4880</v>
      </c>
    </row>
    <row r="309">
      <c r="A309" s="6" t="s">
        <v>5933</v>
      </c>
      <c r="B309" s="6" t="s">
        <v>5933</v>
      </c>
      <c r="C309" s="6" t="s">
        <v>5934</v>
      </c>
      <c r="D309" s="6">
        <v>311.0</v>
      </c>
      <c r="E309" s="6">
        <v>3.54004395226065E14</v>
      </c>
      <c r="F309" s="6" t="s">
        <v>70</v>
      </c>
      <c r="G309" s="6" t="s">
        <v>4874</v>
      </c>
      <c r="J309" s="6">
        <v>0.0</v>
      </c>
      <c r="L309" s="6">
        <v>0.0</v>
      </c>
      <c r="M309" s="6" t="s">
        <v>5935</v>
      </c>
      <c r="N309" s="6" t="s">
        <v>4880</v>
      </c>
      <c r="O309" s="6" t="s">
        <v>4880</v>
      </c>
    </row>
    <row r="310">
      <c r="A310" s="6" t="s">
        <v>5936</v>
      </c>
      <c r="B310" s="6" t="s">
        <v>5936</v>
      </c>
      <c r="C310" s="6" t="s">
        <v>5937</v>
      </c>
      <c r="D310" s="6">
        <v>312.0</v>
      </c>
      <c r="E310" s="6">
        <v>3.53075116116653E14</v>
      </c>
      <c r="F310" s="6" t="s">
        <v>358</v>
      </c>
      <c r="G310" s="6" t="s">
        <v>4874</v>
      </c>
      <c r="J310" s="6">
        <v>0.0</v>
      </c>
      <c r="L310" s="6">
        <v>0.0</v>
      </c>
      <c r="M310" s="6" t="s">
        <v>5938</v>
      </c>
      <c r="N310" s="6" t="s">
        <v>4880</v>
      </c>
      <c r="O310" s="6" t="s">
        <v>4880</v>
      </c>
    </row>
    <row r="311">
      <c r="A311" s="6" t="s">
        <v>5939</v>
      </c>
      <c r="B311" s="6" t="s">
        <v>5939</v>
      </c>
      <c r="C311" s="6" t="s">
        <v>5940</v>
      </c>
      <c r="D311" s="6">
        <v>313.0</v>
      </c>
      <c r="E311" s="6">
        <v>3.50636270816918E14</v>
      </c>
      <c r="F311" s="6" t="s">
        <v>911</v>
      </c>
      <c r="G311" s="6" t="s">
        <v>4874</v>
      </c>
      <c r="J311" s="6">
        <v>0.0</v>
      </c>
      <c r="L311" s="6">
        <v>0.0</v>
      </c>
      <c r="M311" s="6" t="s">
        <v>5941</v>
      </c>
      <c r="N311" s="6" t="s">
        <v>4880</v>
      </c>
      <c r="O311" s="6" t="s">
        <v>4880</v>
      </c>
    </row>
    <row r="312">
      <c r="A312" s="6" t="s">
        <v>5942</v>
      </c>
      <c r="B312" s="6" t="s">
        <v>5942</v>
      </c>
      <c r="C312" s="6" t="s">
        <v>5943</v>
      </c>
      <c r="D312" s="6">
        <v>314.0</v>
      </c>
      <c r="E312" s="6">
        <v>3.55338084731467E14</v>
      </c>
      <c r="F312" s="6" t="s">
        <v>5906</v>
      </c>
      <c r="G312" s="6" t="s">
        <v>4874</v>
      </c>
      <c r="J312" s="6">
        <v>0.0</v>
      </c>
      <c r="L312" s="6">
        <v>0.0</v>
      </c>
      <c r="M312" s="6" t="s">
        <v>5944</v>
      </c>
      <c r="N312" s="6" t="s">
        <v>4880</v>
      </c>
      <c r="O312" s="6" t="s">
        <v>4880</v>
      </c>
    </row>
    <row r="313">
      <c r="A313" s="6" t="s">
        <v>5945</v>
      </c>
      <c r="B313" s="6" t="s">
        <v>5945</v>
      </c>
      <c r="C313" s="6" t="s">
        <v>5946</v>
      </c>
      <c r="D313" s="6">
        <v>315.0</v>
      </c>
      <c r="E313" s="6">
        <v>3.5449631166622E14</v>
      </c>
      <c r="G313" s="6" t="s">
        <v>4874</v>
      </c>
      <c r="J313" s="6">
        <v>0.0</v>
      </c>
      <c r="L313" s="6">
        <v>0.0</v>
      </c>
      <c r="M313" s="6" t="s">
        <v>5947</v>
      </c>
      <c r="N313" s="6" t="s">
        <v>4880</v>
      </c>
      <c r="O313" s="6" t="s">
        <v>4880</v>
      </c>
    </row>
    <row r="314">
      <c r="A314" s="6" t="s">
        <v>5948</v>
      </c>
      <c r="B314" s="6" t="s">
        <v>5948</v>
      </c>
      <c r="C314" s="6" t="s">
        <v>5949</v>
      </c>
      <c r="D314" s="6">
        <v>316.0</v>
      </c>
      <c r="G314" s="6" t="s">
        <v>4874</v>
      </c>
      <c r="J314" s="6">
        <v>0.0</v>
      </c>
      <c r="L314" s="6">
        <v>0.0</v>
      </c>
      <c r="M314" s="6" t="s">
        <v>5950</v>
      </c>
      <c r="N314" s="6" t="s">
        <v>4880</v>
      </c>
      <c r="O314" s="6" t="s">
        <v>4880</v>
      </c>
    </row>
    <row r="315">
      <c r="A315" s="6" t="s">
        <v>5951</v>
      </c>
      <c r="B315" s="6" t="s">
        <v>5951</v>
      </c>
      <c r="C315" s="6" t="s">
        <v>5952</v>
      </c>
      <c r="D315" s="6">
        <v>317.0</v>
      </c>
      <c r="E315" s="6" t="s">
        <v>1388</v>
      </c>
      <c r="F315" s="6" t="s">
        <v>5953</v>
      </c>
      <c r="G315" s="6" t="s">
        <v>4874</v>
      </c>
      <c r="J315" s="6">
        <v>0.0</v>
      </c>
      <c r="L315" s="6">
        <v>0.0</v>
      </c>
      <c r="M315" s="6" t="s">
        <v>5954</v>
      </c>
      <c r="N315" s="6" t="s">
        <v>4880</v>
      </c>
      <c r="O315" s="6" t="s">
        <v>4880</v>
      </c>
    </row>
    <row r="316">
      <c r="A316" s="6" t="s">
        <v>5955</v>
      </c>
      <c r="B316" s="6" t="s">
        <v>5955</v>
      </c>
      <c r="C316" s="6" t="s">
        <v>5956</v>
      </c>
      <c r="D316" s="6">
        <v>318.0</v>
      </c>
      <c r="E316" s="6">
        <v>3.59811263248244E14</v>
      </c>
      <c r="F316" s="6" t="s">
        <v>5957</v>
      </c>
      <c r="G316" s="6" t="s">
        <v>4874</v>
      </c>
      <c r="J316" s="6">
        <v>0.0</v>
      </c>
      <c r="L316" s="6">
        <v>0.0</v>
      </c>
      <c r="M316" s="6" t="s">
        <v>5958</v>
      </c>
      <c r="N316" s="6" t="s">
        <v>4880</v>
      </c>
      <c r="O316" s="6" t="s">
        <v>4880</v>
      </c>
    </row>
    <row r="317">
      <c r="A317" s="6" t="s">
        <v>5959</v>
      </c>
      <c r="B317" s="6" t="s">
        <v>5959</v>
      </c>
      <c r="C317" s="6" t="s">
        <v>5960</v>
      </c>
      <c r="D317" s="6">
        <v>319.0</v>
      </c>
      <c r="E317" s="6" t="s">
        <v>1367</v>
      </c>
      <c r="F317" s="6" t="s">
        <v>693</v>
      </c>
      <c r="G317" s="6" t="s">
        <v>4874</v>
      </c>
      <c r="J317" s="6">
        <v>0.0</v>
      </c>
      <c r="L317" s="6">
        <v>0.0</v>
      </c>
      <c r="M317" s="6" t="s">
        <v>5961</v>
      </c>
      <c r="N317" s="6" t="s">
        <v>4880</v>
      </c>
      <c r="O317" s="6" t="s">
        <v>4880</v>
      </c>
    </row>
    <row r="318">
      <c r="A318" s="6" t="s">
        <v>5962</v>
      </c>
      <c r="B318" s="6" t="s">
        <v>5962</v>
      </c>
      <c r="C318" s="6" t="s">
        <v>5963</v>
      </c>
      <c r="D318" s="6">
        <v>320.0</v>
      </c>
      <c r="E318" s="6">
        <v>3.56845113678534E14</v>
      </c>
      <c r="F318" s="6" t="s">
        <v>189</v>
      </c>
      <c r="G318" s="6" t="s">
        <v>4874</v>
      </c>
      <c r="J318" s="6">
        <v>0.0</v>
      </c>
      <c r="L318" s="6">
        <v>0.0</v>
      </c>
      <c r="M318" s="6" t="s">
        <v>5964</v>
      </c>
      <c r="N318" s="6" t="s">
        <v>4880</v>
      </c>
      <c r="O318" s="6" t="s">
        <v>4880</v>
      </c>
    </row>
    <row r="319">
      <c r="A319" s="6" t="s">
        <v>5965</v>
      </c>
      <c r="B319" s="6" t="s">
        <v>5965</v>
      </c>
      <c r="C319" s="6" t="s">
        <v>5966</v>
      </c>
      <c r="D319" s="6">
        <v>321.0</v>
      </c>
      <c r="E319" s="6">
        <v>3.5417850788467E14</v>
      </c>
      <c r="F319" s="6" t="s">
        <v>1040</v>
      </c>
      <c r="G319" s="6" t="s">
        <v>4874</v>
      </c>
      <c r="J319" s="6">
        <v>0.0</v>
      </c>
      <c r="L319" s="6">
        <v>0.0</v>
      </c>
      <c r="M319" s="6" t="s">
        <v>5967</v>
      </c>
      <c r="N319" s="6" t="s">
        <v>4880</v>
      </c>
      <c r="O319" s="6" t="s">
        <v>4880</v>
      </c>
    </row>
    <row r="320">
      <c r="A320" s="6" t="s">
        <v>5968</v>
      </c>
      <c r="B320" s="6" t="s">
        <v>5968</v>
      </c>
      <c r="C320" s="6" t="s">
        <v>5969</v>
      </c>
      <c r="D320" s="6">
        <v>322.0</v>
      </c>
      <c r="E320" s="6">
        <v>3.56140776073847E14</v>
      </c>
      <c r="F320" s="6" t="s">
        <v>664</v>
      </c>
      <c r="G320" s="6" t="s">
        <v>4874</v>
      </c>
      <c r="J320" s="6">
        <v>0.0</v>
      </c>
      <c r="L320" s="6">
        <v>0.0</v>
      </c>
      <c r="M320" s="6" t="s">
        <v>5970</v>
      </c>
      <c r="N320" s="6" t="s">
        <v>4880</v>
      </c>
      <c r="O320" s="6" t="s">
        <v>4880</v>
      </c>
    </row>
    <row r="321">
      <c r="A321" s="6" t="s">
        <v>5971</v>
      </c>
      <c r="B321" s="6" t="s">
        <v>5971</v>
      </c>
      <c r="C321" s="6" t="s">
        <v>5972</v>
      </c>
      <c r="D321" s="6">
        <v>323.0</v>
      </c>
      <c r="E321" s="6">
        <v>3.53249104500786E14</v>
      </c>
      <c r="F321" s="6" t="s">
        <v>70</v>
      </c>
      <c r="G321" s="6" t="s">
        <v>4874</v>
      </c>
      <c r="J321" s="6">
        <v>0.0</v>
      </c>
      <c r="L321" s="6">
        <v>0.0</v>
      </c>
      <c r="M321" s="6" t="s">
        <v>5973</v>
      </c>
      <c r="N321" s="6" t="s">
        <v>4880</v>
      </c>
      <c r="O321" s="6" t="s">
        <v>4880</v>
      </c>
    </row>
    <row r="322">
      <c r="A322" s="6" t="s">
        <v>5974</v>
      </c>
      <c r="B322" s="6" t="s">
        <v>5974</v>
      </c>
      <c r="C322" s="6" t="s">
        <v>5975</v>
      </c>
      <c r="D322" s="6">
        <v>324.0</v>
      </c>
      <c r="E322" s="6">
        <v>3.544232352157E14</v>
      </c>
      <c r="F322" s="6" t="s">
        <v>5976</v>
      </c>
      <c r="G322" s="6" t="s">
        <v>5700</v>
      </c>
      <c r="J322" s="6">
        <v>0.0</v>
      </c>
      <c r="L322" s="6">
        <v>0.0</v>
      </c>
      <c r="M322" s="6" t="s">
        <v>5977</v>
      </c>
      <c r="N322" s="6" t="s">
        <v>4880</v>
      </c>
      <c r="O322" s="6" t="s">
        <v>4880</v>
      </c>
    </row>
    <row r="323">
      <c r="A323" s="6" t="s">
        <v>5978</v>
      </c>
      <c r="B323" s="6" t="s">
        <v>5978</v>
      </c>
      <c r="C323" s="6" t="s">
        <v>5979</v>
      </c>
      <c r="D323" s="6">
        <v>325.0</v>
      </c>
      <c r="E323" s="6">
        <v>3.5384324256541E14</v>
      </c>
      <c r="G323" s="6" t="s">
        <v>4874</v>
      </c>
      <c r="J323" s="6">
        <v>0.0</v>
      </c>
      <c r="L323" s="6">
        <v>0.0</v>
      </c>
      <c r="M323" s="6" t="s">
        <v>5980</v>
      </c>
      <c r="N323" s="6" t="s">
        <v>4880</v>
      </c>
      <c r="O323" s="6" t="s">
        <v>4880</v>
      </c>
    </row>
    <row r="324">
      <c r="A324" s="6" t="s">
        <v>5981</v>
      </c>
      <c r="B324" s="6" t="s">
        <v>5981</v>
      </c>
      <c r="C324" s="6" t="s">
        <v>5982</v>
      </c>
      <c r="D324" s="6">
        <v>326.0</v>
      </c>
      <c r="E324" s="6">
        <v>3.51935566554418E14</v>
      </c>
      <c r="F324" s="6" t="s">
        <v>151</v>
      </c>
      <c r="G324" s="6" t="s">
        <v>4874</v>
      </c>
      <c r="J324" s="6">
        <v>0.0</v>
      </c>
      <c r="L324" s="6">
        <v>0.0</v>
      </c>
      <c r="M324" s="6" t="s">
        <v>5983</v>
      </c>
      <c r="N324" s="6" t="s">
        <v>4880</v>
      </c>
      <c r="O324" s="6" t="s">
        <v>4880</v>
      </c>
    </row>
    <row r="325">
      <c r="A325" s="6" t="s">
        <v>5984</v>
      </c>
      <c r="B325" s="6" t="s">
        <v>5984</v>
      </c>
      <c r="C325" s="6" t="s">
        <v>5985</v>
      </c>
      <c r="D325" s="6">
        <v>327.0</v>
      </c>
      <c r="E325" s="6">
        <v>3.58730091228981E14</v>
      </c>
      <c r="F325" s="6" t="s">
        <v>5986</v>
      </c>
      <c r="G325" s="6" t="s">
        <v>4874</v>
      </c>
      <c r="J325" s="6">
        <v>0.0</v>
      </c>
      <c r="L325" s="6">
        <v>0.0</v>
      </c>
      <c r="M325" s="6" t="s">
        <v>5987</v>
      </c>
      <c r="N325" s="6" t="s">
        <v>4880</v>
      </c>
      <c r="O325" s="6" t="s">
        <v>4880</v>
      </c>
    </row>
    <row r="326">
      <c r="A326" s="6" t="s">
        <v>5988</v>
      </c>
      <c r="B326" s="6" t="s">
        <v>5988</v>
      </c>
      <c r="C326" s="6" t="s">
        <v>5989</v>
      </c>
      <c r="D326" s="6">
        <v>328.0</v>
      </c>
      <c r="E326" s="6">
        <v>3.53926106063562E14</v>
      </c>
      <c r="F326" s="6" t="s">
        <v>5990</v>
      </c>
      <c r="G326" s="6" t="s">
        <v>4874</v>
      </c>
      <c r="J326" s="6">
        <v>0.0</v>
      </c>
      <c r="L326" s="6">
        <v>0.0</v>
      </c>
      <c r="M326" s="6" t="s">
        <v>5991</v>
      </c>
      <c r="N326" s="6" t="s">
        <v>4880</v>
      </c>
      <c r="O326" s="6" t="s">
        <v>4880</v>
      </c>
    </row>
    <row r="327">
      <c r="A327" s="6" t="s">
        <v>5992</v>
      </c>
      <c r="B327" s="6" t="s">
        <v>5992</v>
      </c>
      <c r="C327" s="6" t="s">
        <v>5993</v>
      </c>
      <c r="D327" s="6">
        <v>329.0</v>
      </c>
      <c r="E327" s="6">
        <v>3.56330873132618E14</v>
      </c>
      <c r="F327" s="6" t="s">
        <v>221</v>
      </c>
      <c r="G327" s="6" t="s">
        <v>4874</v>
      </c>
      <c r="J327" s="6">
        <v>0.0</v>
      </c>
      <c r="L327" s="6">
        <v>0.0</v>
      </c>
      <c r="M327" s="6" t="s">
        <v>5994</v>
      </c>
      <c r="N327" s="6" t="s">
        <v>4880</v>
      </c>
      <c r="O327" s="6" t="s">
        <v>4880</v>
      </c>
    </row>
    <row r="328">
      <c r="A328" s="6" t="s">
        <v>5995</v>
      </c>
      <c r="B328" s="6" t="s">
        <v>5995</v>
      </c>
      <c r="C328" s="6" t="s">
        <v>5996</v>
      </c>
      <c r="D328" s="6">
        <v>330.0</v>
      </c>
      <c r="E328" s="6">
        <v>3.51194966961241E14</v>
      </c>
      <c r="F328" s="6" t="s">
        <v>1154</v>
      </c>
      <c r="G328" s="6" t="s">
        <v>4874</v>
      </c>
      <c r="J328" s="6">
        <v>0.0</v>
      </c>
      <c r="L328" s="6">
        <v>0.0</v>
      </c>
      <c r="M328" s="6" t="s">
        <v>5997</v>
      </c>
      <c r="N328" s="6" t="s">
        <v>4880</v>
      </c>
      <c r="O328" s="6" t="s">
        <v>4880</v>
      </c>
    </row>
    <row r="329">
      <c r="A329" s="6" t="s">
        <v>5998</v>
      </c>
      <c r="B329" s="6" t="s">
        <v>5998</v>
      </c>
      <c r="C329" s="6" t="s">
        <v>5999</v>
      </c>
      <c r="D329" s="6">
        <v>331.0</v>
      </c>
      <c r="E329" s="6">
        <v>3.54331124392649E14</v>
      </c>
      <c r="F329" s="6" t="s">
        <v>605</v>
      </c>
      <c r="G329" s="6" t="s">
        <v>4874</v>
      </c>
      <c r="J329" s="6">
        <v>0.0</v>
      </c>
      <c r="L329" s="6">
        <v>0.0</v>
      </c>
      <c r="M329" s="6" t="s">
        <v>6000</v>
      </c>
      <c r="N329" s="6" t="s">
        <v>4880</v>
      </c>
      <c r="O329" s="6" t="s">
        <v>4880</v>
      </c>
    </row>
    <row r="330">
      <c r="A330" s="6" t="s">
        <v>6001</v>
      </c>
      <c r="B330" s="6" t="s">
        <v>6001</v>
      </c>
      <c r="C330" s="6" t="s">
        <v>6002</v>
      </c>
      <c r="D330" s="6">
        <v>332.0</v>
      </c>
      <c r="E330" s="6" t="s">
        <v>1215</v>
      </c>
      <c r="G330" s="6" t="s">
        <v>4874</v>
      </c>
      <c r="J330" s="6">
        <v>0.0</v>
      </c>
      <c r="L330" s="6">
        <v>0.0</v>
      </c>
      <c r="M330" s="6" t="s">
        <v>6003</v>
      </c>
      <c r="N330" s="6" t="s">
        <v>4880</v>
      </c>
      <c r="O330" s="6" t="s">
        <v>4880</v>
      </c>
    </row>
    <row r="331">
      <c r="A331" s="6" t="s">
        <v>6004</v>
      </c>
      <c r="B331" s="6" t="s">
        <v>6004</v>
      </c>
      <c r="C331" s="6" t="s">
        <v>6005</v>
      </c>
      <c r="D331" s="6">
        <v>333.0</v>
      </c>
      <c r="E331" s="6">
        <v>3.52973351900768E14</v>
      </c>
      <c r="F331" s="6" t="s">
        <v>64</v>
      </c>
      <c r="G331" s="6" t="s">
        <v>4874</v>
      </c>
      <c r="J331" s="6">
        <v>0.0</v>
      </c>
      <c r="L331" s="6">
        <v>0.0</v>
      </c>
      <c r="M331" s="6" t="s">
        <v>6006</v>
      </c>
      <c r="N331" s="6" t="s">
        <v>4880</v>
      </c>
      <c r="O331" s="6" t="s">
        <v>4880</v>
      </c>
    </row>
    <row r="332">
      <c r="A332" s="6" t="s">
        <v>6007</v>
      </c>
      <c r="B332" s="6" t="s">
        <v>6007</v>
      </c>
      <c r="C332" s="6" t="s">
        <v>6008</v>
      </c>
      <c r="D332" s="6">
        <v>334.0</v>
      </c>
      <c r="E332" s="6">
        <v>3.56483109107191E14</v>
      </c>
      <c r="F332" s="6" t="s">
        <v>5333</v>
      </c>
      <c r="G332" s="6" t="s">
        <v>4874</v>
      </c>
      <c r="J332" s="6">
        <v>0.0</v>
      </c>
      <c r="L332" s="6">
        <v>0.0</v>
      </c>
      <c r="M332" s="6" t="s">
        <v>6009</v>
      </c>
      <c r="N332" s="6" t="s">
        <v>4880</v>
      </c>
      <c r="O332" s="6" t="s">
        <v>4880</v>
      </c>
    </row>
    <row r="333">
      <c r="A333" s="6" t="s">
        <v>6010</v>
      </c>
      <c r="B333" s="6" t="s">
        <v>6010</v>
      </c>
      <c r="C333" s="6" t="s">
        <v>6011</v>
      </c>
      <c r="D333" s="6">
        <v>335.0</v>
      </c>
      <c r="E333" s="6">
        <v>3.50359740006958E14</v>
      </c>
      <c r="F333" s="6" t="s">
        <v>1196</v>
      </c>
      <c r="G333" s="6" t="s">
        <v>4874</v>
      </c>
      <c r="J333" s="6">
        <v>0.0</v>
      </c>
      <c r="L333" s="6">
        <v>0.0</v>
      </c>
      <c r="M333" s="6" t="s">
        <v>6012</v>
      </c>
      <c r="N333" s="6" t="s">
        <v>4880</v>
      </c>
      <c r="O333" s="6" t="s">
        <v>4880</v>
      </c>
    </row>
    <row r="334">
      <c r="A334" s="6" t="s">
        <v>6013</v>
      </c>
      <c r="B334" s="6" t="s">
        <v>6013</v>
      </c>
      <c r="C334" s="6" t="s">
        <v>6014</v>
      </c>
      <c r="D334" s="6">
        <v>336.0</v>
      </c>
      <c r="G334" s="6" t="s">
        <v>5583</v>
      </c>
      <c r="J334" s="6">
        <v>0.0</v>
      </c>
      <c r="L334" s="6">
        <v>0.0</v>
      </c>
      <c r="M334" s="6" t="s">
        <v>6015</v>
      </c>
      <c r="N334" s="6" t="s">
        <v>4880</v>
      </c>
      <c r="O334" s="6" t="s">
        <v>4880</v>
      </c>
    </row>
    <row r="335">
      <c r="A335" s="6" t="s">
        <v>6016</v>
      </c>
      <c r="B335" s="6" t="s">
        <v>6016</v>
      </c>
      <c r="C335" s="6" t="s">
        <v>6017</v>
      </c>
      <c r="D335" s="6">
        <v>337.0</v>
      </c>
      <c r="E335" s="6">
        <v>3.54741555053579E14</v>
      </c>
      <c r="G335" s="6" t="s">
        <v>4874</v>
      </c>
      <c r="J335" s="6">
        <v>0.0</v>
      </c>
      <c r="L335" s="6">
        <v>0.0</v>
      </c>
      <c r="M335" s="6" t="s">
        <v>6018</v>
      </c>
      <c r="N335" s="6" t="s">
        <v>4880</v>
      </c>
      <c r="O335" s="6" t="s">
        <v>4880</v>
      </c>
    </row>
    <row r="336">
      <c r="A336" s="6" t="s">
        <v>6019</v>
      </c>
      <c r="B336" s="6" t="s">
        <v>6019</v>
      </c>
      <c r="C336" s="6" t="s">
        <v>6020</v>
      </c>
      <c r="D336" s="6">
        <v>338.0</v>
      </c>
      <c r="E336" s="6">
        <v>3.5449631166522E14</v>
      </c>
      <c r="F336" s="6" t="s">
        <v>6021</v>
      </c>
      <c r="G336" s="6" t="s">
        <v>4874</v>
      </c>
      <c r="J336" s="6">
        <v>0.0</v>
      </c>
      <c r="L336" s="6">
        <v>0.0</v>
      </c>
      <c r="M336" s="6" t="s">
        <v>6022</v>
      </c>
      <c r="N336" s="6" t="s">
        <v>4880</v>
      </c>
      <c r="O336" s="6" t="s">
        <v>4880</v>
      </c>
    </row>
    <row r="337">
      <c r="A337" s="6" t="s">
        <v>6023</v>
      </c>
      <c r="B337" s="6" t="s">
        <v>6023</v>
      </c>
      <c r="C337" s="6" t="s">
        <v>6024</v>
      </c>
      <c r="D337" s="6">
        <v>339.0</v>
      </c>
      <c r="E337" s="6">
        <v>3.57770206656735E14</v>
      </c>
      <c r="F337" s="6" t="s">
        <v>605</v>
      </c>
      <c r="G337" s="6" t="s">
        <v>4874</v>
      </c>
      <c r="J337" s="6">
        <v>0.0</v>
      </c>
      <c r="L337" s="6">
        <v>0.0</v>
      </c>
      <c r="M337" s="6" t="s">
        <v>6025</v>
      </c>
      <c r="N337" s="6" t="s">
        <v>4880</v>
      </c>
      <c r="O337" s="6" t="s">
        <v>4880</v>
      </c>
    </row>
    <row r="338">
      <c r="A338" s="6" t="s">
        <v>6026</v>
      </c>
      <c r="B338" s="6" t="s">
        <v>6026</v>
      </c>
      <c r="C338" s="6" t="s">
        <v>6027</v>
      </c>
      <c r="D338" s="6">
        <v>340.0</v>
      </c>
      <c r="E338" s="6">
        <v>3.56478843889559E14</v>
      </c>
      <c r="F338" s="6" t="s">
        <v>1782</v>
      </c>
      <c r="G338" s="6" t="s">
        <v>5700</v>
      </c>
      <c r="J338" s="6">
        <v>0.0</v>
      </c>
      <c r="L338" s="6">
        <v>0.0</v>
      </c>
      <c r="M338" s="6" t="s">
        <v>6028</v>
      </c>
      <c r="N338" s="6" t="s">
        <v>4880</v>
      </c>
      <c r="O338" s="6" t="s">
        <v>4880</v>
      </c>
    </row>
    <row r="339">
      <c r="A339" s="6" t="s">
        <v>6029</v>
      </c>
      <c r="B339" s="6" t="s">
        <v>6029</v>
      </c>
      <c r="C339" s="6" t="s">
        <v>6030</v>
      </c>
      <c r="D339" s="6">
        <v>341.0</v>
      </c>
      <c r="E339" s="6">
        <v>3.57344098486526E14</v>
      </c>
      <c r="F339" s="6" t="s">
        <v>485</v>
      </c>
      <c r="G339" s="6" t="s">
        <v>4874</v>
      </c>
      <c r="J339" s="6">
        <v>0.0</v>
      </c>
      <c r="L339" s="6">
        <v>0.0</v>
      </c>
      <c r="M339" s="6" t="s">
        <v>6031</v>
      </c>
      <c r="N339" s="6" t="s">
        <v>4880</v>
      </c>
      <c r="O339" s="6" t="s">
        <v>4880</v>
      </c>
    </row>
    <row r="340">
      <c r="A340" s="6" t="s">
        <v>6032</v>
      </c>
      <c r="B340" s="6" t="s">
        <v>6032</v>
      </c>
      <c r="C340" s="6" t="s">
        <v>6033</v>
      </c>
      <c r="D340" s="6">
        <v>342.0</v>
      </c>
      <c r="E340" s="6">
        <v>3.56200546566213E14</v>
      </c>
      <c r="F340" s="6" t="s">
        <v>1569</v>
      </c>
      <c r="G340" s="6" t="s">
        <v>4874</v>
      </c>
      <c r="J340" s="6">
        <v>0.0</v>
      </c>
      <c r="L340" s="6">
        <v>0.0</v>
      </c>
      <c r="M340" s="6" t="s">
        <v>6034</v>
      </c>
      <c r="N340" s="6" t="s">
        <v>4880</v>
      </c>
      <c r="O340" s="6" t="s">
        <v>4880</v>
      </c>
    </row>
    <row r="341">
      <c r="A341" s="6" t="s">
        <v>6035</v>
      </c>
      <c r="B341" s="6" t="s">
        <v>6035</v>
      </c>
      <c r="C341" s="6" t="s">
        <v>6036</v>
      </c>
      <c r="D341" s="6">
        <v>343.0</v>
      </c>
      <c r="E341" s="6">
        <v>3.5506754871544E14</v>
      </c>
      <c r="F341" s="6" t="s">
        <v>386</v>
      </c>
      <c r="G341" s="6" t="s">
        <v>4874</v>
      </c>
      <c r="J341" s="6">
        <v>0.0</v>
      </c>
      <c r="L341" s="6">
        <v>0.0</v>
      </c>
      <c r="M341" s="6" t="s">
        <v>6037</v>
      </c>
      <c r="N341" s="6" t="s">
        <v>4880</v>
      </c>
      <c r="O341" s="6" t="s">
        <v>4880</v>
      </c>
    </row>
    <row r="342">
      <c r="A342" s="6" t="s">
        <v>6038</v>
      </c>
      <c r="B342" s="6" t="s">
        <v>6038</v>
      </c>
      <c r="C342" s="6" t="s">
        <v>6039</v>
      </c>
      <c r="D342" s="6">
        <v>344.0</v>
      </c>
      <c r="E342" s="6">
        <v>3.55413814718025E14</v>
      </c>
      <c r="F342" s="6" t="s">
        <v>6040</v>
      </c>
      <c r="G342" s="6" t="s">
        <v>4874</v>
      </c>
      <c r="J342" s="6">
        <v>0.0</v>
      </c>
      <c r="L342" s="6">
        <v>0.0</v>
      </c>
      <c r="M342" s="6" t="s">
        <v>6041</v>
      </c>
      <c r="N342" s="6" t="s">
        <v>4880</v>
      </c>
      <c r="O342" s="6" t="s">
        <v>4880</v>
      </c>
    </row>
    <row r="343">
      <c r="A343" s="6" t="s">
        <v>6042</v>
      </c>
      <c r="B343" s="6" t="s">
        <v>6042</v>
      </c>
      <c r="C343" s="6" t="s">
        <v>6043</v>
      </c>
      <c r="D343" s="6">
        <v>345.0</v>
      </c>
      <c r="E343" s="6">
        <v>3.54661672109387E14</v>
      </c>
      <c r="F343" s="6" t="s">
        <v>6044</v>
      </c>
      <c r="G343" s="6" t="s">
        <v>4874</v>
      </c>
      <c r="J343" s="6">
        <v>0.0</v>
      </c>
      <c r="L343" s="6">
        <v>0.0</v>
      </c>
      <c r="M343" s="6" t="s">
        <v>6045</v>
      </c>
      <c r="N343" s="6" t="s">
        <v>4880</v>
      </c>
      <c r="O343" s="6" t="s">
        <v>4880</v>
      </c>
    </row>
    <row r="344">
      <c r="A344" s="6" t="s">
        <v>6046</v>
      </c>
      <c r="B344" s="6" t="s">
        <v>6046</v>
      </c>
      <c r="C344" s="6" t="s">
        <v>6047</v>
      </c>
      <c r="D344" s="6">
        <v>346.0</v>
      </c>
      <c r="E344" s="6">
        <v>3.58915823120982E14</v>
      </c>
      <c r="F344" s="6" t="s">
        <v>89</v>
      </c>
      <c r="G344" s="6" t="s">
        <v>4874</v>
      </c>
      <c r="J344" s="6">
        <v>0.0</v>
      </c>
      <c r="L344" s="6">
        <v>0.0</v>
      </c>
      <c r="M344" s="6" t="s">
        <v>6048</v>
      </c>
      <c r="N344" s="6" t="s">
        <v>4880</v>
      </c>
      <c r="O344" s="6" t="s">
        <v>4880</v>
      </c>
    </row>
    <row r="345">
      <c r="A345" s="6" t="s">
        <v>6049</v>
      </c>
      <c r="B345" s="6" t="s">
        <v>6049</v>
      </c>
      <c r="C345" s="6" t="s">
        <v>6050</v>
      </c>
      <c r="D345" s="6">
        <v>347.0</v>
      </c>
      <c r="E345" s="6">
        <v>3.53748537419738E14</v>
      </c>
      <c r="F345" s="6" t="s">
        <v>1040</v>
      </c>
      <c r="G345" s="6" t="s">
        <v>4874</v>
      </c>
      <c r="J345" s="6">
        <v>0.0</v>
      </c>
      <c r="L345" s="6">
        <v>0.0</v>
      </c>
      <c r="M345" s="6" t="s">
        <v>6051</v>
      </c>
      <c r="N345" s="6" t="s">
        <v>4880</v>
      </c>
      <c r="O345" s="6" t="s">
        <v>4880</v>
      </c>
    </row>
    <row r="346">
      <c r="A346" s="6" t="s">
        <v>6052</v>
      </c>
      <c r="B346" s="6" t="s">
        <v>6052</v>
      </c>
      <c r="C346" s="6" t="s">
        <v>6053</v>
      </c>
      <c r="D346" s="6">
        <v>348.0</v>
      </c>
      <c r="E346" s="6">
        <v>3.53817900069121E14</v>
      </c>
      <c r="F346" s="6" t="s">
        <v>1454</v>
      </c>
      <c r="G346" s="6" t="s">
        <v>4874</v>
      </c>
      <c r="J346" s="6">
        <v>0.0</v>
      </c>
      <c r="L346" s="6">
        <v>0.0</v>
      </c>
      <c r="M346" s="6" t="s">
        <v>6054</v>
      </c>
      <c r="N346" s="6" t="s">
        <v>4880</v>
      </c>
      <c r="O346" s="6" t="s">
        <v>4880</v>
      </c>
    </row>
    <row r="347">
      <c r="A347" s="6" t="s">
        <v>6055</v>
      </c>
      <c r="B347" s="6" t="s">
        <v>6055</v>
      </c>
      <c r="C347" s="6" t="s">
        <v>6056</v>
      </c>
      <c r="D347" s="6">
        <v>349.0</v>
      </c>
      <c r="E347" s="6">
        <v>3.5863762060672E14</v>
      </c>
      <c r="F347" s="6" t="s">
        <v>6057</v>
      </c>
      <c r="G347" s="6" t="s">
        <v>4874</v>
      </c>
      <c r="J347" s="6">
        <v>0.0</v>
      </c>
      <c r="L347" s="6">
        <v>0.0</v>
      </c>
      <c r="M347" s="6" t="s">
        <v>6058</v>
      </c>
      <c r="N347" s="6" t="s">
        <v>4880</v>
      </c>
      <c r="O347" s="6" t="s">
        <v>4880</v>
      </c>
    </row>
    <row r="348">
      <c r="A348" s="6" t="s">
        <v>6059</v>
      </c>
      <c r="B348" s="6" t="s">
        <v>6059</v>
      </c>
      <c r="C348" s="6" t="s">
        <v>6060</v>
      </c>
      <c r="D348" s="6">
        <v>350.0</v>
      </c>
      <c r="E348" s="6">
        <v>3.59608203806168E14</v>
      </c>
      <c r="F348" s="6" t="s">
        <v>693</v>
      </c>
      <c r="G348" s="6" t="s">
        <v>4874</v>
      </c>
      <c r="J348" s="6">
        <v>0.0</v>
      </c>
      <c r="L348" s="6">
        <v>0.0</v>
      </c>
      <c r="M348" s="6" t="s">
        <v>6061</v>
      </c>
      <c r="N348" s="6" t="s">
        <v>4880</v>
      </c>
      <c r="O348" s="6" t="s">
        <v>4880</v>
      </c>
    </row>
    <row r="349">
      <c r="A349" s="6" t="s">
        <v>6062</v>
      </c>
      <c r="B349" s="6" t="s">
        <v>6062</v>
      </c>
      <c r="C349" s="6" t="s">
        <v>6063</v>
      </c>
      <c r="D349" s="6">
        <v>351.0</v>
      </c>
      <c r="E349" s="6">
        <v>3.502962726941E14</v>
      </c>
      <c r="F349" s="6" t="s">
        <v>93</v>
      </c>
      <c r="G349" s="6" t="s">
        <v>4874</v>
      </c>
      <c r="J349" s="6">
        <v>0.0</v>
      </c>
      <c r="L349" s="6">
        <v>0.0</v>
      </c>
      <c r="M349" s="6" t="s">
        <v>6064</v>
      </c>
      <c r="N349" s="6" t="s">
        <v>4880</v>
      </c>
      <c r="O349" s="6" t="s">
        <v>4880</v>
      </c>
    </row>
    <row r="350">
      <c r="A350" s="6" t="s">
        <v>6065</v>
      </c>
      <c r="B350" s="6" t="s">
        <v>6065</v>
      </c>
      <c r="C350" s="6" t="s">
        <v>6066</v>
      </c>
      <c r="D350" s="6">
        <v>352.0</v>
      </c>
      <c r="E350" s="6">
        <v>3.5883894419047E14</v>
      </c>
      <c r="F350" s="6" t="s">
        <v>1870</v>
      </c>
      <c r="G350" s="6" t="s">
        <v>4874</v>
      </c>
      <c r="J350" s="6">
        <v>0.0</v>
      </c>
      <c r="L350" s="6">
        <v>0.0</v>
      </c>
      <c r="M350" s="6" t="s">
        <v>6067</v>
      </c>
      <c r="N350" s="6" t="s">
        <v>4880</v>
      </c>
      <c r="O350" s="6" t="s">
        <v>4880</v>
      </c>
    </row>
    <row r="351">
      <c r="A351" s="6" t="s">
        <v>6068</v>
      </c>
      <c r="B351" s="6" t="s">
        <v>6068</v>
      </c>
      <c r="C351" s="6" t="s">
        <v>6069</v>
      </c>
      <c r="D351" s="6">
        <v>353.0</v>
      </c>
      <c r="E351" s="6">
        <v>3.58838941045446E14</v>
      </c>
      <c r="F351" s="6" t="s">
        <v>1569</v>
      </c>
      <c r="G351" s="6" t="s">
        <v>4874</v>
      </c>
      <c r="J351" s="6">
        <v>0.0</v>
      </c>
      <c r="L351" s="6">
        <v>0.0</v>
      </c>
      <c r="M351" s="6" t="s">
        <v>6070</v>
      </c>
      <c r="N351" s="6" t="s">
        <v>4880</v>
      </c>
      <c r="O351" s="6" t="s">
        <v>4880</v>
      </c>
    </row>
    <row r="352">
      <c r="A352" s="6" t="s">
        <v>6071</v>
      </c>
      <c r="B352" s="6" t="s">
        <v>6071</v>
      </c>
      <c r="C352" s="6" t="s">
        <v>6072</v>
      </c>
      <c r="D352" s="6">
        <v>354.0</v>
      </c>
      <c r="E352" s="6">
        <v>3.56473104213474E14</v>
      </c>
      <c r="F352" s="6" t="s">
        <v>473</v>
      </c>
      <c r="G352" s="6" t="s">
        <v>4874</v>
      </c>
      <c r="J352" s="6">
        <v>0.0</v>
      </c>
      <c r="L352" s="6">
        <v>0.0</v>
      </c>
      <c r="M352" s="6" t="s">
        <v>6073</v>
      </c>
      <c r="N352" s="6" t="s">
        <v>4880</v>
      </c>
      <c r="O352" s="6" t="s">
        <v>4880</v>
      </c>
    </row>
    <row r="353">
      <c r="A353" s="6" t="s">
        <v>6074</v>
      </c>
      <c r="B353" s="6" t="s">
        <v>6074</v>
      </c>
      <c r="C353" s="6" t="s">
        <v>6075</v>
      </c>
      <c r="D353" s="6">
        <v>355.0</v>
      </c>
      <c r="E353" s="6">
        <v>3.58178370957021E14</v>
      </c>
      <c r="F353" s="6" t="s">
        <v>1604</v>
      </c>
      <c r="G353" s="6" t="s">
        <v>4874</v>
      </c>
      <c r="J353" s="6">
        <v>0.0</v>
      </c>
      <c r="L353" s="6">
        <v>0.0</v>
      </c>
      <c r="M353" s="6" t="s">
        <v>6076</v>
      </c>
      <c r="N353" s="6" t="s">
        <v>4880</v>
      </c>
      <c r="O353" s="6" t="s">
        <v>4880</v>
      </c>
    </row>
    <row r="354">
      <c r="A354" s="6" t="s">
        <v>6077</v>
      </c>
      <c r="B354" s="6" t="s">
        <v>6077</v>
      </c>
      <c r="C354" s="6" t="s">
        <v>6078</v>
      </c>
      <c r="D354" s="6">
        <v>356.0</v>
      </c>
      <c r="E354" s="6">
        <v>3.53352958920199E14</v>
      </c>
      <c r="F354" s="6" t="s">
        <v>874</v>
      </c>
      <c r="G354" s="6" t="s">
        <v>4874</v>
      </c>
      <c r="J354" s="6">
        <v>0.0</v>
      </c>
      <c r="L354" s="6">
        <v>0.0</v>
      </c>
      <c r="M354" s="6" t="s">
        <v>6079</v>
      </c>
      <c r="N354" s="6" t="s">
        <v>4880</v>
      </c>
      <c r="O354" s="6" t="s">
        <v>4880</v>
      </c>
    </row>
    <row r="355">
      <c r="A355" s="6" t="s">
        <v>6080</v>
      </c>
      <c r="B355" s="6" t="s">
        <v>6080</v>
      </c>
      <c r="C355" s="6" t="s">
        <v>6081</v>
      </c>
      <c r="D355" s="6">
        <v>357.0</v>
      </c>
      <c r="E355" s="6">
        <v>3.58355843220282E14</v>
      </c>
      <c r="F355" s="6" t="s">
        <v>1562</v>
      </c>
      <c r="G355" s="6" t="s">
        <v>4874</v>
      </c>
      <c r="J355" s="6">
        <v>0.0</v>
      </c>
      <c r="L355" s="6">
        <v>0.0</v>
      </c>
      <c r="M355" s="6" t="s">
        <v>6082</v>
      </c>
      <c r="N355" s="6" t="s">
        <v>4880</v>
      </c>
      <c r="O355" s="6" t="s">
        <v>4880</v>
      </c>
    </row>
    <row r="356">
      <c r="A356" s="6" t="s">
        <v>6083</v>
      </c>
      <c r="B356" s="6" t="s">
        <v>6083</v>
      </c>
      <c r="C356" s="6" t="s">
        <v>6084</v>
      </c>
      <c r="D356" s="6">
        <v>358.0</v>
      </c>
      <c r="E356" s="6" t="s">
        <v>1617</v>
      </c>
      <c r="F356" s="6" t="s">
        <v>1615</v>
      </c>
      <c r="G356" s="6" t="s">
        <v>4874</v>
      </c>
      <c r="J356" s="6">
        <v>0.0</v>
      </c>
      <c r="L356" s="6">
        <v>0.0</v>
      </c>
      <c r="M356" s="6" t="s">
        <v>6085</v>
      </c>
      <c r="N356" s="6" t="s">
        <v>4880</v>
      </c>
      <c r="O356" s="6" t="s">
        <v>4880</v>
      </c>
    </row>
    <row r="357">
      <c r="A357" s="6" t="s">
        <v>6086</v>
      </c>
      <c r="B357" s="6" t="s">
        <v>6086</v>
      </c>
      <c r="C357" s="6" t="s">
        <v>6087</v>
      </c>
      <c r="D357" s="6">
        <v>359.0</v>
      </c>
      <c r="E357" s="6">
        <v>3.57136795531251E14</v>
      </c>
      <c r="F357" s="6" t="s">
        <v>605</v>
      </c>
      <c r="G357" s="6" t="s">
        <v>5700</v>
      </c>
      <c r="J357" s="6">
        <v>0.0</v>
      </c>
      <c r="L357" s="6">
        <v>0.0</v>
      </c>
      <c r="M357" s="6" t="s">
        <v>6088</v>
      </c>
      <c r="N357" s="6" t="s">
        <v>4880</v>
      </c>
      <c r="O357" s="6" t="s">
        <v>4880</v>
      </c>
    </row>
    <row r="358">
      <c r="A358" s="6" t="s">
        <v>6089</v>
      </c>
      <c r="B358" s="6" t="s">
        <v>6089</v>
      </c>
      <c r="C358" s="6" t="s">
        <v>6090</v>
      </c>
      <c r="D358" s="6">
        <v>360.0</v>
      </c>
      <c r="E358" s="6">
        <v>3.56549102962491E14</v>
      </c>
      <c r="F358" s="6" t="s">
        <v>1633</v>
      </c>
      <c r="G358" s="6" t="s">
        <v>4874</v>
      </c>
      <c r="J358" s="6">
        <v>0.0</v>
      </c>
      <c r="L358" s="6">
        <v>0.0</v>
      </c>
      <c r="M358" s="6" t="s">
        <v>6091</v>
      </c>
      <c r="N358" s="6" t="s">
        <v>4880</v>
      </c>
      <c r="O358" s="6" t="s">
        <v>4880</v>
      </c>
    </row>
    <row r="359">
      <c r="A359" s="6" t="s">
        <v>6092</v>
      </c>
      <c r="B359" s="6" t="s">
        <v>6092</v>
      </c>
      <c r="C359" s="6" t="s">
        <v>6093</v>
      </c>
      <c r="D359" s="6">
        <v>361.0</v>
      </c>
      <c r="E359" s="6">
        <v>3.54741550229463E14</v>
      </c>
      <c r="F359" s="6" t="s">
        <v>54</v>
      </c>
      <c r="G359" s="6" t="s">
        <v>5700</v>
      </c>
      <c r="J359" s="6">
        <v>0.0</v>
      </c>
      <c r="L359" s="6">
        <v>0.0</v>
      </c>
      <c r="M359" s="6" t="s">
        <v>6094</v>
      </c>
      <c r="N359" s="6" t="s">
        <v>4880</v>
      </c>
      <c r="O359" s="6" t="s">
        <v>4880</v>
      </c>
    </row>
    <row r="360">
      <c r="A360" s="6" t="s">
        <v>6095</v>
      </c>
      <c r="B360" s="6" t="s">
        <v>6095</v>
      </c>
      <c r="C360" s="6" t="s">
        <v>6096</v>
      </c>
      <c r="D360" s="6">
        <v>362.0</v>
      </c>
      <c r="E360" s="6">
        <v>3.59012141800617E14</v>
      </c>
      <c r="F360" s="6" t="s">
        <v>1831</v>
      </c>
      <c r="G360" s="6" t="s">
        <v>4874</v>
      </c>
      <c r="J360" s="6">
        <v>0.0</v>
      </c>
      <c r="L360" s="6">
        <v>0.0</v>
      </c>
      <c r="M360" s="6" t="s">
        <v>6097</v>
      </c>
      <c r="N360" s="6" t="s">
        <v>4880</v>
      </c>
      <c r="O360" s="6" t="s">
        <v>4880</v>
      </c>
    </row>
    <row r="361">
      <c r="A361" s="6" t="s">
        <v>6098</v>
      </c>
      <c r="B361" s="6" t="s">
        <v>6098</v>
      </c>
      <c r="C361" s="6" t="s">
        <v>6099</v>
      </c>
      <c r="D361" s="6">
        <v>363.0</v>
      </c>
      <c r="E361" s="6">
        <v>3.56545108980057E14</v>
      </c>
      <c r="F361" s="6" t="s">
        <v>1752</v>
      </c>
      <c r="G361" s="6" t="s">
        <v>4874</v>
      </c>
      <c r="J361" s="6">
        <v>0.0</v>
      </c>
      <c r="L361" s="6">
        <v>0.0</v>
      </c>
      <c r="M361" s="6" t="s">
        <v>6100</v>
      </c>
      <c r="N361" s="6" t="s">
        <v>4880</v>
      </c>
      <c r="O361" s="6" t="s">
        <v>4880</v>
      </c>
    </row>
    <row r="362">
      <c r="A362" s="6" t="s">
        <v>6101</v>
      </c>
      <c r="B362" s="6" t="s">
        <v>6101</v>
      </c>
      <c r="C362" s="6" t="s">
        <v>6102</v>
      </c>
      <c r="D362" s="6">
        <v>364.0</v>
      </c>
      <c r="E362" s="6">
        <v>3.5230639009356E14</v>
      </c>
      <c r="G362" s="6" t="s">
        <v>4874</v>
      </c>
      <c r="J362" s="6">
        <v>0.0</v>
      </c>
      <c r="L362" s="6">
        <v>0.0</v>
      </c>
      <c r="M362" s="6" t="s">
        <v>6103</v>
      </c>
      <c r="N362" s="6" t="s">
        <v>4880</v>
      </c>
      <c r="O362" s="6" t="s">
        <v>4880</v>
      </c>
    </row>
    <row r="363">
      <c r="A363" s="6" t="s">
        <v>6104</v>
      </c>
      <c r="B363" s="6" t="s">
        <v>6104</v>
      </c>
      <c r="C363" s="6" t="s">
        <v>6105</v>
      </c>
      <c r="D363" s="6">
        <v>365.0</v>
      </c>
      <c r="E363" s="6" t="s">
        <v>6106</v>
      </c>
      <c r="G363" s="6" t="s">
        <v>4874</v>
      </c>
      <c r="J363" s="6">
        <v>0.0</v>
      </c>
      <c r="L363" s="6">
        <v>0.0</v>
      </c>
      <c r="M363" s="6" t="s">
        <v>6107</v>
      </c>
      <c r="N363" s="6" t="s">
        <v>4880</v>
      </c>
      <c r="O363" s="6" t="s">
        <v>4880</v>
      </c>
    </row>
    <row r="364">
      <c r="A364" s="6" t="s">
        <v>6108</v>
      </c>
      <c r="B364" s="6" t="s">
        <v>6108</v>
      </c>
      <c r="C364" s="6" t="s">
        <v>6109</v>
      </c>
      <c r="D364" s="6">
        <v>366.0</v>
      </c>
      <c r="E364" s="6">
        <v>3.53065095311516E14</v>
      </c>
      <c r="G364" s="6" t="s">
        <v>4874</v>
      </c>
      <c r="J364" s="6">
        <v>0.0</v>
      </c>
      <c r="L364" s="6">
        <v>0.0</v>
      </c>
      <c r="M364" s="6" t="s">
        <v>6110</v>
      </c>
      <c r="N364" s="6" t="s">
        <v>4880</v>
      </c>
      <c r="O364" s="6" t="s">
        <v>4880</v>
      </c>
    </row>
    <row r="365">
      <c r="A365" s="6" t="s">
        <v>6111</v>
      </c>
      <c r="B365" s="6" t="s">
        <v>6111</v>
      </c>
      <c r="C365" s="6" t="s">
        <v>6112</v>
      </c>
      <c r="D365" s="6">
        <v>367.0</v>
      </c>
      <c r="E365" s="6">
        <v>3.55906551464042E14</v>
      </c>
      <c r="G365" s="6" t="s">
        <v>4874</v>
      </c>
      <c r="J365" s="6">
        <v>0.0</v>
      </c>
      <c r="L365" s="6">
        <v>0.0</v>
      </c>
      <c r="M365" s="6" t="s">
        <v>6113</v>
      </c>
      <c r="N365" s="6" t="s">
        <v>4880</v>
      </c>
      <c r="O365" s="6" t="s">
        <v>4880</v>
      </c>
    </row>
    <row r="366">
      <c r="A366" s="6" t="s">
        <v>6114</v>
      </c>
      <c r="B366" s="6" t="s">
        <v>6114</v>
      </c>
      <c r="C366" s="6" t="s">
        <v>6115</v>
      </c>
      <c r="D366" s="6">
        <v>368.0</v>
      </c>
      <c r="E366" s="6">
        <v>3.59049970973305E14</v>
      </c>
      <c r="G366" s="6" t="s">
        <v>4874</v>
      </c>
      <c r="J366" s="6">
        <v>0.0</v>
      </c>
      <c r="L366" s="6">
        <v>0.0</v>
      </c>
      <c r="M366" s="6" t="s">
        <v>6116</v>
      </c>
      <c r="N366" s="6" t="s">
        <v>4880</v>
      </c>
      <c r="O366" s="6" t="s">
        <v>4880</v>
      </c>
    </row>
    <row r="367">
      <c r="A367" s="6" t="s">
        <v>6117</v>
      </c>
      <c r="B367" s="6" t="s">
        <v>6117</v>
      </c>
      <c r="C367" s="6" t="s">
        <v>6118</v>
      </c>
      <c r="D367" s="6">
        <v>369.0</v>
      </c>
      <c r="E367" s="6" t="s">
        <v>6119</v>
      </c>
      <c r="G367" s="6" t="s">
        <v>4874</v>
      </c>
      <c r="J367" s="6">
        <v>0.0</v>
      </c>
      <c r="L367" s="6">
        <v>0.0</v>
      </c>
      <c r="M367" s="6" t="s">
        <v>6120</v>
      </c>
      <c r="N367" s="6" t="s">
        <v>4880</v>
      </c>
      <c r="O367" s="6" t="s">
        <v>4880</v>
      </c>
    </row>
    <row r="368">
      <c r="A368" s="6" t="s">
        <v>6121</v>
      </c>
      <c r="B368" s="6" t="s">
        <v>6121</v>
      </c>
      <c r="C368" s="6" t="s">
        <v>6122</v>
      </c>
      <c r="D368" s="6">
        <v>370.0</v>
      </c>
      <c r="E368" s="6">
        <v>3.54387359325787E14</v>
      </c>
      <c r="G368" s="6" t="s">
        <v>4874</v>
      </c>
      <c r="J368" s="6">
        <v>0.0</v>
      </c>
      <c r="L368" s="6">
        <v>0.0</v>
      </c>
      <c r="M368" s="6" t="s">
        <v>6123</v>
      </c>
      <c r="N368" s="6" t="s">
        <v>4880</v>
      </c>
      <c r="O368" s="6" t="s">
        <v>4880</v>
      </c>
    </row>
    <row r="369">
      <c r="A369" s="6" t="s">
        <v>6124</v>
      </c>
      <c r="B369" s="6" t="s">
        <v>6124</v>
      </c>
      <c r="C369" s="6" t="s">
        <v>6125</v>
      </c>
      <c r="D369" s="6">
        <v>371.0</v>
      </c>
      <c r="E369" s="6" t="s">
        <v>6126</v>
      </c>
      <c r="G369" s="6" t="s">
        <v>4874</v>
      </c>
      <c r="J369" s="6">
        <v>0.0</v>
      </c>
      <c r="L369" s="6">
        <v>0.0</v>
      </c>
      <c r="M369" s="6" t="s">
        <v>6127</v>
      </c>
      <c r="N369" s="6" t="s">
        <v>4880</v>
      </c>
      <c r="O369" s="6" t="s">
        <v>4880</v>
      </c>
    </row>
    <row r="370">
      <c r="A370" s="6" t="s">
        <v>6128</v>
      </c>
      <c r="B370" s="6" t="s">
        <v>6128</v>
      </c>
      <c r="C370" s="6" t="s">
        <v>6129</v>
      </c>
      <c r="D370" s="6">
        <v>372.0</v>
      </c>
      <c r="E370" s="6">
        <v>3.5501738838129E14</v>
      </c>
      <c r="G370" s="6" t="s">
        <v>4874</v>
      </c>
      <c r="J370" s="6">
        <v>0.0</v>
      </c>
      <c r="L370" s="6">
        <v>0.0</v>
      </c>
      <c r="M370" s="6" t="s">
        <v>6130</v>
      </c>
      <c r="N370" s="6" t="s">
        <v>4880</v>
      </c>
      <c r="O370" s="6" t="s">
        <v>4880</v>
      </c>
    </row>
    <row r="371">
      <c r="A371" s="6" t="s">
        <v>6131</v>
      </c>
      <c r="B371" s="6" t="s">
        <v>6131</v>
      </c>
      <c r="C371" s="6" t="s">
        <v>6132</v>
      </c>
      <c r="D371" s="6">
        <v>373.0</v>
      </c>
      <c r="E371" s="6">
        <v>3.5559119264386E13</v>
      </c>
      <c r="G371" s="6" t="s">
        <v>4874</v>
      </c>
      <c r="J371" s="6">
        <v>0.0</v>
      </c>
      <c r="L371" s="6">
        <v>0.0</v>
      </c>
      <c r="M371" s="6" t="s">
        <v>6133</v>
      </c>
      <c r="N371" s="6" t="s">
        <v>4880</v>
      </c>
      <c r="O371" s="6" t="s">
        <v>4880</v>
      </c>
    </row>
    <row r="372">
      <c r="A372" s="6" t="s">
        <v>6134</v>
      </c>
      <c r="B372" s="6" t="s">
        <v>6134</v>
      </c>
      <c r="C372" s="6" t="s">
        <v>6135</v>
      </c>
      <c r="D372" s="6">
        <v>374.0</v>
      </c>
      <c r="E372" s="6">
        <v>3.57828284691295E14</v>
      </c>
      <c r="G372" s="6" t="s">
        <v>4874</v>
      </c>
      <c r="J372" s="6">
        <v>0.0</v>
      </c>
      <c r="L372" s="6">
        <v>0.0</v>
      </c>
      <c r="M372" s="6" t="s">
        <v>6136</v>
      </c>
      <c r="N372" s="6" t="s">
        <v>4880</v>
      </c>
      <c r="O372" s="6" t="s">
        <v>4880</v>
      </c>
    </row>
    <row r="373">
      <c r="A373" s="6" t="s">
        <v>6137</v>
      </c>
      <c r="B373" s="6" t="s">
        <v>6137</v>
      </c>
      <c r="C373" s="6" t="s">
        <v>6138</v>
      </c>
      <c r="D373" s="6">
        <v>375.0</v>
      </c>
      <c r="E373" s="6">
        <v>3.5438735811725E14</v>
      </c>
      <c r="G373" s="6" t="s">
        <v>4874</v>
      </c>
      <c r="J373" s="6">
        <v>0.0</v>
      </c>
      <c r="L373" s="6">
        <v>0.0</v>
      </c>
      <c r="M373" s="6" t="s">
        <v>6139</v>
      </c>
      <c r="N373" s="6" t="s">
        <v>4880</v>
      </c>
      <c r="O373" s="6" t="s">
        <v>4880</v>
      </c>
    </row>
    <row r="374">
      <c r="A374" s="6" t="s">
        <v>6140</v>
      </c>
      <c r="B374" s="6" t="s">
        <v>6140</v>
      </c>
      <c r="C374" s="6" t="s">
        <v>6141</v>
      </c>
      <c r="D374" s="6">
        <v>376.0</v>
      </c>
      <c r="E374" s="6">
        <v>3.52051687722782E14</v>
      </c>
      <c r="G374" s="6" t="s">
        <v>4874</v>
      </c>
      <c r="J374" s="6">
        <v>0.0</v>
      </c>
      <c r="L374" s="6">
        <v>0.0</v>
      </c>
      <c r="M374" s="6" t="s">
        <v>6142</v>
      </c>
      <c r="N374" s="6" t="s">
        <v>4880</v>
      </c>
      <c r="O374" s="6" t="s">
        <v>4880</v>
      </c>
    </row>
    <row r="375">
      <c r="A375" s="6" t="s">
        <v>6143</v>
      </c>
      <c r="B375" s="6" t="s">
        <v>6143</v>
      </c>
      <c r="C375" s="6" t="s">
        <v>6144</v>
      </c>
      <c r="D375" s="6">
        <v>377.0</v>
      </c>
      <c r="E375" s="6">
        <v>3.59012141800617E14</v>
      </c>
      <c r="G375" s="6" t="s">
        <v>4874</v>
      </c>
      <c r="J375" s="6">
        <v>0.0</v>
      </c>
      <c r="L375" s="6">
        <v>0.0</v>
      </c>
      <c r="M375" s="6" t="s">
        <v>6145</v>
      </c>
      <c r="N375" s="6" t="s">
        <v>4880</v>
      </c>
      <c r="O375" s="6" t="s">
        <v>4880</v>
      </c>
    </row>
    <row r="376">
      <c r="A376" s="6" t="s">
        <v>6146</v>
      </c>
      <c r="B376" s="6" t="s">
        <v>6146</v>
      </c>
      <c r="C376" s="6" t="s">
        <v>6147</v>
      </c>
      <c r="D376" s="6">
        <v>378.0</v>
      </c>
      <c r="E376" s="6">
        <v>3.56122179966835E14</v>
      </c>
      <c r="G376" s="6" t="s">
        <v>4874</v>
      </c>
      <c r="J376" s="6">
        <v>0.0</v>
      </c>
      <c r="L376" s="6">
        <v>0.0</v>
      </c>
      <c r="M376" s="6" t="s">
        <v>6148</v>
      </c>
      <c r="N376" s="6" t="s">
        <v>4880</v>
      </c>
      <c r="O376" s="6" t="s">
        <v>4880</v>
      </c>
    </row>
    <row r="377">
      <c r="A377" s="6" t="s">
        <v>6149</v>
      </c>
      <c r="B377" s="6" t="s">
        <v>6149</v>
      </c>
      <c r="C377" s="6" t="s">
        <v>6150</v>
      </c>
      <c r="D377" s="6">
        <v>379.0</v>
      </c>
      <c r="E377" s="6">
        <v>3.55515607252507E14</v>
      </c>
      <c r="G377" s="6" t="s">
        <v>4874</v>
      </c>
      <c r="J377" s="6">
        <v>0.0</v>
      </c>
      <c r="L377" s="6">
        <v>0.0</v>
      </c>
      <c r="M377" s="6" t="s">
        <v>6151</v>
      </c>
      <c r="N377" s="6" t="s">
        <v>4880</v>
      </c>
      <c r="O377" s="6" t="s">
        <v>4880</v>
      </c>
    </row>
    <row r="378">
      <c r="A378" s="6" t="s">
        <v>6152</v>
      </c>
      <c r="B378" s="6" t="s">
        <v>6152</v>
      </c>
      <c r="C378" s="6" t="s">
        <v>6153</v>
      </c>
      <c r="D378" s="6">
        <v>380.0</v>
      </c>
      <c r="G378" s="6" t="s">
        <v>4874</v>
      </c>
      <c r="J378" s="6">
        <v>0.0</v>
      </c>
      <c r="L378" s="6">
        <v>0.0</v>
      </c>
      <c r="M378" s="6" t="s">
        <v>6154</v>
      </c>
      <c r="N378" s="6" t="s">
        <v>4880</v>
      </c>
      <c r="O378" s="6" t="s">
        <v>4880</v>
      </c>
    </row>
    <row r="379">
      <c r="A379" s="6" t="s">
        <v>6155</v>
      </c>
      <c r="B379" s="6" t="s">
        <v>6155</v>
      </c>
      <c r="C379" s="6" t="s">
        <v>6156</v>
      </c>
      <c r="D379" s="6">
        <v>381.0</v>
      </c>
      <c r="E379" s="6">
        <v>3.51433144775853E14</v>
      </c>
      <c r="G379" s="6" t="s">
        <v>4874</v>
      </c>
      <c r="J379" s="6">
        <v>0.0</v>
      </c>
      <c r="L379" s="6">
        <v>0.0</v>
      </c>
      <c r="M379" s="6" t="s">
        <v>6157</v>
      </c>
      <c r="N379" s="6" t="s">
        <v>4880</v>
      </c>
      <c r="O379" s="6" t="s">
        <v>4880</v>
      </c>
    </row>
    <row r="380">
      <c r="A380" s="6" t="s">
        <v>6158</v>
      </c>
      <c r="B380" s="6" t="s">
        <v>6158</v>
      </c>
      <c r="C380" s="6" t="s">
        <v>6159</v>
      </c>
      <c r="D380" s="6">
        <v>382.0</v>
      </c>
      <c r="E380" s="6">
        <v>3.58686417129909E14</v>
      </c>
      <c r="G380" s="6" t="s">
        <v>4874</v>
      </c>
      <c r="J380" s="6">
        <v>0.0</v>
      </c>
      <c r="L380" s="6">
        <v>0.0</v>
      </c>
      <c r="M380" s="6" t="s">
        <v>6160</v>
      </c>
      <c r="N380" s="6" t="s">
        <v>4880</v>
      </c>
      <c r="O380" s="6" t="s">
        <v>4880</v>
      </c>
    </row>
    <row r="381">
      <c r="A381" s="6" t="s">
        <v>6161</v>
      </c>
      <c r="B381" s="6" t="s">
        <v>6161</v>
      </c>
      <c r="C381" s="6" t="s">
        <v>6162</v>
      </c>
      <c r="D381" s="6">
        <v>383.0</v>
      </c>
      <c r="E381" s="6" t="s">
        <v>6163</v>
      </c>
      <c r="G381" s="6" t="s">
        <v>4874</v>
      </c>
      <c r="J381" s="6">
        <v>0.0</v>
      </c>
      <c r="L381" s="6">
        <v>0.0</v>
      </c>
      <c r="M381" s="6" t="s">
        <v>6164</v>
      </c>
      <c r="N381" s="6" t="s">
        <v>4880</v>
      </c>
      <c r="O381" s="6" t="s">
        <v>4880</v>
      </c>
    </row>
    <row r="382">
      <c r="A382" s="6" t="s">
        <v>6165</v>
      </c>
      <c r="B382" s="6" t="s">
        <v>6165</v>
      </c>
      <c r="C382" s="6" t="s">
        <v>6166</v>
      </c>
      <c r="D382" s="6">
        <v>384.0</v>
      </c>
      <c r="E382" s="6">
        <v>3.56086092354736E14</v>
      </c>
      <c r="G382" s="6" t="s">
        <v>4874</v>
      </c>
      <c r="J382" s="6">
        <v>0.0</v>
      </c>
      <c r="L382" s="6">
        <v>0.0</v>
      </c>
      <c r="M382" s="6" t="s">
        <v>6167</v>
      </c>
      <c r="N382" s="6" t="s">
        <v>4880</v>
      </c>
      <c r="O382" s="6" t="s">
        <v>4880</v>
      </c>
    </row>
    <row r="383">
      <c r="A383" s="6" t="s">
        <v>6168</v>
      </c>
      <c r="B383" s="6" t="s">
        <v>6168</v>
      </c>
      <c r="C383" s="6" t="s">
        <v>6169</v>
      </c>
      <c r="D383" s="6">
        <v>385.0</v>
      </c>
      <c r="E383" s="6">
        <v>3.54230912637266E14</v>
      </c>
      <c r="G383" s="6" t="s">
        <v>4874</v>
      </c>
      <c r="J383" s="6">
        <v>0.0</v>
      </c>
      <c r="L383" s="6">
        <v>0.0</v>
      </c>
      <c r="M383" s="6" t="s">
        <v>6170</v>
      </c>
      <c r="N383" s="6" t="s">
        <v>4880</v>
      </c>
      <c r="O383" s="6" t="s">
        <v>4880</v>
      </c>
    </row>
    <row r="384">
      <c r="A384" s="6" t="s">
        <v>6171</v>
      </c>
      <c r="B384" s="6" t="s">
        <v>6171</v>
      </c>
      <c r="C384" s="6" t="s">
        <v>6172</v>
      </c>
      <c r="D384" s="6">
        <v>386.0</v>
      </c>
      <c r="E384" s="6">
        <v>3.54230916428563E14</v>
      </c>
      <c r="G384" s="6" t="s">
        <v>4874</v>
      </c>
      <c r="J384" s="6">
        <v>0.0</v>
      </c>
      <c r="L384" s="6">
        <v>0.0</v>
      </c>
      <c r="M384" s="6" t="s">
        <v>6173</v>
      </c>
      <c r="N384" s="6" t="s">
        <v>4880</v>
      </c>
      <c r="O384" s="6" t="s">
        <v>4880</v>
      </c>
    </row>
    <row r="385">
      <c r="A385" s="6" t="s">
        <v>6174</v>
      </c>
      <c r="B385" s="6" t="s">
        <v>6174</v>
      </c>
      <c r="C385" s="6" t="s">
        <v>6175</v>
      </c>
      <c r="D385" s="6">
        <v>387.0</v>
      </c>
      <c r="E385" s="6">
        <v>3.50165055577768E14</v>
      </c>
      <c r="G385" s="6" t="s">
        <v>4874</v>
      </c>
      <c r="J385" s="6">
        <v>0.0</v>
      </c>
      <c r="L385" s="6">
        <v>0.0</v>
      </c>
      <c r="M385" s="6" t="s">
        <v>6176</v>
      </c>
      <c r="N385" s="6" t="s">
        <v>4880</v>
      </c>
      <c r="O385" s="6" t="s">
        <v>4880</v>
      </c>
    </row>
    <row r="386">
      <c r="A386" s="6" t="s">
        <v>6177</v>
      </c>
      <c r="B386" s="6" t="s">
        <v>6177</v>
      </c>
      <c r="C386" s="6" t="s">
        <v>6178</v>
      </c>
      <c r="D386" s="6">
        <v>388.0</v>
      </c>
      <c r="E386" s="6">
        <v>3.57797970138046E14</v>
      </c>
      <c r="G386" s="6" t="s">
        <v>4874</v>
      </c>
      <c r="J386" s="6">
        <v>0.0</v>
      </c>
      <c r="L386" s="6">
        <v>0.0</v>
      </c>
      <c r="M386" s="6" t="s">
        <v>6179</v>
      </c>
      <c r="N386" s="6" t="s">
        <v>4880</v>
      </c>
      <c r="O386" s="6" t="s">
        <v>4880</v>
      </c>
    </row>
    <row r="387">
      <c r="A387" s="6" t="s">
        <v>6180</v>
      </c>
      <c r="B387" s="6" t="s">
        <v>6180</v>
      </c>
      <c r="C387" s="6" t="s">
        <v>6181</v>
      </c>
      <c r="D387" s="6">
        <v>389.0</v>
      </c>
      <c r="E387" s="6">
        <v>3.55939978190338E14</v>
      </c>
      <c r="G387" s="6" t="s">
        <v>4874</v>
      </c>
      <c r="J387" s="6">
        <v>0.0</v>
      </c>
      <c r="L387" s="6">
        <v>0.0</v>
      </c>
      <c r="M387" s="6" t="s">
        <v>6182</v>
      </c>
      <c r="N387" s="6" t="s">
        <v>4880</v>
      </c>
      <c r="O387" s="6" t="s">
        <v>4880</v>
      </c>
    </row>
    <row r="388">
      <c r="A388" s="6" t="s">
        <v>6183</v>
      </c>
      <c r="B388" s="6" t="s">
        <v>6183</v>
      </c>
      <c r="C388" s="6" t="s">
        <v>6184</v>
      </c>
      <c r="D388" s="6">
        <v>390.0</v>
      </c>
      <c r="E388" s="6">
        <v>3.53342888286365E14</v>
      </c>
      <c r="G388" s="6" t="s">
        <v>4874</v>
      </c>
      <c r="J388" s="6">
        <v>0.0</v>
      </c>
      <c r="L388" s="6">
        <v>0.0</v>
      </c>
      <c r="M388" s="6" t="s">
        <v>6185</v>
      </c>
      <c r="N388" s="6" t="s">
        <v>4880</v>
      </c>
      <c r="O388" s="6" t="s">
        <v>4880</v>
      </c>
    </row>
    <row r="389">
      <c r="A389" s="6" t="s">
        <v>6186</v>
      </c>
      <c r="B389" s="6" t="s">
        <v>6186</v>
      </c>
      <c r="C389" s="6" t="s">
        <v>6187</v>
      </c>
      <c r="D389" s="6">
        <v>391.0</v>
      </c>
      <c r="E389" s="6">
        <v>3.56543102375689E14</v>
      </c>
      <c r="G389" s="6" t="s">
        <v>4874</v>
      </c>
      <c r="J389" s="6">
        <v>0.0</v>
      </c>
      <c r="L389" s="6">
        <v>0.0</v>
      </c>
      <c r="M389" s="6" t="s">
        <v>6188</v>
      </c>
      <c r="N389" s="6" t="s">
        <v>4880</v>
      </c>
      <c r="O389" s="6" t="s">
        <v>4880</v>
      </c>
    </row>
    <row r="390">
      <c r="A390" s="6" t="s">
        <v>6189</v>
      </c>
      <c r="B390" s="6" t="s">
        <v>6189</v>
      </c>
      <c r="C390" s="6" t="s">
        <v>6190</v>
      </c>
      <c r="D390" s="6">
        <v>392.0</v>
      </c>
      <c r="E390" s="6">
        <v>3.5776985040567E14</v>
      </c>
      <c r="G390" s="6" t="s">
        <v>4874</v>
      </c>
      <c r="J390" s="6">
        <v>0.0</v>
      </c>
      <c r="L390" s="6">
        <v>0.0</v>
      </c>
      <c r="M390" s="6" t="s">
        <v>6191</v>
      </c>
      <c r="N390" s="6" t="s">
        <v>4880</v>
      </c>
      <c r="O390" s="6" t="s">
        <v>4880</v>
      </c>
    </row>
    <row r="391">
      <c r="A391" s="6" t="s">
        <v>6192</v>
      </c>
      <c r="B391" s="6" t="s">
        <v>6192</v>
      </c>
      <c r="C391" s="6" t="s">
        <v>6193</v>
      </c>
      <c r="D391" s="6">
        <v>393.0</v>
      </c>
      <c r="E391" s="6">
        <v>3.52306395277143E14</v>
      </c>
      <c r="G391" s="6" t="s">
        <v>4874</v>
      </c>
      <c r="J391" s="6">
        <v>0.0</v>
      </c>
      <c r="L391" s="6">
        <v>0.0</v>
      </c>
      <c r="M391" s="6" t="s">
        <v>6194</v>
      </c>
      <c r="N391" s="6" t="s">
        <v>4880</v>
      </c>
      <c r="O391" s="6" t="s">
        <v>4880</v>
      </c>
    </row>
    <row r="392">
      <c r="A392" s="6" t="s">
        <v>6195</v>
      </c>
      <c r="B392" s="6" t="s">
        <v>6195</v>
      </c>
      <c r="C392" s="6" t="s">
        <v>6196</v>
      </c>
      <c r="D392" s="6">
        <v>394.0</v>
      </c>
      <c r="E392" s="6">
        <v>3.53662256514381E14</v>
      </c>
      <c r="G392" s="6" t="s">
        <v>4874</v>
      </c>
      <c r="J392" s="6">
        <v>0.0</v>
      </c>
      <c r="L392" s="6">
        <v>0.0</v>
      </c>
      <c r="M392" s="6" t="s">
        <v>6197</v>
      </c>
      <c r="N392" s="6" t="s">
        <v>4880</v>
      </c>
      <c r="O392" s="6" t="s">
        <v>4880</v>
      </c>
    </row>
    <row r="393">
      <c r="A393" s="6" t="s">
        <v>6198</v>
      </c>
      <c r="B393" s="6" t="s">
        <v>6198</v>
      </c>
      <c r="C393" s="6" t="s">
        <v>6199</v>
      </c>
      <c r="D393" s="6">
        <v>395.0</v>
      </c>
      <c r="E393" s="6">
        <v>3.51605720358861E14</v>
      </c>
      <c r="G393" s="6" t="s">
        <v>4874</v>
      </c>
      <c r="J393" s="6">
        <v>0.0</v>
      </c>
      <c r="L393" s="6">
        <v>0.0</v>
      </c>
      <c r="M393" s="6" t="s">
        <v>6200</v>
      </c>
      <c r="N393" s="6" t="s">
        <v>4880</v>
      </c>
      <c r="O393" s="6" t="s">
        <v>4880</v>
      </c>
    </row>
    <row r="394">
      <c r="A394" s="6" t="s">
        <v>6201</v>
      </c>
      <c r="B394" s="6" t="s">
        <v>6201</v>
      </c>
      <c r="C394" s="6" t="s">
        <v>6202</v>
      </c>
      <c r="D394" s="6">
        <v>396.0</v>
      </c>
      <c r="E394" s="6">
        <v>3.58302111565956E14</v>
      </c>
      <c r="G394" s="6" t="s">
        <v>4874</v>
      </c>
      <c r="J394" s="6">
        <v>0.0</v>
      </c>
      <c r="L394" s="6">
        <v>0.0</v>
      </c>
      <c r="M394" s="6" t="s">
        <v>6203</v>
      </c>
      <c r="N394" s="6" t="s">
        <v>4880</v>
      </c>
      <c r="O394" s="6" t="s">
        <v>4880</v>
      </c>
    </row>
    <row r="395">
      <c r="A395" s="6" t="s">
        <v>6204</v>
      </c>
      <c r="B395" s="6" t="s">
        <v>6204</v>
      </c>
      <c r="C395" s="6" t="s">
        <v>6205</v>
      </c>
      <c r="D395" s="6">
        <v>397.0</v>
      </c>
      <c r="E395" s="6">
        <v>3.50032730355095E14</v>
      </c>
      <c r="G395" s="6" t="s">
        <v>5745</v>
      </c>
      <c r="J395" s="6">
        <v>0.0</v>
      </c>
      <c r="L395" s="6">
        <v>0.0</v>
      </c>
      <c r="M395" s="6" t="s">
        <v>6206</v>
      </c>
      <c r="N395" s="6" t="s">
        <v>4880</v>
      </c>
      <c r="O395" s="6" t="s">
        <v>4880</v>
      </c>
    </row>
    <row r="396">
      <c r="A396" s="6" t="s">
        <v>6207</v>
      </c>
      <c r="B396" s="6" t="s">
        <v>6207</v>
      </c>
      <c r="C396" s="6" t="s">
        <v>6208</v>
      </c>
      <c r="D396" s="6">
        <v>398.0</v>
      </c>
      <c r="E396" s="6">
        <v>3.53906104909362E14</v>
      </c>
      <c r="F396" s="6" t="s">
        <v>855</v>
      </c>
      <c r="G396" s="6" t="s">
        <v>4874</v>
      </c>
      <c r="J396" s="6">
        <v>0.0</v>
      </c>
      <c r="L396" s="6">
        <v>0.0</v>
      </c>
      <c r="M396" s="6" t="s">
        <v>6209</v>
      </c>
      <c r="N396" s="6" t="s">
        <v>4880</v>
      </c>
      <c r="O396" s="6" t="s">
        <v>4880</v>
      </c>
    </row>
    <row r="397">
      <c r="A397" s="6" t="s">
        <v>6210</v>
      </c>
      <c r="B397" s="6" t="s">
        <v>6210</v>
      </c>
      <c r="C397" s="6" t="s">
        <v>6211</v>
      </c>
      <c r="D397" s="6">
        <v>399.0</v>
      </c>
      <c r="E397" s="6">
        <v>3.50114363080305E14</v>
      </c>
      <c r="F397" s="6" t="s">
        <v>70</v>
      </c>
      <c r="G397" s="6" t="s">
        <v>4874</v>
      </c>
      <c r="J397" s="6">
        <v>0.0</v>
      </c>
      <c r="L397" s="6">
        <v>0.0</v>
      </c>
      <c r="M397" s="6" t="s">
        <v>6212</v>
      </c>
      <c r="N397" s="6" t="s">
        <v>4880</v>
      </c>
      <c r="O397" s="6" t="s">
        <v>4880</v>
      </c>
    </row>
    <row r="398">
      <c r="A398" s="6" t="s">
        <v>6213</v>
      </c>
      <c r="B398" s="6" t="s">
        <v>6213</v>
      </c>
      <c r="C398" s="6" t="s">
        <v>6214</v>
      </c>
      <c r="D398" s="6">
        <v>400.0</v>
      </c>
      <c r="E398" s="6">
        <v>3.55845080208761E14</v>
      </c>
      <c r="F398" s="6" t="s">
        <v>1705</v>
      </c>
      <c r="G398" s="6" t="s">
        <v>4874</v>
      </c>
      <c r="J398" s="6">
        <v>0.0</v>
      </c>
      <c r="L398" s="6">
        <v>0.0</v>
      </c>
      <c r="M398" s="6" t="s">
        <v>6215</v>
      </c>
      <c r="N398" s="6" t="s">
        <v>4880</v>
      </c>
      <c r="O398" s="6" t="s">
        <v>4880</v>
      </c>
    </row>
    <row r="399">
      <c r="A399" s="6" t="s">
        <v>6216</v>
      </c>
      <c r="B399" s="6" t="s">
        <v>6216</v>
      </c>
      <c r="C399" s="6" t="s">
        <v>6217</v>
      </c>
      <c r="D399" s="6">
        <v>401.0</v>
      </c>
      <c r="E399" s="6">
        <v>3.5334288655529E14</v>
      </c>
      <c r="F399" s="6" t="s">
        <v>1562</v>
      </c>
      <c r="G399" s="6" t="s">
        <v>4874</v>
      </c>
      <c r="J399" s="6">
        <v>0.0</v>
      </c>
      <c r="L399" s="6">
        <v>0.0</v>
      </c>
      <c r="M399" s="6" t="s">
        <v>6218</v>
      </c>
      <c r="N399" s="6" t="s">
        <v>4880</v>
      </c>
      <c r="O399" s="6" t="s">
        <v>4880</v>
      </c>
    </row>
    <row r="400">
      <c r="A400" s="6" t="s">
        <v>6219</v>
      </c>
      <c r="B400" s="6" t="s">
        <v>6219</v>
      </c>
      <c r="C400" s="6" t="s">
        <v>6220</v>
      </c>
      <c r="D400" s="6">
        <v>402.0</v>
      </c>
      <c r="E400" s="6">
        <v>3.58355843220282E14</v>
      </c>
      <c r="F400" s="6" t="s">
        <v>851</v>
      </c>
      <c r="G400" s="6" t="s">
        <v>4874</v>
      </c>
      <c r="J400" s="6">
        <v>0.0</v>
      </c>
      <c r="L400" s="6">
        <v>0.0</v>
      </c>
      <c r="M400" s="6" t="s">
        <v>6221</v>
      </c>
      <c r="N400" s="6" t="s">
        <v>4880</v>
      </c>
      <c r="O400" s="6" t="s">
        <v>4880</v>
      </c>
    </row>
    <row r="401">
      <c r="A401" s="6" t="s">
        <v>6222</v>
      </c>
      <c r="B401" s="6" t="s">
        <v>6222</v>
      </c>
      <c r="C401" s="6" t="s">
        <v>6223</v>
      </c>
      <c r="D401" s="6">
        <v>403.0</v>
      </c>
      <c r="E401" s="6">
        <v>3.53263428082785E14</v>
      </c>
      <c r="F401" s="6" t="s">
        <v>400</v>
      </c>
      <c r="G401" s="6" t="s">
        <v>4874</v>
      </c>
      <c r="J401" s="6">
        <v>0.0</v>
      </c>
      <c r="L401" s="6">
        <v>0.0</v>
      </c>
      <c r="M401" s="6" t="s">
        <v>6224</v>
      </c>
      <c r="N401" s="6" t="s">
        <v>4880</v>
      </c>
      <c r="O401" s="6" t="s">
        <v>4880</v>
      </c>
    </row>
    <row r="402">
      <c r="A402" s="6" t="s">
        <v>6225</v>
      </c>
      <c r="B402" s="6" t="s">
        <v>6225</v>
      </c>
      <c r="C402" s="6" t="s">
        <v>6226</v>
      </c>
      <c r="D402" s="6">
        <v>404.0</v>
      </c>
      <c r="F402" s="6" t="s">
        <v>1776</v>
      </c>
      <c r="G402" s="6" t="s">
        <v>5700</v>
      </c>
      <c r="J402" s="6">
        <v>0.0</v>
      </c>
      <c r="L402" s="6">
        <v>0.0</v>
      </c>
      <c r="M402" s="6" t="s">
        <v>6227</v>
      </c>
      <c r="N402" s="6" t="s">
        <v>4880</v>
      </c>
      <c r="O402" s="6" t="s">
        <v>4880</v>
      </c>
    </row>
    <row r="403">
      <c r="A403" s="6" t="s">
        <v>6228</v>
      </c>
      <c r="B403" s="6" t="s">
        <v>6228</v>
      </c>
      <c r="C403" s="6" t="s">
        <v>6229</v>
      </c>
      <c r="D403" s="6">
        <v>405.0</v>
      </c>
      <c r="E403" s="6">
        <v>3.56258487038139E14</v>
      </c>
      <c r="F403" s="6" t="s">
        <v>620</v>
      </c>
      <c r="G403" s="6" t="s">
        <v>4874</v>
      </c>
      <c r="J403" s="6">
        <v>0.0</v>
      </c>
      <c r="L403" s="6">
        <v>0.0</v>
      </c>
      <c r="M403" s="6" t="s">
        <v>6230</v>
      </c>
      <c r="N403" s="6" t="s">
        <v>4880</v>
      </c>
      <c r="O403" s="6" t="s">
        <v>4880</v>
      </c>
    </row>
    <row r="404">
      <c r="A404" s="6" t="s">
        <v>6231</v>
      </c>
      <c r="B404" s="6" t="s">
        <v>6231</v>
      </c>
      <c r="C404" s="6" t="s">
        <v>6232</v>
      </c>
      <c r="D404" s="6">
        <v>406.0</v>
      </c>
      <c r="E404" s="6">
        <v>3.53268399262753E14</v>
      </c>
      <c r="F404" s="6" t="s">
        <v>2018</v>
      </c>
      <c r="G404" s="6" t="s">
        <v>4874</v>
      </c>
      <c r="J404" s="6">
        <v>0.0</v>
      </c>
      <c r="L404" s="6">
        <v>0.0</v>
      </c>
      <c r="M404" s="6" t="s">
        <v>6233</v>
      </c>
      <c r="N404" s="6" t="s">
        <v>4880</v>
      </c>
      <c r="O404" s="6" t="s">
        <v>4880</v>
      </c>
    </row>
    <row r="405">
      <c r="A405" s="6" t="s">
        <v>6234</v>
      </c>
      <c r="B405" s="6" t="s">
        <v>6234</v>
      </c>
      <c r="C405" s="6" t="s">
        <v>6235</v>
      </c>
      <c r="D405" s="6">
        <v>407.0</v>
      </c>
      <c r="E405" s="6">
        <v>3.57170546854167E14</v>
      </c>
      <c r="F405" s="6" t="s">
        <v>54</v>
      </c>
      <c r="G405" s="6" t="s">
        <v>5700</v>
      </c>
      <c r="J405" s="6">
        <v>0.0</v>
      </c>
      <c r="L405" s="6">
        <v>0.0</v>
      </c>
      <c r="M405" s="6" t="s">
        <v>6236</v>
      </c>
      <c r="N405" s="6" t="s">
        <v>4880</v>
      </c>
      <c r="O405" s="6" t="s">
        <v>4880</v>
      </c>
    </row>
    <row r="406">
      <c r="A406" s="6" t="s">
        <v>6237</v>
      </c>
      <c r="B406" s="6" t="s">
        <v>6237</v>
      </c>
      <c r="C406" s="6" t="s">
        <v>6238</v>
      </c>
      <c r="D406" s="6">
        <v>408.0</v>
      </c>
      <c r="E406" s="6" t="s">
        <v>6239</v>
      </c>
      <c r="G406" s="6" t="s">
        <v>5745</v>
      </c>
      <c r="J406" s="6">
        <v>0.0</v>
      </c>
      <c r="L406" s="6">
        <v>0.0</v>
      </c>
      <c r="M406" s="6" t="s">
        <v>6240</v>
      </c>
      <c r="N406" s="6" t="s">
        <v>4880</v>
      </c>
      <c r="O406" s="6" t="s">
        <v>4880</v>
      </c>
    </row>
    <row r="407">
      <c r="A407" s="6" t="s">
        <v>6241</v>
      </c>
      <c r="B407" s="6" t="s">
        <v>6241</v>
      </c>
      <c r="C407" s="6" t="s">
        <v>6242</v>
      </c>
      <c r="D407" s="6">
        <v>409.0</v>
      </c>
      <c r="E407" s="6">
        <v>3.52045531646999E14</v>
      </c>
      <c r="G407" s="6" t="s">
        <v>5745</v>
      </c>
      <c r="J407" s="6">
        <v>0.0</v>
      </c>
      <c r="L407" s="6">
        <v>0.0</v>
      </c>
      <c r="M407" s="6" t="s">
        <v>6243</v>
      </c>
      <c r="N407" s="6" t="s">
        <v>4880</v>
      </c>
      <c r="O407" s="6" t="s">
        <v>4880</v>
      </c>
    </row>
    <row r="408">
      <c r="A408" s="6" t="s">
        <v>6244</v>
      </c>
      <c r="B408" s="6" t="s">
        <v>6244</v>
      </c>
      <c r="C408" s="6" t="s">
        <v>6245</v>
      </c>
      <c r="D408" s="6">
        <v>410.0</v>
      </c>
      <c r="E408" s="6">
        <v>3.51188229101645E14</v>
      </c>
      <c r="F408" s="6" t="s">
        <v>108</v>
      </c>
      <c r="G408" s="6" t="s">
        <v>4874</v>
      </c>
      <c r="J408" s="6">
        <v>0.0</v>
      </c>
      <c r="L408" s="6">
        <v>0.0</v>
      </c>
      <c r="M408" s="6" t="s">
        <v>6246</v>
      </c>
      <c r="N408" s="6" t="s">
        <v>4880</v>
      </c>
      <c r="O408" s="6" t="s">
        <v>4880</v>
      </c>
    </row>
    <row r="409">
      <c r="A409" s="6" t="s">
        <v>6247</v>
      </c>
      <c r="B409" s="6" t="s">
        <v>6247</v>
      </c>
      <c r="C409" s="6" t="s">
        <v>6248</v>
      </c>
      <c r="D409" s="6">
        <v>411.0</v>
      </c>
      <c r="E409" s="6">
        <v>3.58206139865878E14</v>
      </c>
      <c r="G409" s="6" t="s">
        <v>5745</v>
      </c>
      <c r="J409" s="6">
        <v>0.0</v>
      </c>
      <c r="L409" s="6">
        <v>0.0</v>
      </c>
      <c r="M409" s="6" t="s">
        <v>6249</v>
      </c>
      <c r="N409" s="6" t="s">
        <v>4880</v>
      </c>
      <c r="O409" s="6" t="s">
        <v>4880</v>
      </c>
    </row>
    <row r="410">
      <c r="A410" s="6" t="s">
        <v>6250</v>
      </c>
      <c r="B410" s="6" t="s">
        <v>6250</v>
      </c>
      <c r="C410" s="6" t="s">
        <v>6251</v>
      </c>
      <c r="D410" s="6">
        <v>412.0</v>
      </c>
      <c r="E410" s="6">
        <v>3.5002296365904E14</v>
      </c>
      <c r="F410" s="6" t="s">
        <v>2106</v>
      </c>
      <c r="G410" s="6" t="s">
        <v>4874</v>
      </c>
      <c r="J410" s="6">
        <v>0.0</v>
      </c>
      <c r="L410" s="6">
        <v>0.0</v>
      </c>
      <c r="M410" s="6" t="s">
        <v>6252</v>
      </c>
      <c r="N410" s="6" t="s">
        <v>4880</v>
      </c>
      <c r="O410" s="6" t="s">
        <v>4880</v>
      </c>
    </row>
    <row r="411">
      <c r="A411" s="6" t="s">
        <v>6253</v>
      </c>
      <c r="B411" s="6" t="s">
        <v>6253</v>
      </c>
      <c r="C411" s="6" t="s">
        <v>6254</v>
      </c>
      <c r="D411" s="6">
        <v>413.0</v>
      </c>
      <c r="E411" s="6" t="s">
        <v>2008</v>
      </c>
      <c r="F411" s="6" t="s">
        <v>2006</v>
      </c>
      <c r="G411" s="6" t="s">
        <v>4874</v>
      </c>
      <c r="J411" s="6">
        <v>0.0</v>
      </c>
      <c r="L411" s="6">
        <v>0.0</v>
      </c>
      <c r="M411" s="6" t="s">
        <v>6255</v>
      </c>
      <c r="N411" s="6" t="s">
        <v>4880</v>
      </c>
      <c r="O411" s="6" t="s">
        <v>4880</v>
      </c>
    </row>
    <row r="412">
      <c r="A412" s="6" t="s">
        <v>6256</v>
      </c>
      <c r="B412" s="6" t="s">
        <v>6256</v>
      </c>
      <c r="C412" s="6" t="s">
        <v>6257</v>
      </c>
      <c r="D412" s="6">
        <v>414.0</v>
      </c>
      <c r="E412" s="6" t="s">
        <v>2149</v>
      </c>
      <c r="F412" s="6" t="s">
        <v>605</v>
      </c>
      <c r="G412" s="6" t="s">
        <v>4874</v>
      </c>
      <c r="J412" s="6">
        <v>0.0</v>
      </c>
      <c r="L412" s="6">
        <v>0.0</v>
      </c>
      <c r="M412" s="6" t="s">
        <v>6258</v>
      </c>
      <c r="N412" s="6" t="s">
        <v>4880</v>
      </c>
      <c r="O412" s="6" t="s">
        <v>4880</v>
      </c>
    </row>
    <row r="413">
      <c r="A413" s="6" t="s">
        <v>6259</v>
      </c>
      <c r="B413" s="6" t="s">
        <v>6259</v>
      </c>
      <c r="C413" s="6" t="s">
        <v>6260</v>
      </c>
      <c r="D413" s="6">
        <v>415.0</v>
      </c>
      <c r="E413" s="6" t="s">
        <v>2219</v>
      </c>
      <c r="F413" s="6" t="s">
        <v>2118</v>
      </c>
      <c r="G413" s="6" t="s">
        <v>4874</v>
      </c>
      <c r="J413" s="6">
        <v>0.0</v>
      </c>
      <c r="L413" s="6">
        <v>0.0</v>
      </c>
      <c r="M413" s="6" t="s">
        <v>6261</v>
      </c>
      <c r="N413" s="6" t="s">
        <v>4880</v>
      </c>
      <c r="O413" s="6" t="s">
        <v>4880</v>
      </c>
    </row>
    <row r="414">
      <c r="A414" s="6" t="s">
        <v>6262</v>
      </c>
      <c r="B414" s="6" t="s">
        <v>6262</v>
      </c>
      <c r="C414" s="6" t="s">
        <v>6263</v>
      </c>
      <c r="D414" s="6">
        <v>416.0</v>
      </c>
      <c r="E414" s="6">
        <v>3.5776226784246E14</v>
      </c>
      <c r="F414" s="6" t="s">
        <v>1759</v>
      </c>
      <c r="G414" s="6" t="s">
        <v>4874</v>
      </c>
      <c r="J414" s="6">
        <v>0.0</v>
      </c>
      <c r="L414" s="6">
        <v>0.0</v>
      </c>
      <c r="M414" s="6" t="s">
        <v>6264</v>
      </c>
      <c r="N414" s="6" t="s">
        <v>4880</v>
      </c>
      <c r="O414" s="6" t="s">
        <v>4880</v>
      </c>
    </row>
    <row r="415">
      <c r="A415" s="6" t="s">
        <v>6265</v>
      </c>
      <c r="B415" s="6" t="s">
        <v>6265</v>
      </c>
      <c r="C415" s="6" t="s">
        <v>6266</v>
      </c>
      <c r="D415" s="6">
        <v>417.0</v>
      </c>
      <c r="E415" s="6">
        <v>3.53431655327849E14</v>
      </c>
      <c r="F415" s="6" t="s">
        <v>2048</v>
      </c>
      <c r="G415" s="6" t="s">
        <v>4874</v>
      </c>
      <c r="J415" s="6">
        <v>0.0</v>
      </c>
      <c r="L415" s="6">
        <v>0.0</v>
      </c>
      <c r="M415" s="6" t="s">
        <v>6267</v>
      </c>
      <c r="N415" s="6" t="s">
        <v>4880</v>
      </c>
      <c r="O415" s="6" t="s">
        <v>4880</v>
      </c>
    </row>
    <row r="416">
      <c r="A416" s="6" t="s">
        <v>6268</v>
      </c>
      <c r="B416" s="6" t="s">
        <v>6268</v>
      </c>
      <c r="C416" s="6" t="s">
        <v>6269</v>
      </c>
      <c r="D416" s="6">
        <v>418.0</v>
      </c>
      <c r="E416" s="6">
        <v>3.53992319885357E14</v>
      </c>
      <c r="F416" s="6" t="s">
        <v>2081</v>
      </c>
      <c r="G416" s="6" t="s">
        <v>4874</v>
      </c>
      <c r="J416" s="6">
        <v>0.0</v>
      </c>
      <c r="L416" s="6">
        <v>0.0</v>
      </c>
      <c r="M416" s="6" t="s">
        <v>6270</v>
      </c>
      <c r="N416" s="6" t="s">
        <v>4880</v>
      </c>
      <c r="O416" s="6" t="s">
        <v>4880</v>
      </c>
    </row>
    <row r="417">
      <c r="A417" s="6" t="s">
        <v>6271</v>
      </c>
      <c r="B417" s="6" t="s">
        <v>6271</v>
      </c>
      <c r="C417" s="6" t="s">
        <v>6272</v>
      </c>
      <c r="D417" s="6">
        <v>419.0</v>
      </c>
      <c r="E417" s="6">
        <v>3.57498197864031E14</v>
      </c>
      <c r="F417" s="6" t="s">
        <v>2088</v>
      </c>
      <c r="G417" s="6" t="s">
        <v>4874</v>
      </c>
      <c r="J417" s="6">
        <v>0.0</v>
      </c>
      <c r="L417" s="6">
        <v>0.0</v>
      </c>
      <c r="M417" s="6" t="s">
        <v>6273</v>
      </c>
      <c r="N417" s="6" t="s">
        <v>4880</v>
      </c>
      <c r="O417" s="6" t="s">
        <v>4880</v>
      </c>
    </row>
    <row r="418">
      <c r="A418" s="6" t="s">
        <v>6274</v>
      </c>
      <c r="B418" s="6" t="s">
        <v>6274</v>
      </c>
      <c r="C418" s="6" t="s">
        <v>6275</v>
      </c>
      <c r="D418" s="6">
        <v>420.0</v>
      </c>
      <c r="E418" s="6">
        <v>3.51284086814162E14</v>
      </c>
      <c r="F418" s="6" t="s">
        <v>605</v>
      </c>
      <c r="G418" s="6" t="s">
        <v>4874</v>
      </c>
      <c r="J418" s="6">
        <v>0.0</v>
      </c>
      <c r="L418" s="6">
        <v>0.0</v>
      </c>
      <c r="M418" s="6" t="s">
        <v>6276</v>
      </c>
      <c r="N418" s="6" t="s">
        <v>4880</v>
      </c>
      <c r="O418" s="6" t="s">
        <v>4880</v>
      </c>
    </row>
    <row r="419">
      <c r="A419" s="6" t="s">
        <v>6277</v>
      </c>
      <c r="B419" s="6" t="s">
        <v>6277</v>
      </c>
      <c r="C419" s="6" t="s">
        <v>6278</v>
      </c>
      <c r="D419" s="6">
        <v>421.0</v>
      </c>
      <c r="E419" s="6">
        <v>3.54540530464186E14</v>
      </c>
      <c r="F419" s="6" t="s">
        <v>2192</v>
      </c>
      <c r="G419" s="6" t="s">
        <v>4874</v>
      </c>
      <c r="J419" s="6">
        <v>0.0</v>
      </c>
      <c r="L419" s="6">
        <v>0.0</v>
      </c>
      <c r="M419" s="6" t="s">
        <v>6279</v>
      </c>
      <c r="N419" s="6" t="s">
        <v>4880</v>
      </c>
      <c r="O419" s="6" t="s">
        <v>4880</v>
      </c>
    </row>
    <row r="420">
      <c r="A420" s="6" t="s">
        <v>6280</v>
      </c>
      <c r="B420" s="6" t="s">
        <v>6280</v>
      </c>
      <c r="C420" s="6" t="s">
        <v>6281</v>
      </c>
      <c r="D420" s="6">
        <v>422.0</v>
      </c>
      <c r="E420" s="6">
        <v>3.58933738239243E14</v>
      </c>
      <c r="F420" s="6" t="s">
        <v>2097</v>
      </c>
      <c r="G420" s="6" t="s">
        <v>4874</v>
      </c>
      <c r="J420" s="6">
        <v>0.0</v>
      </c>
      <c r="L420" s="6">
        <v>0.0</v>
      </c>
      <c r="M420" s="6" t="s">
        <v>6282</v>
      </c>
      <c r="N420" s="6" t="s">
        <v>4880</v>
      </c>
      <c r="O420" s="6" t="s">
        <v>4880</v>
      </c>
    </row>
    <row r="421">
      <c r="A421" s="6" t="s">
        <v>6283</v>
      </c>
      <c r="B421" s="6" t="s">
        <v>6283</v>
      </c>
      <c r="C421" s="6" t="s">
        <v>6284</v>
      </c>
      <c r="D421" s="6">
        <v>423.0</v>
      </c>
      <c r="E421" s="6" t="s">
        <v>2113</v>
      </c>
      <c r="F421" s="6" t="s">
        <v>2111</v>
      </c>
      <c r="G421" s="6" t="s">
        <v>4874</v>
      </c>
      <c r="J421" s="6">
        <v>0.0</v>
      </c>
      <c r="L421" s="6">
        <v>0.0</v>
      </c>
      <c r="M421" s="6" t="s">
        <v>6285</v>
      </c>
      <c r="N421" s="6" t="s">
        <v>4880</v>
      </c>
      <c r="O421" s="6" t="s">
        <v>4880</v>
      </c>
    </row>
    <row r="422">
      <c r="A422" s="6" t="s">
        <v>6286</v>
      </c>
      <c r="B422" s="6" t="s">
        <v>6286</v>
      </c>
      <c r="C422" s="6" t="s">
        <v>6287</v>
      </c>
      <c r="D422" s="6">
        <v>424.0</v>
      </c>
      <c r="E422" s="6">
        <v>3.5746352673296E14</v>
      </c>
      <c r="F422" s="6" t="s">
        <v>2384</v>
      </c>
      <c r="G422" s="6" t="s">
        <v>4874</v>
      </c>
      <c r="J422" s="6">
        <v>0.0</v>
      </c>
      <c r="L422" s="6">
        <v>0.0</v>
      </c>
      <c r="M422" s="6" t="s">
        <v>6288</v>
      </c>
      <c r="N422" s="6" t="s">
        <v>4880</v>
      </c>
      <c r="O422" s="6" t="s">
        <v>4880</v>
      </c>
    </row>
    <row r="423">
      <c r="A423" s="6" t="s">
        <v>6289</v>
      </c>
      <c r="B423" s="6" t="s">
        <v>6289</v>
      </c>
      <c r="C423" s="6" t="s">
        <v>6290</v>
      </c>
      <c r="D423" s="6">
        <v>425.0</v>
      </c>
      <c r="E423" s="6">
        <v>3.54029285395035E14</v>
      </c>
      <c r="F423" s="6" t="s">
        <v>851</v>
      </c>
      <c r="G423" s="6" t="s">
        <v>4874</v>
      </c>
      <c r="J423" s="6">
        <v>0.0</v>
      </c>
      <c r="L423" s="6">
        <v>0.0</v>
      </c>
      <c r="M423" s="6" t="s">
        <v>6291</v>
      </c>
      <c r="N423" s="6" t="s">
        <v>4880</v>
      </c>
      <c r="O423" s="6" t="s">
        <v>4880</v>
      </c>
    </row>
    <row r="424">
      <c r="A424" s="6" t="s">
        <v>6292</v>
      </c>
      <c r="B424" s="6" t="s">
        <v>6292</v>
      </c>
      <c r="C424" s="6" t="s">
        <v>6293</v>
      </c>
      <c r="D424" s="6">
        <v>426.0</v>
      </c>
      <c r="E424" s="6">
        <v>3.52142372175541E14</v>
      </c>
      <c r="F424" s="6" t="s">
        <v>2054</v>
      </c>
      <c r="G424" s="6" t="s">
        <v>4874</v>
      </c>
      <c r="J424" s="6">
        <v>0.0</v>
      </c>
      <c r="L424" s="6">
        <v>0.0</v>
      </c>
      <c r="M424" s="6" t="s">
        <v>6294</v>
      </c>
      <c r="N424" s="6" t="s">
        <v>4880</v>
      </c>
      <c r="O424" s="6" t="s">
        <v>4880</v>
      </c>
    </row>
    <row r="425">
      <c r="A425" s="6" t="s">
        <v>6295</v>
      </c>
      <c r="B425" s="6" t="s">
        <v>6295</v>
      </c>
      <c r="C425" s="6" t="s">
        <v>6296</v>
      </c>
      <c r="D425" s="6">
        <v>427.0</v>
      </c>
      <c r="E425" s="6">
        <v>3.59814712534123E14</v>
      </c>
      <c r="F425" s="6" t="s">
        <v>221</v>
      </c>
      <c r="G425" s="6" t="s">
        <v>4874</v>
      </c>
      <c r="J425" s="6">
        <v>0.0</v>
      </c>
      <c r="L425" s="6">
        <v>0.0</v>
      </c>
      <c r="M425" s="6" t="s">
        <v>6297</v>
      </c>
      <c r="N425" s="6" t="s">
        <v>4880</v>
      </c>
      <c r="O425" s="6" t="s">
        <v>4880</v>
      </c>
    </row>
    <row r="426">
      <c r="A426" s="6" t="s">
        <v>6298</v>
      </c>
      <c r="B426" s="6" t="s">
        <v>6298</v>
      </c>
      <c r="C426" s="6" t="s">
        <v>6299</v>
      </c>
      <c r="D426" s="6">
        <v>428.0</v>
      </c>
      <c r="E426" s="6">
        <v>3.52942563450037E14</v>
      </c>
      <c r="G426" s="6" t="s">
        <v>5745</v>
      </c>
      <c r="J426" s="6">
        <v>0.0</v>
      </c>
      <c r="L426" s="6">
        <v>0.0</v>
      </c>
      <c r="M426" s="6" t="s">
        <v>6300</v>
      </c>
      <c r="N426" s="6" t="s">
        <v>4880</v>
      </c>
      <c r="O426" s="6" t="s">
        <v>4880</v>
      </c>
    </row>
    <row r="427">
      <c r="A427" s="6" t="s">
        <v>6301</v>
      </c>
      <c r="B427" s="6" t="s">
        <v>6301</v>
      </c>
      <c r="C427" s="6" t="s">
        <v>6302</v>
      </c>
      <c r="D427" s="6">
        <v>429.0</v>
      </c>
      <c r="E427" s="6" t="s">
        <v>6303</v>
      </c>
      <c r="G427" s="6" t="s">
        <v>5745</v>
      </c>
      <c r="J427" s="6">
        <v>0.0</v>
      </c>
      <c r="L427" s="6">
        <v>0.0</v>
      </c>
      <c r="M427" s="6" t="s">
        <v>6304</v>
      </c>
      <c r="N427" s="6" t="s">
        <v>4880</v>
      </c>
      <c r="O427" s="6" t="s">
        <v>4880</v>
      </c>
    </row>
    <row r="428">
      <c r="A428" s="6" t="s">
        <v>6305</v>
      </c>
      <c r="B428" s="6" t="s">
        <v>6305</v>
      </c>
      <c r="C428" s="6" t="s">
        <v>6306</v>
      </c>
      <c r="D428" s="6">
        <v>430.0</v>
      </c>
      <c r="E428" s="6">
        <v>3.55818455602793E14</v>
      </c>
      <c r="G428" s="6" t="s">
        <v>5745</v>
      </c>
      <c r="J428" s="6">
        <v>0.0</v>
      </c>
      <c r="L428" s="6">
        <v>0.0</v>
      </c>
      <c r="M428" s="6" t="s">
        <v>6307</v>
      </c>
      <c r="N428" s="6" t="s">
        <v>4880</v>
      </c>
      <c r="O428" s="6" t="s">
        <v>4880</v>
      </c>
    </row>
    <row r="429">
      <c r="A429" s="6" t="s">
        <v>6308</v>
      </c>
      <c r="B429" s="6" t="s">
        <v>6308</v>
      </c>
      <c r="C429" s="6" t="s">
        <v>6309</v>
      </c>
      <c r="D429" s="6">
        <v>431.0</v>
      </c>
      <c r="E429" s="6">
        <v>1.23456789012345E14</v>
      </c>
      <c r="G429" s="6" t="s">
        <v>5745</v>
      </c>
      <c r="J429" s="6">
        <v>0.0</v>
      </c>
      <c r="L429" s="6">
        <v>0.0</v>
      </c>
      <c r="M429" s="6" t="s">
        <v>6310</v>
      </c>
      <c r="N429" s="6" t="s">
        <v>4880</v>
      </c>
      <c r="O429" s="6" t="s">
        <v>4880</v>
      </c>
    </row>
    <row r="430">
      <c r="A430" s="6" t="s">
        <v>6311</v>
      </c>
      <c r="B430" s="6" t="s">
        <v>6311</v>
      </c>
      <c r="C430" s="6" t="s">
        <v>6312</v>
      </c>
      <c r="D430" s="6">
        <v>432.0</v>
      </c>
      <c r="E430" s="6">
        <v>3.50599864034605E14</v>
      </c>
      <c r="G430" s="6" t="s">
        <v>5745</v>
      </c>
      <c r="J430" s="6">
        <v>0.0</v>
      </c>
      <c r="L430" s="6">
        <v>0.0</v>
      </c>
      <c r="M430" s="6" t="s">
        <v>6313</v>
      </c>
      <c r="N430" s="6" t="s">
        <v>4880</v>
      </c>
      <c r="O430" s="6" t="s">
        <v>4880</v>
      </c>
    </row>
    <row r="431">
      <c r="A431" s="6" t="s">
        <v>6314</v>
      </c>
      <c r="B431" s="6" t="s">
        <v>6314</v>
      </c>
      <c r="C431" s="6" t="s">
        <v>6315</v>
      </c>
      <c r="D431" s="6">
        <v>433.0</v>
      </c>
      <c r="E431" s="6">
        <v>3.53718462738667E14</v>
      </c>
      <c r="F431" s="6" t="s">
        <v>2431</v>
      </c>
      <c r="G431" s="6" t="s">
        <v>5700</v>
      </c>
      <c r="J431" s="6">
        <v>0.0</v>
      </c>
      <c r="L431" s="6">
        <v>0.0</v>
      </c>
      <c r="M431" s="6" t="s">
        <v>6316</v>
      </c>
      <c r="N431" s="6" t="s">
        <v>4880</v>
      </c>
      <c r="O431" s="6" t="s">
        <v>4880</v>
      </c>
    </row>
    <row r="432">
      <c r="A432" s="6" t="s">
        <v>6317</v>
      </c>
      <c r="B432" s="6" t="s">
        <v>6317</v>
      </c>
      <c r="C432" s="6" t="s">
        <v>6318</v>
      </c>
      <c r="D432" s="6">
        <v>434.0</v>
      </c>
      <c r="E432" s="6">
        <v>3.57254472881814E14</v>
      </c>
      <c r="G432" s="6" t="s">
        <v>5745</v>
      </c>
      <c r="J432" s="6">
        <v>0.0</v>
      </c>
      <c r="L432" s="6">
        <v>0.0</v>
      </c>
      <c r="M432" s="6" t="s">
        <v>6319</v>
      </c>
      <c r="N432" s="6" t="s">
        <v>4880</v>
      </c>
      <c r="O432" s="6" t="s">
        <v>4880</v>
      </c>
    </row>
    <row r="433">
      <c r="A433" s="6" t="s">
        <v>6320</v>
      </c>
      <c r="B433" s="6" t="s">
        <v>6320</v>
      </c>
      <c r="C433" s="6" t="s">
        <v>6321</v>
      </c>
      <c r="D433" s="6">
        <v>435.0</v>
      </c>
      <c r="G433" s="6" t="s">
        <v>5745</v>
      </c>
      <c r="J433" s="6">
        <v>0.0</v>
      </c>
      <c r="L433" s="6">
        <v>0.0</v>
      </c>
      <c r="M433" s="6" t="s">
        <v>6322</v>
      </c>
      <c r="N433" s="6" t="s">
        <v>4880</v>
      </c>
      <c r="O433" s="6" t="s">
        <v>4880</v>
      </c>
    </row>
    <row r="434">
      <c r="A434" s="6" t="s">
        <v>6323</v>
      </c>
      <c r="B434" s="6" t="s">
        <v>6323</v>
      </c>
      <c r="C434" s="6" t="s">
        <v>6324</v>
      </c>
      <c r="D434" s="6">
        <v>436.0</v>
      </c>
      <c r="E434" s="6">
        <v>3.55101470374973E14</v>
      </c>
      <c r="F434" s="6" t="s">
        <v>605</v>
      </c>
      <c r="G434" s="6" t="s">
        <v>4874</v>
      </c>
      <c r="J434" s="6">
        <v>0.0</v>
      </c>
      <c r="L434" s="6">
        <v>0.0</v>
      </c>
      <c r="M434" s="6" t="s">
        <v>6325</v>
      </c>
      <c r="N434" s="6" t="s">
        <v>4880</v>
      </c>
      <c r="O434" s="6" t="s">
        <v>4880</v>
      </c>
    </row>
    <row r="435">
      <c r="A435" s="6" t="s">
        <v>6326</v>
      </c>
      <c r="B435" s="6" t="s">
        <v>6326</v>
      </c>
      <c r="C435" s="6" t="s">
        <v>6327</v>
      </c>
      <c r="D435" s="6">
        <v>437.0</v>
      </c>
      <c r="E435" s="6">
        <v>3.57183964961505E14</v>
      </c>
      <c r="G435" s="6" t="s">
        <v>5745</v>
      </c>
      <c r="J435" s="6">
        <v>0.0</v>
      </c>
      <c r="L435" s="6">
        <v>0.0</v>
      </c>
      <c r="M435" s="6" t="s">
        <v>6328</v>
      </c>
      <c r="N435" s="6" t="s">
        <v>4880</v>
      </c>
      <c r="O435" s="6" t="s">
        <v>4880</v>
      </c>
    </row>
    <row r="436">
      <c r="A436" s="6" t="s">
        <v>6329</v>
      </c>
      <c r="B436" s="6" t="s">
        <v>6329</v>
      </c>
      <c r="C436" s="6" t="s">
        <v>6330</v>
      </c>
      <c r="D436" s="6">
        <v>438.0</v>
      </c>
      <c r="G436" s="6" t="s">
        <v>5745</v>
      </c>
      <c r="J436" s="6">
        <v>0.0</v>
      </c>
      <c r="L436" s="6">
        <v>0.0</v>
      </c>
      <c r="M436" s="6" t="s">
        <v>6331</v>
      </c>
      <c r="N436" s="6" t="s">
        <v>4880</v>
      </c>
      <c r="O436" s="6" t="s">
        <v>4880</v>
      </c>
    </row>
    <row r="437">
      <c r="A437" s="6" t="s">
        <v>6332</v>
      </c>
      <c r="B437" s="6" t="s">
        <v>6332</v>
      </c>
      <c r="C437" s="6" t="s">
        <v>6333</v>
      </c>
      <c r="D437" s="6">
        <v>439.0</v>
      </c>
      <c r="G437" s="6" t="s">
        <v>5745</v>
      </c>
      <c r="J437" s="6">
        <v>0.0</v>
      </c>
      <c r="L437" s="6">
        <v>0.0</v>
      </c>
      <c r="M437" s="6" t="s">
        <v>6334</v>
      </c>
      <c r="N437" s="6" t="s">
        <v>4880</v>
      </c>
      <c r="O437" s="6" t="s">
        <v>4880</v>
      </c>
    </row>
    <row r="438">
      <c r="A438" s="6" t="s">
        <v>6335</v>
      </c>
      <c r="B438" s="6" t="s">
        <v>6335</v>
      </c>
      <c r="C438" s="6" t="s">
        <v>6336</v>
      </c>
      <c r="D438" s="6">
        <v>440.0</v>
      </c>
      <c r="E438" s="6">
        <v>3.53407178571469E14</v>
      </c>
      <c r="F438" s="6" t="s">
        <v>984</v>
      </c>
      <c r="G438" s="6" t="s">
        <v>5700</v>
      </c>
      <c r="J438" s="6">
        <v>0.0</v>
      </c>
      <c r="L438" s="6">
        <v>0.0</v>
      </c>
      <c r="M438" s="6" t="s">
        <v>6337</v>
      </c>
      <c r="N438" s="6" t="s">
        <v>4880</v>
      </c>
      <c r="O438" s="6" t="s">
        <v>4880</v>
      </c>
    </row>
    <row r="439">
      <c r="A439" s="6" t="s">
        <v>6338</v>
      </c>
      <c r="B439" s="6" t="s">
        <v>6338</v>
      </c>
      <c r="C439" s="6" t="s">
        <v>6339</v>
      </c>
      <c r="D439" s="6">
        <v>441.0</v>
      </c>
      <c r="E439" s="6">
        <v>3.51829319886468E14</v>
      </c>
      <c r="F439" s="6" t="s">
        <v>408</v>
      </c>
      <c r="G439" s="6" t="s">
        <v>4874</v>
      </c>
      <c r="J439" s="6">
        <v>0.0</v>
      </c>
      <c r="L439" s="6">
        <v>0.0</v>
      </c>
      <c r="M439" s="6" t="s">
        <v>6340</v>
      </c>
      <c r="N439" s="6" t="s">
        <v>4880</v>
      </c>
      <c r="O439" s="6" t="s">
        <v>4880</v>
      </c>
    </row>
    <row r="440">
      <c r="A440" s="6" t="s">
        <v>6341</v>
      </c>
      <c r="B440" s="6" t="s">
        <v>6341</v>
      </c>
      <c r="C440" s="6" t="s">
        <v>6342</v>
      </c>
      <c r="D440" s="6">
        <v>442.0</v>
      </c>
      <c r="E440" s="6">
        <v>3.51935560787485E14</v>
      </c>
      <c r="G440" s="6" t="s">
        <v>5745</v>
      </c>
      <c r="J440" s="6">
        <v>0.0</v>
      </c>
      <c r="L440" s="6">
        <v>0.0</v>
      </c>
      <c r="M440" s="6" t="s">
        <v>6343</v>
      </c>
      <c r="N440" s="6" t="s">
        <v>4880</v>
      </c>
      <c r="O440" s="6" t="s">
        <v>4880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6344</v>
      </c>
      <c r="B1" s="6" t="s">
        <v>6345</v>
      </c>
      <c r="C1" s="6" t="s">
        <v>6346</v>
      </c>
      <c r="D1" s="6" t="s">
        <v>6347</v>
      </c>
      <c r="E1" s="6" t="s">
        <v>6348</v>
      </c>
      <c r="F1" s="6" t="s">
        <v>6349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6344</v>
      </c>
      <c r="B1" s="6" t="s">
        <v>6350</v>
      </c>
      <c r="C1" s="6" t="s">
        <v>6351</v>
      </c>
      <c r="D1" s="6" t="s">
        <v>6352</v>
      </c>
      <c r="E1" s="6" t="s">
        <v>6353</v>
      </c>
      <c r="F1" s="6" t="s">
        <v>6354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6344</v>
      </c>
      <c r="B1" s="6" t="s">
        <v>6355</v>
      </c>
      <c r="C1" s="6" t="s">
        <v>6356</v>
      </c>
      <c r="D1" s="6" t="s">
        <v>6357</v>
      </c>
      <c r="E1" s="6" t="s">
        <v>6358</v>
      </c>
      <c r="F1" s="6" t="s">
        <v>6359</v>
      </c>
      <c r="G1" s="6" t="s">
        <v>6360</v>
      </c>
      <c r="H1" s="6" t="s">
        <v>6361</v>
      </c>
      <c r="I1" s="6" t="s">
        <v>6351</v>
      </c>
      <c r="J1" s="6" t="s">
        <v>6362</v>
      </c>
      <c r="K1" s="6" t="s">
        <v>6363</v>
      </c>
    </row>
    <row r="2">
      <c r="A2" s="6" t="s">
        <v>6364</v>
      </c>
      <c r="B2" s="6" t="s">
        <v>6365</v>
      </c>
      <c r="C2" s="6" t="s">
        <v>6366</v>
      </c>
      <c r="D2" s="101">
        <v>46143.0</v>
      </c>
      <c r="E2" s="101">
        <v>46173.0</v>
      </c>
      <c r="F2" s="6">
        <v>6087000.0</v>
      </c>
      <c r="G2" s="6">
        <v>0.0</v>
      </c>
      <c r="H2" s="6">
        <v>6087000.0</v>
      </c>
      <c r="I2" s="6">
        <v>0.0</v>
      </c>
      <c r="J2" s="6">
        <v>6087000.0</v>
      </c>
      <c r="K2" s="6" t="s">
        <v>6367</v>
      </c>
    </row>
    <row r="3">
      <c r="A3" s="6" t="s">
        <v>6368</v>
      </c>
      <c r="B3" s="6" t="s">
        <v>6369</v>
      </c>
      <c r="C3" s="6" t="s">
        <v>6370</v>
      </c>
      <c r="D3" s="101">
        <v>46151.0</v>
      </c>
      <c r="E3" s="101">
        <v>46157.0</v>
      </c>
      <c r="F3" s="6">
        <v>0.0</v>
      </c>
      <c r="G3" s="6">
        <v>0.0</v>
      </c>
      <c r="H3" s="6">
        <v>0.0</v>
      </c>
      <c r="I3" s="6">
        <v>0.0</v>
      </c>
      <c r="J3" s="6">
        <v>0.0</v>
      </c>
      <c r="K3" s="6" t="s">
        <v>6371</v>
      </c>
    </row>
  </sheetData>
  <drawing r:id="rId1"/>
</worksheet>
</file>