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<sst xmlns="http://schemas.openxmlformats.org/spreadsheetml/2006/main" count="6261" uniqueCount="2589">
  <si>
    <t>8GB + 256GB SSD</t>
  </si>
  <si>
    <t>PAID DATE</t>
  </si>
  <si>
    <t>INTERNAL NOTE</t>
  </si>
  <si>
    <t>EXPENSE AMOUNT</t>
  </si>
  <si>
    <t>EXPENSE DESCRIPTION</t>
  </si>
  <si>
    <t>CALCULATED PROFIT</t>
  </si>
  <si>
    <t>S/N</t>
  </si>
  <si>
    <t>TIME</t>
  </si>
  <si>
    <t>PRODUCT STATUS</t>
  </si>
  <si>
    <t>DESCRIPTION</t>
  </si>
  <si>
    <t>COLOUR</t>
  </si>
  <si>
    <t>STORAGE</t>
  </si>
  <si>
    <t>IMEI</t>
  </si>
  <si>
    <t>COST PRICE</t>
  </si>
  <si>
    <t>Column 47</t>
  </si>
  <si>
    <t>DEVICE</t>
  </si>
  <si>
    <t>BATTERY. H</t>
  </si>
  <si>
    <t>NAME OF SELLER</t>
  </si>
  <si>
    <t>PHONE NUMBER OF SELLER</t>
  </si>
  <si>
    <t>STATUS OF DEVICE</t>
  </si>
  <si>
    <t>DATE BOUGHT</t>
  </si>
  <si>
    <t>NAME OF BUYER</t>
  </si>
  <si>
    <t>PHONE NUMBER OF BUYER</t>
  </si>
  <si>
    <t>AVAILABILITY/DATE SOLD</t>
  </si>
  <si>
    <t>CONDITIONS</t>
  </si>
  <si>
    <t>RECEIPT &amp; EVIDIENCE LINK</t>
  </si>
  <si>
    <t>Column 17</t>
  </si>
  <si>
    <t>RECORD_ID</t>
  </si>
  <si>
    <t>DEAL LOCATION</t>
  </si>
  <si>
    <t>Column 25</t>
  </si>
  <si>
    <t>Column 37</t>
  </si>
  <si>
    <t>Column 38</t>
  </si>
  <si>
    <t>Column 39</t>
  </si>
  <si>
    <t>1</t>
  </si>
  <si>
    <t>SOLD</t>
  </si>
  <si>
    <t>IPHONE 15 PRO MAX</t>
  </si>
  <si>
    <t>BLUE TITANIUM</t>
  </si>
  <si>
    <t>256GB</t>
  </si>
  <si>
    <t>359428791784739</t>
  </si>
  <si>
    <t>IPHONE</t>
  </si>
  <si>
    <t>89</t>
  </si>
  <si>
    <t>O.Z GADGET</t>
  </si>
  <si>
    <t>08106293924</t>
  </si>
  <si>
    <t>LOCKED</t>
  </si>
  <si>
    <t>OCTOBER, 6, 2024</t>
  </si>
  <si>
    <t>IYANUOLUWA DEMIGLOBAL</t>
  </si>
  <si>
    <t>08088480573</t>
  </si>
  <si>
    <t>NONE</t>
  </si>
  <si>
    <t>f4c0873e338746d89216ac34497d6f0b</t>
  </si>
  <si>
    <t>2</t>
  </si>
  <si>
    <t>IPHONE 13 PRO MAX</t>
  </si>
  <si>
    <t>GOLD</t>
  </si>
  <si>
    <t>128GB</t>
  </si>
  <si>
    <t>352846114777907</t>
  </si>
  <si>
    <t>90</t>
  </si>
  <si>
    <t>PAPPYTECH GADGET</t>
  </si>
  <si>
    <t>09064677372</t>
  </si>
  <si>
    <t>LOCKED (THEN UNLOCKED)</t>
  </si>
  <si>
    <t>SEPTEMBER, 30, 2024</t>
  </si>
  <si>
    <t>OLUFAD TELECOMMUNICATION</t>
  </si>
  <si>
    <t>09033780767</t>
  </si>
  <si>
    <t>12/23/2024</t>
  </si>
  <si>
    <t>3768e50b53064b5ba6ba5b400c6d2b89</t>
  </si>
  <si>
    <t>3</t>
  </si>
  <si>
    <t>IWATCH SERIES 7</t>
  </si>
  <si>
    <t>BLACK</t>
  </si>
  <si>
    <t>90+</t>
  </si>
  <si>
    <t>RWRGQWTLDG</t>
  </si>
  <si>
    <t>IWATCH</t>
  </si>
  <si>
    <t>97</t>
  </si>
  <si>
    <t>AKINRULI</t>
  </si>
  <si>
    <t>08153978826</t>
  </si>
  <si>
    <t>UNLOCKED (GPS)</t>
  </si>
  <si>
    <t xml:space="preserve">RUL </t>
  </si>
  <si>
    <t>cfa6b8aee46f496baf1bbf870b763913</t>
  </si>
  <si>
    <t>4</t>
  </si>
  <si>
    <t>351646277325994</t>
  </si>
  <si>
    <t>100</t>
  </si>
  <si>
    <t>SEPTEMBER, 25, 2024</t>
  </si>
  <si>
    <t>MARVY FCG</t>
  </si>
  <si>
    <t>08138375326</t>
  </si>
  <si>
    <t>October 26, 2024</t>
  </si>
  <si>
    <t>de50ff235ae54e7bab6d84c727a8dfdb</t>
  </si>
  <si>
    <t>5</t>
  </si>
  <si>
    <t xml:space="preserve">IPHONE XR </t>
  </si>
  <si>
    <t>BLUE</t>
  </si>
  <si>
    <t>64GB</t>
  </si>
  <si>
    <t>357343096709841</t>
  </si>
  <si>
    <t>86</t>
  </si>
  <si>
    <t>COWBELL</t>
  </si>
  <si>
    <t>08027964718</t>
  </si>
  <si>
    <t>UNLOCKED</t>
  </si>
  <si>
    <t>OCTOBER, 9, 2024</t>
  </si>
  <si>
    <t>AZIMUTHAL</t>
  </si>
  <si>
    <t>08135659717</t>
  </si>
  <si>
    <t>66863ec018eb4afcaa4f3d1c0dd63c8c</t>
  </si>
  <si>
    <t>6</t>
  </si>
  <si>
    <t>IPHONE 12 PRO MAX</t>
  </si>
  <si>
    <t>PACIFIC BLUE</t>
  </si>
  <si>
    <t>355591190747054</t>
  </si>
  <si>
    <t>HAYKINZ TECH</t>
  </si>
  <si>
    <t>07030279101</t>
  </si>
  <si>
    <t>SEPTEMBER, 5, 2024</t>
  </si>
  <si>
    <t>AYOMIDE FROM KING</t>
  </si>
  <si>
    <t>07036545521</t>
  </si>
  <si>
    <t>OCTOBER, 25, 2024</t>
  </si>
  <si>
    <t>a7c86fc0132e49188954358ad06be091</t>
  </si>
  <si>
    <t>7</t>
  </si>
  <si>
    <t>IPHONE 15</t>
  </si>
  <si>
    <t>YELLOW</t>
  </si>
  <si>
    <t>358614725800789</t>
  </si>
  <si>
    <t>STAR BOX</t>
  </si>
  <si>
    <t>09063620334</t>
  </si>
  <si>
    <t>LOCKED/INACTIVE (THEN UNLOCKED)</t>
  </si>
  <si>
    <t>CLARK TMOBILE</t>
  </si>
  <si>
    <t>07064459910</t>
  </si>
  <si>
    <t>0b280c8acbac4c488c0d68ea13e375b9</t>
  </si>
  <si>
    <t>8</t>
  </si>
  <si>
    <t>SAMSUNG GALAXY S10</t>
  </si>
  <si>
    <t>8/128G</t>
  </si>
  <si>
    <t>356028100922757</t>
  </si>
  <si>
    <t xml:space="preserve">SAMSUNG </t>
  </si>
  <si>
    <t>-</t>
  </si>
  <si>
    <t xml:space="preserve">DENIS4WARD TECHNOLOGY </t>
  </si>
  <si>
    <t>08038551439</t>
  </si>
  <si>
    <t>OCTOBER, 5, 2024</t>
  </si>
  <si>
    <t>1fd8108519d94ba4ab573f6929f093e1</t>
  </si>
  <si>
    <t>9</t>
  </si>
  <si>
    <t>IPHONE 15 PRO</t>
  </si>
  <si>
    <t>NATURAL TITANIUM</t>
  </si>
  <si>
    <t>356611841620473</t>
  </si>
  <si>
    <t>DENIS IPHONE CART</t>
  </si>
  <si>
    <t>07019540544</t>
  </si>
  <si>
    <t>OCTOBER, 11, 2024</t>
  </si>
  <si>
    <t>STARBOX</t>
  </si>
  <si>
    <t>OCTOBER, 29, 2024</t>
  </si>
  <si>
    <t>4e9da763a2e2438a88fed668796c4ca4</t>
  </si>
  <si>
    <t>10</t>
  </si>
  <si>
    <t>MACBOOK PRO 2020</t>
  </si>
  <si>
    <t>SILVER</t>
  </si>
  <si>
    <t>16/512GB</t>
  </si>
  <si>
    <t>C02CQ657ML7H</t>
  </si>
  <si>
    <t>MACBOOK</t>
  </si>
  <si>
    <t>192 cc</t>
  </si>
  <si>
    <t>GADGET AND EXCHANGE</t>
  </si>
  <si>
    <t>08142246838</t>
  </si>
  <si>
    <t>UNLOCKED (NO FMI)</t>
  </si>
  <si>
    <t>3da6080066fd4c92b3d68a4eb2d3352e</t>
  </si>
  <si>
    <t>11</t>
  </si>
  <si>
    <t>SAMSUNG GALAXY S23 ULTRA</t>
  </si>
  <si>
    <t>12/512GB</t>
  </si>
  <si>
    <t>358835961632491/17</t>
  </si>
  <si>
    <t>DAMBOX GADGETS</t>
  </si>
  <si>
    <t>09040943517</t>
  </si>
  <si>
    <t>AUGUST, 5, 2024</t>
  </si>
  <si>
    <t>GEORGE</t>
  </si>
  <si>
    <t>08168364881</t>
  </si>
  <si>
    <t>12/7/2024</t>
  </si>
  <si>
    <t>7b37f8c77cba4eeeb6a371dc23875e9b</t>
  </si>
  <si>
    <t>12</t>
  </si>
  <si>
    <t>SIERRA BLUE</t>
  </si>
  <si>
    <t>356370160169592</t>
  </si>
  <si>
    <t>93</t>
  </si>
  <si>
    <t>NURUDEEN</t>
  </si>
  <si>
    <t>07067426927</t>
  </si>
  <si>
    <t>AUGUST, 31, 2024</t>
  </si>
  <si>
    <t>OCTOBER, 12, 2024</t>
  </si>
  <si>
    <t>d9b909f7d5084ca7a454f266ee9ce09b</t>
  </si>
  <si>
    <t>13</t>
  </si>
  <si>
    <t>MIDNIGHT</t>
  </si>
  <si>
    <t>351048874153335</t>
  </si>
  <si>
    <t>98</t>
  </si>
  <si>
    <t>IYANUOLUWA (WHYTE)</t>
  </si>
  <si>
    <t>ZEE TECH</t>
  </si>
  <si>
    <t>09033724061</t>
  </si>
  <si>
    <t>f2b348f4a09343e68a415a8ec8b27f21</t>
  </si>
  <si>
    <t>14</t>
  </si>
  <si>
    <t xml:space="preserve">IPHONE 14 PRO MAX </t>
  </si>
  <si>
    <t>3555609473866646</t>
  </si>
  <si>
    <t>87</t>
  </si>
  <si>
    <t>MOBILETRENDS LTD</t>
  </si>
  <si>
    <t>08034378180</t>
  </si>
  <si>
    <t>OCTOBER 14, 2024</t>
  </si>
  <si>
    <t>OZ GADGET</t>
  </si>
  <si>
    <t>OCTOBERR, 16, 2024</t>
  </si>
  <si>
    <t>7c4f6b6c5d884933af704e01adf21dfd</t>
  </si>
  <si>
    <t>15</t>
  </si>
  <si>
    <t>IPHONE 12</t>
  </si>
  <si>
    <t>PURPLE</t>
  </si>
  <si>
    <t>353342884127308</t>
  </si>
  <si>
    <t>BROOKS</t>
  </si>
  <si>
    <t>08136762183</t>
  </si>
  <si>
    <t>AUGUST, 28, 2024</t>
  </si>
  <si>
    <t>PHLEMZY</t>
  </si>
  <si>
    <t>09065642565</t>
  </si>
  <si>
    <t>OCTOBER, 14, 2024</t>
  </si>
  <si>
    <t>a63214b0adaa4d1799c3214ba977256c</t>
  </si>
  <si>
    <t>16</t>
  </si>
  <si>
    <t>HP ELITEBOOK X360 1030 G2 // TOUCH SCREEN // 2CC</t>
  </si>
  <si>
    <t xml:space="preserve">8GB + 256GB(SSD) + 7TH GEN + i5 </t>
  </si>
  <si>
    <t>5CG8263RYB</t>
  </si>
  <si>
    <t>LAPTOP</t>
  </si>
  <si>
    <t>2CC</t>
  </si>
  <si>
    <t>OCTOBER, 17, 2024</t>
  </si>
  <si>
    <t>FM LORD</t>
  </si>
  <si>
    <t>08157806332</t>
  </si>
  <si>
    <t>October, 17, 2024</t>
  </si>
  <si>
    <t>bd88096ea70d4c45829a1fa6c83ac3e5</t>
  </si>
  <si>
    <t>17</t>
  </si>
  <si>
    <t xml:space="preserve">IPHONE 14 </t>
  </si>
  <si>
    <t>355185496137241</t>
  </si>
  <si>
    <t>KAYWISE</t>
  </si>
  <si>
    <t>09032611871</t>
  </si>
  <si>
    <t>MARIAM ADEDEJI</t>
  </si>
  <si>
    <t>09129850861</t>
  </si>
  <si>
    <t>27712ecfa97942f588ddb6ae92a448df</t>
  </si>
  <si>
    <t>18</t>
  </si>
  <si>
    <t>IPHONE 15 PRO MAX (PHYSICAL + ESIM)</t>
  </si>
  <si>
    <t>BLACK TITANIUM</t>
  </si>
  <si>
    <t>354242631252863</t>
  </si>
  <si>
    <t>STOP PLAYING FROM Muller</t>
  </si>
  <si>
    <t>08100428708</t>
  </si>
  <si>
    <t>b5ab29a5c6e449e98d85812fd69da4b5</t>
  </si>
  <si>
    <t>19</t>
  </si>
  <si>
    <t>SAMSUNG GALAXY S9</t>
  </si>
  <si>
    <t>LILAC</t>
  </si>
  <si>
    <t>8/64GB</t>
  </si>
  <si>
    <t>353303090689978</t>
  </si>
  <si>
    <t>SAMSUNG</t>
  </si>
  <si>
    <t>LOVE STORE</t>
  </si>
  <si>
    <t>09169140149</t>
  </si>
  <si>
    <t>KHAFE GADGET</t>
  </si>
  <si>
    <t>07048121888</t>
  </si>
  <si>
    <t>6f31a787d1c84b538703747615d2ceb6</t>
  </si>
  <si>
    <t>20</t>
  </si>
  <si>
    <t>HP ELITEBOOK X360 1030 G2 // TOUCH SCREEN // 25CC</t>
  </si>
  <si>
    <t>5CG9459DK7</t>
  </si>
  <si>
    <t>25CC</t>
  </si>
  <si>
    <t>SEYI HYPO</t>
  </si>
  <si>
    <t>08149133935</t>
  </si>
  <si>
    <t>OCTOBER 19, 2024</t>
  </si>
  <si>
    <t>OCTOBER, 22, 2024</t>
  </si>
  <si>
    <t>9c6dff5ba86c460dbe3006034398ef34</t>
  </si>
  <si>
    <t>21</t>
  </si>
  <si>
    <t xml:space="preserve">PHYSICAL SIM IPHONE 15 PRO </t>
  </si>
  <si>
    <t>353629306995779</t>
  </si>
  <si>
    <t>76(96)</t>
  </si>
  <si>
    <t>SEBASTINE</t>
  </si>
  <si>
    <t>07032069012</t>
  </si>
  <si>
    <t>b66154cbd4bb4b8483e30393c1a86b25</t>
  </si>
  <si>
    <t>22</t>
  </si>
  <si>
    <t>353629303850753</t>
  </si>
  <si>
    <t>100 (10CC)</t>
  </si>
  <si>
    <t>DEMIGLOBAL MULTISERVICE</t>
  </si>
  <si>
    <t>09066720385</t>
  </si>
  <si>
    <t>OCTOBER, 26, 2024</t>
  </si>
  <si>
    <t>2a06cb692cf64aed9b8c10f82c8b91ce</t>
  </si>
  <si>
    <t>23</t>
  </si>
  <si>
    <t>IPHONE 15 PLUS</t>
  </si>
  <si>
    <t>350686386107454</t>
  </si>
  <si>
    <t>SAMUEL. TBERNIES</t>
  </si>
  <si>
    <t>OCTOBER, 22, 2025</t>
  </si>
  <si>
    <t>DENIS4WARD TECHNOLOGY</t>
  </si>
  <si>
    <t>OCTOBER, 28, 2024</t>
  </si>
  <si>
    <t>7056142f696849f4be32c48b948bcd7d</t>
  </si>
  <si>
    <t>24</t>
  </si>
  <si>
    <t xml:space="preserve">IPHONE 11 PRO MAX </t>
  </si>
  <si>
    <t>352851114282700</t>
  </si>
  <si>
    <t>73(92)</t>
  </si>
  <si>
    <t>DAMILOLA ADEFUNKE</t>
  </si>
  <si>
    <t>FAME GADGET</t>
  </si>
  <si>
    <t>08144970435</t>
  </si>
  <si>
    <t>7aaf1228897c43c487ea4e41805efc43</t>
  </si>
  <si>
    <t>25</t>
  </si>
  <si>
    <t>IPHONE 15 PRO MAX eSIM (104cc)</t>
  </si>
  <si>
    <t>357275795496378</t>
  </si>
  <si>
    <t>LOCKED(THEN UNLOCKED)</t>
  </si>
  <si>
    <t>OFFICIALYUNG</t>
  </si>
  <si>
    <t>07083395113</t>
  </si>
  <si>
    <t>NOVEMBER, 02, 2024</t>
  </si>
  <si>
    <t>dfcd6b7ae48742f6a29a94066198460a</t>
  </si>
  <si>
    <t>26</t>
  </si>
  <si>
    <t xml:space="preserve">IPHONE 15 </t>
  </si>
  <si>
    <t>PINK</t>
  </si>
  <si>
    <t>351698478562347</t>
  </si>
  <si>
    <t>AYANFE</t>
  </si>
  <si>
    <t>08138108648</t>
  </si>
  <si>
    <t>LOCKED (UNLOCKED)</t>
  </si>
  <si>
    <t>OCTOBER, 30, 2024</t>
  </si>
  <si>
    <t>IPRO GADGET</t>
  </si>
  <si>
    <t>08109344663</t>
  </si>
  <si>
    <t>86e1b0b7b94c4bacb0e7f18ae9ecb1f0</t>
  </si>
  <si>
    <t>27</t>
  </si>
  <si>
    <t>SCOTT STORE</t>
  </si>
  <si>
    <t>09161940149</t>
  </si>
  <si>
    <t>NOVEMBER, 05, 2024</t>
  </si>
  <si>
    <t>d35e393cbd73432281c20c5cac08cc3f</t>
  </si>
  <si>
    <t>28</t>
  </si>
  <si>
    <t>SAMSUNG GALAXY S10 PLUS</t>
  </si>
  <si>
    <t>357330100397389</t>
  </si>
  <si>
    <t>NOVEMBER, 08, 2024</t>
  </si>
  <si>
    <t>20417ee2bbfb4429bd619245524b031e</t>
  </si>
  <si>
    <t>29</t>
  </si>
  <si>
    <t>IPHONE XR</t>
  </si>
  <si>
    <t>357343096709541</t>
  </si>
  <si>
    <t>83</t>
  </si>
  <si>
    <t>PANKYGEE</t>
  </si>
  <si>
    <t>07052247397</t>
  </si>
  <si>
    <t>NOVEMBER, 07, 2024</t>
  </si>
  <si>
    <t>5cb1975f141841a18602fcdc4496dc9c</t>
  </si>
  <si>
    <t>30</t>
  </si>
  <si>
    <t>RED</t>
  </si>
  <si>
    <t>353065102623234</t>
  </si>
  <si>
    <t>80</t>
  </si>
  <si>
    <t>NOVEMBER, 12, 2024</t>
  </si>
  <si>
    <t>a551359b10894c01b924ff9cd60ef59a</t>
  </si>
  <si>
    <t>31</t>
  </si>
  <si>
    <t>SAMSUNG GALAXY NOTE 10+</t>
  </si>
  <si>
    <t>6GB + 256GB</t>
  </si>
  <si>
    <t>359271101948523</t>
  </si>
  <si>
    <t>SAMMY CONCEPT</t>
  </si>
  <si>
    <t>09037002617</t>
  </si>
  <si>
    <t>11/14/2024</t>
  </si>
  <si>
    <t>21b9eef9d5954558a57a313df42fbaa2</t>
  </si>
  <si>
    <t>32</t>
  </si>
  <si>
    <t>353427814057830</t>
  </si>
  <si>
    <t>87%</t>
  </si>
  <si>
    <t>OFFICIALYUNG (SWAP)</t>
  </si>
  <si>
    <t>11/15/2024</t>
  </si>
  <si>
    <t>a9035bf92cf4472a97fb6db5b3d079b6</t>
  </si>
  <si>
    <t>33</t>
  </si>
  <si>
    <t>352892113711364</t>
  </si>
  <si>
    <t>85(90%)</t>
  </si>
  <si>
    <t>DEMIGLOBAL</t>
  </si>
  <si>
    <t>AYANFE DENIS</t>
  </si>
  <si>
    <t>11/19/2024</t>
  </si>
  <si>
    <t>cc94009572c24989a5514db5b8d23aad</t>
  </si>
  <si>
    <t>34</t>
  </si>
  <si>
    <t>128</t>
  </si>
  <si>
    <t>357447889986875</t>
  </si>
  <si>
    <t>85%</t>
  </si>
  <si>
    <t>CHRIS CHRONICLES</t>
  </si>
  <si>
    <t>08138408833</t>
  </si>
  <si>
    <t>SAMUEL SLATT</t>
  </si>
  <si>
    <t>09061496515</t>
  </si>
  <si>
    <t>11/22/2024</t>
  </si>
  <si>
    <t>38cbdbcde2a84e2a9ddbc6633b374e7d</t>
  </si>
  <si>
    <t>35</t>
  </si>
  <si>
    <t xml:space="preserve">IPHONE 14 PLUS </t>
  </si>
  <si>
    <t>356295374969208</t>
  </si>
  <si>
    <t>HAYKINZ  TECH</t>
  </si>
  <si>
    <t>JOY IPHONE 13</t>
  </si>
  <si>
    <t>08100725239</t>
  </si>
  <si>
    <t xml:space="preserve">SWAP WITH 13 PRO </t>
  </si>
  <si>
    <t>2c88ab1e97424d2697338ad478dae300</t>
  </si>
  <si>
    <t>36</t>
  </si>
  <si>
    <t>IPHONE 16</t>
  </si>
  <si>
    <t>351280859196050</t>
  </si>
  <si>
    <t>100%</t>
  </si>
  <si>
    <t>SWAP WITH 16 AT&amp;T</t>
  </si>
  <si>
    <t>99f89449c0164d1bb23db7684ac2ec06</t>
  </si>
  <si>
    <t>37</t>
  </si>
  <si>
    <t xml:space="preserve">IPHONE 16 </t>
  </si>
  <si>
    <t>351280856222529</t>
  </si>
  <si>
    <t>AREMO GADGET</t>
  </si>
  <si>
    <t>09037888923</t>
  </si>
  <si>
    <t>12/2/2024</t>
  </si>
  <si>
    <t>7bf4bf9e79024ec3899d0b114d65c4a6</t>
  </si>
  <si>
    <t>38</t>
  </si>
  <si>
    <t>IPHONE 16 PRO</t>
  </si>
  <si>
    <t>WHITE</t>
  </si>
  <si>
    <t>354136651263562</t>
  </si>
  <si>
    <t>YUSUF</t>
  </si>
  <si>
    <t>09076229406</t>
  </si>
  <si>
    <t>3/5/2026</t>
  </si>
  <si>
    <t>SWAP WITH 15 PRO</t>
  </si>
  <si>
    <t>8f8749d662d849df938816469e78c6d4</t>
  </si>
  <si>
    <t>39</t>
  </si>
  <si>
    <t>GOLD (DESERT)</t>
  </si>
  <si>
    <t>352657197746218</t>
  </si>
  <si>
    <t>fa5bd1f181234283a486c7cda8478153</t>
  </si>
  <si>
    <t>40</t>
  </si>
  <si>
    <t>IPHONE 13</t>
  </si>
  <si>
    <t>76%(89%)</t>
  </si>
  <si>
    <t>TOLULOPE ADIO MEE</t>
  </si>
  <si>
    <t>09015069889</t>
  </si>
  <si>
    <t>ALEX GADGET</t>
  </si>
  <si>
    <t>07025451690</t>
  </si>
  <si>
    <t>11/20/2024</t>
  </si>
  <si>
    <t>76ff941391e046ab8ab636a75a0a371b</t>
  </si>
  <si>
    <t>41</t>
  </si>
  <si>
    <t>IPHONE 16 PRO BRAND NEW</t>
  </si>
  <si>
    <t>DESERT (GOLD)</t>
  </si>
  <si>
    <t>353357351413577</t>
  </si>
  <si>
    <t>MD GADGETS</t>
  </si>
  <si>
    <t>08166860603</t>
  </si>
  <si>
    <t>cb9e758ea6dc4f17b3c58cd00d94582f</t>
  </si>
  <si>
    <t>42</t>
  </si>
  <si>
    <t>IPHONE 13 PRO</t>
  </si>
  <si>
    <t>ALPINE GREEN</t>
  </si>
  <si>
    <t>356314952615065</t>
  </si>
  <si>
    <t>94%</t>
  </si>
  <si>
    <t>JOY(JUMAT)</t>
  </si>
  <si>
    <t>11/27/2024</t>
  </si>
  <si>
    <t>a995a8af989d476cb74ae74e0f8d9b94</t>
  </si>
  <si>
    <t>43</t>
  </si>
  <si>
    <t>IPHONE 11 PRO</t>
  </si>
  <si>
    <t>SPACE GREY</t>
  </si>
  <si>
    <t>353237107467616</t>
  </si>
  <si>
    <t>71%(92%)</t>
  </si>
  <si>
    <t>MHIDEY FROM BECKZ</t>
  </si>
  <si>
    <t>008032783523</t>
  </si>
  <si>
    <t>734c0b3fa85a4fb0b2389c19d1f20d5f</t>
  </si>
  <si>
    <t>44</t>
  </si>
  <si>
    <t>512GB</t>
  </si>
  <si>
    <t>355591192643863</t>
  </si>
  <si>
    <t>80%</t>
  </si>
  <si>
    <t>BEAUTYHAVEN FROM SEUN</t>
  </si>
  <si>
    <t>07046502373</t>
  </si>
  <si>
    <t>SWAPPED WITH 11 PRO MAX</t>
  </si>
  <si>
    <t>96f7dd02c3aa4061b05d6c0fd7cec541</t>
  </si>
  <si>
    <t>45</t>
  </si>
  <si>
    <t>35391505816351</t>
  </si>
  <si>
    <t>BEAUTYHAVEN. NG</t>
  </si>
  <si>
    <t>CH4 STORE</t>
  </si>
  <si>
    <t>08131941406</t>
  </si>
  <si>
    <t>11/30/2024</t>
  </si>
  <si>
    <t>e378b29fdbba4af8bc44e603c7285a8b</t>
  </si>
  <si>
    <t>46</t>
  </si>
  <si>
    <t>357938432786689</t>
  </si>
  <si>
    <t>92%</t>
  </si>
  <si>
    <t>SEYIFUNMI</t>
  </si>
  <si>
    <t>07036446358</t>
  </si>
  <si>
    <t>79016fcb141349ff85e5b2207c157f4c</t>
  </si>
  <si>
    <t>47</t>
  </si>
  <si>
    <t>353223141615691</t>
  </si>
  <si>
    <t>93%</t>
  </si>
  <si>
    <t>ENNY'S GADGET</t>
  </si>
  <si>
    <t>09023824556</t>
  </si>
  <si>
    <t>11/21/2024</t>
  </si>
  <si>
    <t>59b5ffb464f54257acfe265dc3afcc3f</t>
  </si>
  <si>
    <t>48</t>
  </si>
  <si>
    <t>357084343408616</t>
  </si>
  <si>
    <t>86%</t>
  </si>
  <si>
    <t>SAMUEL SLAWT</t>
  </si>
  <si>
    <t>SWEET BOY</t>
  </si>
  <si>
    <t>09039519037</t>
  </si>
  <si>
    <t>11/23/2024</t>
  </si>
  <si>
    <t>80a08bfb1ad8410586745ad44282b5f4</t>
  </si>
  <si>
    <t>49</t>
  </si>
  <si>
    <t>353360940914956</t>
  </si>
  <si>
    <t>IMOLE DC</t>
  </si>
  <si>
    <t>08101680421</t>
  </si>
  <si>
    <t>02/10/2025</t>
  </si>
  <si>
    <t>35697e891b3544928d20cb9fe98c0b6c</t>
  </si>
  <si>
    <t>50</t>
  </si>
  <si>
    <t>350636593325274</t>
  </si>
  <si>
    <t>89%</t>
  </si>
  <si>
    <t>07065500068</t>
  </si>
  <si>
    <t>11/26/2024</t>
  </si>
  <si>
    <t>7b1194df76484e409180355fa319bf8d</t>
  </si>
  <si>
    <t>51</t>
  </si>
  <si>
    <t>IPHONE 14 PRO</t>
  </si>
  <si>
    <t>353429712968993</t>
  </si>
  <si>
    <t>KINGZGADGET</t>
  </si>
  <si>
    <t>07076133809</t>
  </si>
  <si>
    <t>12/27/2024</t>
  </si>
  <si>
    <t>d19ba25a660d416c92f7f1920def282f</t>
  </si>
  <si>
    <t>52</t>
  </si>
  <si>
    <t xml:space="preserve">IPHONE 15 PRO MAX </t>
  </si>
  <si>
    <t>350496301218398</t>
  </si>
  <si>
    <t>90%</t>
  </si>
  <si>
    <t>ADESINA SEIDU</t>
  </si>
  <si>
    <t>08106081752</t>
  </si>
  <si>
    <t>a277dd9ca5c047a68b6f328899ce1b3d</t>
  </si>
  <si>
    <t>53</t>
  </si>
  <si>
    <t>356684166696477</t>
  </si>
  <si>
    <t>84%</t>
  </si>
  <si>
    <t>deabebd7900547ed9b3a8f2f40f18483</t>
  </si>
  <si>
    <t>54</t>
  </si>
  <si>
    <t>352396473006100</t>
  </si>
  <si>
    <t>80(92%)</t>
  </si>
  <si>
    <t>SUNKYSTILES AUTOs</t>
  </si>
  <si>
    <t>07088410985</t>
  </si>
  <si>
    <t>c75ae706546344d598988a357baf0f0c</t>
  </si>
  <si>
    <t>55</t>
  </si>
  <si>
    <t>358996911474366</t>
  </si>
  <si>
    <t>PHINIXE GADGET</t>
  </si>
  <si>
    <t>09138380700</t>
  </si>
  <si>
    <t>12/5/2024</t>
  </si>
  <si>
    <t>0a0426fb1ae4477290e960cbbe4ad5f6</t>
  </si>
  <si>
    <t>56</t>
  </si>
  <si>
    <t>353547798072248</t>
  </si>
  <si>
    <t>OLUWAGESHI GADGET</t>
  </si>
  <si>
    <t>09050868602</t>
  </si>
  <si>
    <t>DAH UNIQUE</t>
  </si>
  <si>
    <t>09070536253</t>
  </si>
  <si>
    <t>3888ebf01a9e4a20a6276d18b671522f</t>
  </si>
  <si>
    <t>57</t>
  </si>
  <si>
    <t>352400474539877</t>
  </si>
  <si>
    <t>WIDAD</t>
  </si>
  <si>
    <t>07062514545</t>
  </si>
  <si>
    <t>12/21/2024</t>
  </si>
  <si>
    <t>3ed4038cd56e45e3b4d18d768c4ada3c</t>
  </si>
  <si>
    <t>58</t>
  </si>
  <si>
    <t>SAMSUNG S8</t>
  </si>
  <si>
    <t>BLESSING ABILEKO</t>
  </si>
  <si>
    <t>07010950790</t>
  </si>
  <si>
    <t>12/6/2024</t>
  </si>
  <si>
    <t>cf61336f16b644d09c596ac0d8175a8a</t>
  </si>
  <si>
    <t>59</t>
  </si>
  <si>
    <t>GREY</t>
  </si>
  <si>
    <t>605ea4f748854598b5e4fbebbe649af4</t>
  </si>
  <si>
    <t>60</t>
  </si>
  <si>
    <t>352847943200814</t>
  </si>
  <si>
    <t>OKIKI GADGET (KAYWISE)</t>
  </si>
  <si>
    <t>08105344911</t>
  </si>
  <si>
    <t>04/01/2024</t>
  </si>
  <si>
    <t>064bf17c94d043338d4463e5c1ac8072</t>
  </si>
  <si>
    <t>61</t>
  </si>
  <si>
    <t>THANKGOD CONCEPT</t>
  </si>
  <si>
    <t>09060695934</t>
  </si>
  <si>
    <t>5/1/2025</t>
  </si>
  <si>
    <t>f9739895a7bc42cd8585f2c74591c976</t>
  </si>
  <si>
    <t>62</t>
  </si>
  <si>
    <t>SERIES 7</t>
  </si>
  <si>
    <t>GF6WF4RXRQ</t>
  </si>
  <si>
    <t>FISTECH GADGET</t>
  </si>
  <si>
    <t>09069888050</t>
  </si>
  <si>
    <t>12/15/2024</t>
  </si>
  <si>
    <t>de7b345cb9eb43eb9648a6ea3328a7b9</t>
  </si>
  <si>
    <t>63</t>
  </si>
  <si>
    <t>354820297742432</t>
  </si>
  <si>
    <t>95</t>
  </si>
  <si>
    <t>BAHMS GADGS</t>
  </si>
  <si>
    <t>090669477050</t>
  </si>
  <si>
    <t>12/22/2024</t>
  </si>
  <si>
    <t>5e5264bc388e4d079347535bc0cf2a13</t>
  </si>
  <si>
    <t>64</t>
  </si>
  <si>
    <t>351582377070406</t>
  </si>
  <si>
    <t>OZ GADGETS</t>
  </si>
  <si>
    <t>1/14/2025</t>
  </si>
  <si>
    <t>e228bca8d68c43418961814492df66f7</t>
  </si>
  <si>
    <t>65</t>
  </si>
  <si>
    <t>356166896719985</t>
  </si>
  <si>
    <t>08106293925</t>
  </si>
  <si>
    <t>RETURNED</t>
  </si>
  <si>
    <t>33a2fb49b99c4d45be13830376acb480</t>
  </si>
  <si>
    <t>66</t>
  </si>
  <si>
    <t>359954318707176</t>
  </si>
  <si>
    <t>08106293926</t>
  </si>
  <si>
    <t xml:space="preserve">IYANUOLUWA DEMIGLOBAL </t>
  </si>
  <si>
    <t>1/16/2025</t>
  </si>
  <si>
    <t>958aaf17a8a5466da1f4d07dfd5ca4fa</t>
  </si>
  <si>
    <t>67</t>
  </si>
  <si>
    <t>352845110550730</t>
  </si>
  <si>
    <t>KEMISOLA</t>
  </si>
  <si>
    <t>08068736319</t>
  </si>
  <si>
    <t>MIDE GADGET</t>
  </si>
  <si>
    <t>09066003937</t>
  </si>
  <si>
    <t>1/13/2025</t>
  </si>
  <si>
    <t>c77edb9056ec4aaea8002d9b4173f8ca</t>
  </si>
  <si>
    <t>68</t>
  </si>
  <si>
    <t>353468912889807</t>
  </si>
  <si>
    <t>TUNDE Babz</t>
  </si>
  <si>
    <t>0813 079 3960</t>
  </si>
  <si>
    <t>4fb8ff281f434810a55f43f64ca40d8b</t>
  </si>
  <si>
    <t>69</t>
  </si>
  <si>
    <t>OLUWASEUN</t>
  </si>
  <si>
    <t>ac4ad297b0d44c469d2fa53805b2f8c1</t>
  </si>
  <si>
    <t>70</t>
  </si>
  <si>
    <t>GRAPHITE</t>
  </si>
  <si>
    <t>356487145927504</t>
  </si>
  <si>
    <t>KEMI (FROM SEUN)</t>
  </si>
  <si>
    <t>12/16/2024</t>
  </si>
  <si>
    <t>e7ab16997ce4485e8cb79a89c69c4070</t>
  </si>
  <si>
    <t>71</t>
  </si>
  <si>
    <t>DESERT</t>
  </si>
  <si>
    <t>353268391218019</t>
  </si>
  <si>
    <t>LOCKED(UNLOCKED)</t>
  </si>
  <si>
    <t>1/4/2025</t>
  </si>
  <si>
    <t>3faa08d1ea6a4f8c9ea46af7e3c25c00</t>
  </si>
  <si>
    <t>72</t>
  </si>
  <si>
    <t>357348095438059</t>
  </si>
  <si>
    <t>76%(87%)</t>
  </si>
  <si>
    <t>MHIDE FROM (BECKZ)</t>
  </si>
  <si>
    <t>OLA BTC</t>
  </si>
  <si>
    <t>07061613141</t>
  </si>
  <si>
    <t>12/26/2024</t>
  </si>
  <si>
    <t>51eeb4fc85e84a51bc29b5ce4ce27a1e</t>
  </si>
  <si>
    <t>73</t>
  </si>
  <si>
    <t>GREEN</t>
  </si>
  <si>
    <t>79%</t>
  </si>
  <si>
    <t>GLORY</t>
  </si>
  <si>
    <t>09060584225</t>
  </si>
  <si>
    <t>12/11/2024</t>
  </si>
  <si>
    <t>de263eff9a45471298eb7dd169093909</t>
  </si>
  <si>
    <t>74</t>
  </si>
  <si>
    <t>SAMSUNG NOTE 10+</t>
  </si>
  <si>
    <t>12/20/2024</t>
  </si>
  <si>
    <t>34f72e529b054dc2b64919acef1ed32d</t>
  </si>
  <si>
    <t>75</t>
  </si>
  <si>
    <t>IPHONE 16 PRO MAX BRAND NEW</t>
  </si>
  <si>
    <t>WHITE TITANIUM</t>
  </si>
  <si>
    <t>355300183605562</t>
  </si>
  <si>
    <t xml:space="preserve">ARMY MIGHTY </t>
  </si>
  <si>
    <t>08169094027</t>
  </si>
  <si>
    <t>4/20/2026</t>
  </si>
  <si>
    <t>f32a6ea785b0409397762e628cf06bad</t>
  </si>
  <si>
    <t>76</t>
  </si>
  <si>
    <t>350686383077569</t>
  </si>
  <si>
    <t>99%</t>
  </si>
  <si>
    <t>ARMY MIGHTY</t>
  </si>
  <si>
    <t>09069477050</t>
  </si>
  <si>
    <t>1/8/2025</t>
  </si>
  <si>
    <t>a69653bd5d064160a326f62db36fab4e</t>
  </si>
  <si>
    <t>77</t>
  </si>
  <si>
    <t>IPHONE 12 PRO</t>
  </si>
  <si>
    <t>356462525826972</t>
  </si>
  <si>
    <t>77%</t>
  </si>
  <si>
    <t>MALI GADGET</t>
  </si>
  <si>
    <t>08115570178</t>
  </si>
  <si>
    <t>126fbcb7af074f89b094d53618cf12c5</t>
  </si>
  <si>
    <t>78</t>
  </si>
  <si>
    <t>IPHONE 11</t>
  </si>
  <si>
    <t>72%</t>
  </si>
  <si>
    <t>JAPHET</t>
  </si>
  <si>
    <t>09050037923</t>
  </si>
  <si>
    <t>05/01/2024</t>
  </si>
  <si>
    <t>32c7e9bef76845f4b712207c77c0cbda</t>
  </si>
  <si>
    <t>79</t>
  </si>
  <si>
    <t>IPHONE 14 PRO (P + E)</t>
  </si>
  <si>
    <t>350056592721102</t>
  </si>
  <si>
    <t>PANKY GEE</t>
  </si>
  <si>
    <t>1/12/2025</t>
  </si>
  <si>
    <t>1158896726bd4fe5bf7d0f906ffa639c</t>
  </si>
  <si>
    <t>MG997FR63F</t>
  </si>
  <si>
    <t>1/7/2025</t>
  </si>
  <si>
    <t>30bccf2c9b744fd89788a68d27784f73</t>
  </si>
  <si>
    <t>81</t>
  </si>
  <si>
    <t>355224389539567</t>
  </si>
  <si>
    <t>82 (85%)</t>
  </si>
  <si>
    <t>DREY GADGET</t>
  </si>
  <si>
    <t>09135770042</t>
  </si>
  <si>
    <t>1/17/2025</t>
  </si>
  <si>
    <t>0001a5968788456482cfdae3e13e753b</t>
  </si>
  <si>
    <t>82</t>
  </si>
  <si>
    <t>353967815303147</t>
  </si>
  <si>
    <t>IBRAHIM GADGET</t>
  </si>
  <si>
    <t>09060724788</t>
  </si>
  <si>
    <t>1/27/2025</t>
  </si>
  <si>
    <t>df1230dc64394ab7b5a963e8f53e2db3</t>
  </si>
  <si>
    <t>352051692366989</t>
  </si>
  <si>
    <t>2/11/2025</t>
  </si>
  <si>
    <t>10b59a02ebbd40b7b9039b96a5755885</t>
  </si>
  <si>
    <t>84</t>
  </si>
  <si>
    <t>IPHONE 15 (OPENED BOX)</t>
  </si>
  <si>
    <t>354553492615901</t>
  </si>
  <si>
    <t>88%</t>
  </si>
  <si>
    <t xml:space="preserve">DON </t>
  </si>
  <si>
    <t>08137676322</t>
  </si>
  <si>
    <t>b8fcf342b09f4f70ae8957e0483f44b8</t>
  </si>
  <si>
    <t>85</t>
  </si>
  <si>
    <t>91%</t>
  </si>
  <si>
    <t>1/29/2025</t>
  </si>
  <si>
    <t>f0439129618347b08d4844b2641522f7</t>
  </si>
  <si>
    <t>354178508141252</t>
  </si>
  <si>
    <t>09122727950</t>
  </si>
  <si>
    <t>1/30/2025</t>
  </si>
  <si>
    <t>7e8a573b28c64b9bb981aa7a2073e299</t>
  </si>
  <si>
    <t>350753692386469</t>
  </si>
  <si>
    <t>RUL</t>
  </si>
  <si>
    <t>1/23/2025</t>
  </si>
  <si>
    <t>f8fe1b07b7a34b3ea5e85254ebdf7e98</t>
  </si>
  <si>
    <t>88</t>
  </si>
  <si>
    <t>SAMSUNG GALAXY S22 ULTRA</t>
  </si>
  <si>
    <t>12/256GB</t>
  </si>
  <si>
    <t>358298662648144</t>
  </si>
  <si>
    <t>SOMEFUN</t>
  </si>
  <si>
    <t>09131148777</t>
  </si>
  <si>
    <t>d4aa610da3b14fe2a89c54ae76c090c9</t>
  </si>
  <si>
    <t>357917879684136</t>
  </si>
  <si>
    <t>FAME</t>
  </si>
  <si>
    <t>1/25/2025</t>
  </si>
  <si>
    <t>b50a5e0c4aa0447797999c24d8ac1149</t>
  </si>
  <si>
    <t xml:space="preserve">IPHONE 14 PRO </t>
  </si>
  <si>
    <t>358073461428968</t>
  </si>
  <si>
    <t>SIRMTECH CVE</t>
  </si>
  <si>
    <t>08142646173</t>
  </si>
  <si>
    <t>cc5e9c24a0f5429389f68cd70db64692</t>
  </si>
  <si>
    <t>91</t>
  </si>
  <si>
    <t>352806849074186</t>
  </si>
  <si>
    <t>SIRMTECH</t>
  </si>
  <si>
    <t>2/1/2025</t>
  </si>
  <si>
    <t>6eaffbb2338146bd89b172cfcb8cc3b0</t>
  </si>
  <si>
    <t>92</t>
  </si>
  <si>
    <t>Brand new iPhone 14 Pro</t>
  </si>
  <si>
    <t>Gold</t>
  </si>
  <si>
    <t>354183138726928</t>
  </si>
  <si>
    <t>17/11/2024</t>
  </si>
  <si>
    <t>ADIO TOLULOPE</t>
  </si>
  <si>
    <t>e401f637f6bf4ae5a8d89145288f644a</t>
  </si>
  <si>
    <t>SAMSUNG GALAXY A71</t>
  </si>
  <si>
    <t>8GB/128GB</t>
  </si>
  <si>
    <t>357647733147117</t>
  </si>
  <si>
    <t>c940a67913144b5dbd361da21e8854b2</t>
  </si>
  <si>
    <t>94</t>
  </si>
  <si>
    <t>SAMSUNG GALAXY A53</t>
  </si>
  <si>
    <t>6/128GB</t>
  </si>
  <si>
    <t>351385224078451</t>
  </si>
  <si>
    <t>2cdc3399e01844229b8c3343c7af8084</t>
  </si>
  <si>
    <t>351048874474137</t>
  </si>
  <si>
    <t>3366f1061a864ef19bc81e2172ae7e24</t>
  </si>
  <si>
    <t>96</t>
  </si>
  <si>
    <t>357774332463560</t>
  </si>
  <si>
    <t>CHIP OWO</t>
  </si>
  <si>
    <t>09133064536</t>
  </si>
  <si>
    <t>2/10/2025</t>
  </si>
  <si>
    <t>ec8aa38a68b84c6a9043629e8b9de453</t>
  </si>
  <si>
    <t>353990992863535</t>
  </si>
  <si>
    <t>95%</t>
  </si>
  <si>
    <t>RAYMOND FLASH</t>
  </si>
  <si>
    <t>09161048040</t>
  </si>
  <si>
    <t>2/18/2025</t>
  </si>
  <si>
    <t>cfdaeb9e12ab471d95a34f3c3590ae10</t>
  </si>
  <si>
    <t>351109799799329</t>
  </si>
  <si>
    <t>AWILO</t>
  </si>
  <si>
    <t>07075923209</t>
  </si>
  <si>
    <t>Gadget Galaxy</t>
  </si>
  <si>
    <t>09112194009</t>
  </si>
  <si>
    <t>5/9/2025</t>
  </si>
  <si>
    <t>73fe3943187b48ea815e6ac660359d88</t>
  </si>
  <si>
    <t>99</t>
  </si>
  <si>
    <t>IPHONE 16 BRAND NEW</t>
  </si>
  <si>
    <t>359954312840064</t>
  </si>
  <si>
    <t>DAMBOX</t>
  </si>
  <si>
    <t>MONICA</t>
  </si>
  <si>
    <t>09078545071</t>
  </si>
  <si>
    <t>870000</t>
  </si>
  <si>
    <t>47310e8cc5cf49cfac0b4083233344e1</t>
  </si>
  <si>
    <t>354633446483463</t>
  </si>
  <si>
    <t>MIKKY</t>
  </si>
  <si>
    <t>07033353323</t>
  </si>
  <si>
    <t>5/12/2025</t>
  </si>
  <si>
    <t>740000</t>
  </si>
  <si>
    <t>a8f76223a3c240cea5690fbcb801dd6b</t>
  </si>
  <si>
    <t>101</t>
  </si>
  <si>
    <t xml:space="preserve">IPHONE 12 </t>
  </si>
  <si>
    <t>355658239031111</t>
  </si>
  <si>
    <t>SAMUEL (SLATT)</t>
  </si>
  <si>
    <t>MD GADGS</t>
  </si>
  <si>
    <t>260000</t>
  </si>
  <si>
    <t>45e0558f1dad455d836d1d5fb46379d4</t>
  </si>
  <si>
    <t>102</t>
  </si>
  <si>
    <t>353941307592558</t>
  </si>
  <si>
    <t>IMOLE</t>
  </si>
  <si>
    <t>4028bb08f58d4cfab9ba9670d3447bb5</t>
  </si>
  <si>
    <t>103</t>
  </si>
  <si>
    <t>RWRGQWTLDQ</t>
  </si>
  <si>
    <t>92e87470b56e4269947556965d767019</t>
  </si>
  <si>
    <t>104</t>
  </si>
  <si>
    <t>358654496191471</t>
  </si>
  <si>
    <t>37fd3306bc534879aa751b661a5a1aa6</t>
  </si>
  <si>
    <t>105</t>
  </si>
  <si>
    <t>SAMSUNG GALAXY S21 ULTRA</t>
  </si>
  <si>
    <t>e8fc24a850fe47c282be3708e2948765</t>
  </si>
  <si>
    <t>106</t>
  </si>
  <si>
    <t>IPHONE 14 PRO PHYSICAL SIM</t>
  </si>
  <si>
    <t>356416672408935</t>
  </si>
  <si>
    <t>78 (92%)</t>
  </si>
  <si>
    <t>ANOITED SHOLLY</t>
  </si>
  <si>
    <t>08141834030</t>
  </si>
  <si>
    <t>850000</t>
  </si>
  <si>
    <t>eb1a376d8ed449ac8962fde6121e0c0f</t>
  </si>
  <si>
    <t>107</t>
  </si>
  <si>
    <t>354700281636768</t>
  </si>
  <si>
    <t>73(89% DEFAULT)</t>
  </si>
  <si>
    <t>SWAPPED TO GET IPHONE 16</t>
  </si>
  <si>
    <t>97550570b8244d0b80a95a720c1ac88d</t>
  </si>
  <si>
    <t>108</t>
  </si>
  <si>
    <t>351935565754696</t>
  </si>
  <si>
    <t>100% (68CC</t>
  </si>
  <si>
    <t>01/18/2025</t>
  </si>
  <si>
    <t>DON</t>
  </si>
  <si>
    <t>790000</t>
  </si>
  <si>
    <t>e1926cbd977c4b9fb84b0ac97550257d</t>
  </si>
  <si>
    <t>109</t>
  </si>
  <si>
    <t>PHYSICAL SIM ONLY IPHONE 14 PRO</t>
  </si>
  <si>
    <t>359712289582758</t>
  </si>
  <si>
    <t>83%</t>
  </si>
  <si>
    <t>TINA TONYTRENDS</t>
  </si>
  <si>
    <t>09155225979</t>
  </si>
  <si>
    <t>800000</t>
  </si>
  <si>
    <t>a3686d184e7e488199746043de8724e4</t>
  </si>
  <si>
    <t>110</t>
  </si>
  <si>
    <t>75%</t>
  </si>
  <si>
    <t>6f5ddd11731a47dc9a1976ce1cbecd0e</t>
  </si>
  <si>
    <t>111</t>
  </si>
  <si>
    <t>IPHONE 14</t>
  </si>
  <si>
    <t>352013409590939</t>
  </si>
  <si>
    <t>7ef3b262f2a045b9ad4b550ae73a9f33</t>
  </si>
  <si>
    <t>112</t>
  </si>
  <si>
    <t>352852114462128</t>
  </si>
  <si>
    <t>MARY CLASSICAL</t>
  </si>
  <si>
    <t>09055257815</t>
  </si>
  <si>
    <t>80bbe4558dd44cedb4a2cb32dded2ed2</t>
  </si>
  <si>
    <t>113</t>
  </si>
  <si>
    <t>SANSUNG GALAXY S22 ULTRA</t>
  </si>
  <si>
    <t>12|256GB</t>
  </si>
  <si>
    <t>350319816240535 / 32</t>
  </si>
  <si>
    <t>25ec99c6d6744818b46d80508a939384</t>
  </si>
  <si>
    <t>114</t>
  </si>
  <si>
    <t xml:space="preserve">IPHONE 12 PRO </t>
  </si>
  <si>
    <t>WIZZY KAYWIZE</t>
  </si>
  <si>
    <t>08108686713</t>
  </si>
  <si>
    <t>9d3838b60d75452585a5e30c587a6baf</t>
  </si>
  <si>
    <t>115</t>
  </si>
  <si>
    <t>356435109043370</t>
  </si>
  <si>
    <t>4/28/2025</t>
  </si>
  <si>
    <t>DREY</t>
  </si>
  <si>
    <t>7f5e6094ffef44daae1778f539608de3</t>
  </si>
  <si>
    <t>116</t>
  </si>
  <si>
    <t>352868110732629</t>
  </si>
  <si>
    <t>BIG STEVE POOL</t>
  </si>
  <si>
    <t>08144131893</t>
  </si>
  <si>
    <t>400000</t>
  </si>
  <si>
    <t>0921e3d1211344198c04d36c772e0173</t>
  </si>
  <si>
    <t>117</t>
  </si>
  <si>
    <t>iPHONE 13</t>
  </si>
  <si>
    <t>355818457808349</t>
  </si>
  <si>
    <t>THANK GOD</t>
  </si>
  <si>
    <t>450000</t>
  </si>
  <si>
    <t>b5394e7acac842fb9a7d1eb7bb01e216</t>
  </si>
  <si>
    <t>118</t>
  </si>
  <si>
    <t>359272539676876</t>
  </si>
  <si>
    <t>81%</t>
  </si>
  <si>
    <t>08064943264</t>
  </si>
  <si>
    <t>73a2d1934c684e1b80dc71caaad8a9b4</t>
  </si>
  <si>
    <t>119</t>
  </si>
  <si>
    <t>BLACK (CHANGED)</t>
  </si>
  <si>
    <t>357650616407079</t>
  </si>
  <si>
    <t>82%</t>
  </si>
  <si>
    <t xml:space="preserve">TUNARO </t>
  </si>
  <si>
    <t>09038269473</t>
  </si>
  <si>
    <t>MASTERY MOBILE</t>
  </si>
  <si>
    <t>8d2fe049b9ba476d97e296d326469b7f</t>
  </si>
  <si>
    <t>120</t>
  </si>
  <si>
    <t>355822262475625</t>
  </si>
  <si>
    <t>0703 206 9012</t>
  </si>
  <si>
    <t>SWAPPED WITH 12 PM</t>
  </si>
  <si>
    <t>46b6c51e6a214db985733bdd7876a4b0</t>
  </si>
  <si>
    <t>121</t>
  </si>
  <si>
    <t>IPHONE 12 PRO MAXX</t>
  </si>
  <si>
    <t>353776394055543</t>
  </si>
  <si>
    <t>78%</t>
  </si>
  <si>
    <t>65fdbb8f220245708477cfd8aa260cd7</t>
  </si>
  <si>
    <t>122</t>
  </si>
  <si>
    <t>353427810573368</t>
  </si>
  <si>
    <t>AFRIKA</t>
  </si>
  <si>
    <t>09032711183</t>
  </si>
  <si>
    <t>JAMEX GADGETS</t>
  </si>
  <si>
    <t>07033260364</t>
  </si>
  <si>
    <t>5/10/2025</t>
  </si>
  <si>
    <t>630000</t>
  </si>
  <si>
    <t>e99a933a3c3649da8e48aa4e44b383a2</t>
  </si>
  <si>
    <t>123</t>
  </si>
  <si>
    <t>352156544136298</t>
  </si>
  <si>
    <t>0903 700 2617</t>
  </si>
  <si>
    <t>OG SCOTT</t>
  </si>
  <si>
    <t>08140980933</t>
  </si>
  <si>
    <t>fd52e074c71d4602803a5a570dab2872</t>
  </si>
  <si>
    <t>124</t>
  </si>
  <si>
    <t>359843525872909</t>
  </si>
  <si>
    <t>021a5cf04ffb4e748b7e626fe3d00fba</t>
  </si>
  <si>
    <t>125</t>
  </si>
  <si>
    <t>357397892096180</t>
  </si>
  <si>
    <t>7d1c070482f64586adf7e177d735ebd1</t>
  </si>
  <si>
    <t>126</t>
  </si>
  <si>
    <t>f0c324489f734a9682a6859b10a2353c</t>
  </si>
  <si>
    <t>127</t>
  </si>
  <si>
    <t>351183327071659</t>
  </si>
  <si>
    <t>78%(89%)</t>
  </si>
  <si>
    <t>09077081894</t>
  </si>
  <si>
    <t>BAHMS</t>
  </si>
  <si>
    <t>320000</t>
  </si>
  <si>
    <t>3632ebabd6b24952b392f5999b598dbe</t>
  </si>
  <si>
    <t>IPHONW 15 PLUS</t>
  </si>
  <si>
    <t>354387358117250</t>
  </si>
  <si>
    <t>DAVID</t>
  </si>
  <si>
    <t>09167226596</t>
  </si>
  <si>
    <t>2b5594111ec642d0afa661a41c8b98d4</t>
  </si>
  <si>
    <t>129</t>
  </si>
  <si>
    <t>357879430898516</t>
  </si>
  <si>
    <t>PHYSICAL UNLOCKED</t>
  </si>
  <si>
    <t>b63526b746a14fc8881953b049363c20</t>
  </si>
  <si>
    <t>130</t>
  </si>
  <si>
    <t>353115827426841</t>
  </si>
  <si>
    <t>100(REPLACED)</t>
  </si>
  <si>
    <t>OLA</t>
  </si>
  <si>
    <t>07079248521</t>
  </si>
  <si>
    <t>0905a3002afc4415836657128b447619</t>
  </si>
  <si>
    <t>131</t>
  </si>
  <si>
    <t>350168504403685</t>
  </si>
  <si>
    <t>SWAPPED WITH 14 PRO</t>
  </si>
  <si>
    <t>e727bd648d9b49e4afe7732a36f12357</t>
  </si>
  <si>
    <t>132</t>
  </si>
  <si>
    <t>TEAL (P + E)</t>
  </si>
  <si>
    <t>359164493487400</t>
  </si>
  <si>
    <t>HOLLAR GADGET</t>
  </si>
  <si>
    <t>07067100970</t>
  </si>
  <si>
    <t>SWAPPED WITH 15</t>
  </si>
  <si>
    <t>48226c0f7b21421abd0ae251b35d4f2a</t>
  </si>
  <si>
    <t>133</t>
  </si>
  <si>
    <t>MULLER GADGET</t>
  </si>
  <si>
    <t>08165523297</t>
  </si>
  <si>
    <t>d06f469969de49569ae1418d3de0af64</t>
  </si>
  <si>
    <t>134</t>
  </si>
  <si>
    <t>356682116348033</t>
  </si>
  <si>
    <t>78 (90)</t>
  </si>
  <si>
    <t>I-GEE</t>
  </si>
  <si>
    <t>07071736488</t>
  </si>
  <si>
    <t>13f2a5fccb3040d0a222534e85160b0a</t>
  </si>
  <si>
    <t>135</t>
  </si>
  <si>
    <t>354068587703306</t>
  </si>
  <si>
    <t>96%</t>
  </si>
  <si>
    <t>IBRAHIM ABDULAZEEZ</t>
  </si>
  <si>
    <t>09020449747</t>
  </si>
  <si>
    <t>PAID 810K</t>
  </si>
  <si>
    <t>380292520d2847b9811706df1758368e</t>
  </si>
  <si>
    <t>136</t>
  </si>
  <si>
    <t>353974642335037</t>
  </si>
  <si>
    <t>FLOBOY</t>
  </si>
  <si>
    <t>08166507239</t>
  </si>
  <si>
    <t>363b8bbe740048838650aad11ecd44af</t>
  </si>
  <si>
    <t>137</t>
  </si>
  <si>
    <t>358197540742717</t>
  </si>
  <si>
    <t>ALEX GADGETS</t>
  </si>
  <si>
    <t>86e50ed6a7f84fb9bb27df0bee2d574a</t>
  </si>
  <si>
    <t>138</t>
  </si>
  <si>
    <t>354178504848967</t>
  </si>
  <si>
    <t>ESIM UNLOCKED</t>
  </si>
  <si>
    <t>IA GADGET</t>
  </si>
  <si>
    <t>07053496009</t>
  </si>
  <si>
    <t>f3c021920b8a495783fe17faa18f9c1a</t>
  </si>
  <si>
    <t>139</t>
  </si>
  <si>
    <t>353257395947764</t>
  </si>
  <si>
    <t>d7144f6783604d1d95f36cf582597b6b</t>
  </si>
  <si>
    <t>140</t>
  </si>
  <si>
    <t>353038118080608</t>
  </si>
  <si>
    <t>08135459717</t>
  </si>
  <si>
    <t>ANDROPOD</t>
  </si>
  <si>
    <t>08067961239</t>
  </si>
  <si>
    <t>db4f89a7830c40cbb0c8d64b6932e04d</t>
  </si>
  <si>
    <t>141</t>
  </si>
  <si>
    <t>354703754987007</t>
  </si>
  <si>
    <t>7612b36f580147d3bcc62d7183887725</t>
  </si>
  <si>
    <t>142</t>
  </si>
  <si>
    <t>350168506619106</t>
  </si>
  <si>
    <t>566a7fcee3394a818f249577f2324729</t>
  </si>
  <si>
    <t>143</t>
  </si>
  <si>
    <t>128gb</t>
  </si>
  <si>
    <t>351475534189070</t>
  </si>
  <si>
    <t>PAMELA ADEWOLA</t>
  </si>
  <si>
    <t>09069354058</t>
  </si>
  <si>
    <t>AJ LENS BABE</t>
  </si>
  <si>
    <t>f57584d24f8a467d89c0f05618a99a61</t>
  </si>
  <si>
    <t>144</t>
  </si>
  <si>
    <t>IPAD PRO M4</t>
  </si>
  <si>
    <t>CVV76GQKT0</t>
  </si>
  <si>
    <t>IPAD</t>
  </si>
  <si>
    <t>MBENZ</t>
  </si>
  <si>
    <t>09038935833</t>
  </si>
  <si>
    <t>UNLOCKED (WIFI ONLY)</t>
  </si>
  <si>
    <t>DENIS4WARD</t>
  </si>
  <si>
    <t>0ee1da5b882441a0afd77e85815f353a</t>
  </si>
  <si>
    <t>145</t>
  </si>
  <si>
    <t>358891508637972</t>
  </si>
  <si>
    <t>UNLOCK</t>
  </si>
  <si>
    <t>6637b89cc98e41fc9ec92d5f6d573a9b</t>
  </si>
  <si>
    <t>146</t>
  </si>
  <si>
    <t>358098979956077</t>
  </si>
  <si>
    <t>227e63a37cc44fffa579187119d8d356</t>
  </si>
  <si>
    <t>147</t>
  </si>
  <si>
    <t>357343096498301</t>
  </si>
  <si>
    <t>POPI</t>
  </si>
  <si>
    <t>08100177924</t>
  </si>
  <si>
    <t>MATEO</t>
  </si>
  <si>
    <t>07041179161</t>
  </si>
  <si>
    <t>3e05a5415b20417b8d942c6805a3fc04</t>
  </si>
  <si>
    <t>148</t>
  </si>
  <si>
    <t>358615605238550</t>
  </si>
  <si>
    <t>AKOMOLAFE ABIOLA</t>
  </si>
  <si>
    <t>09016184452</t>
  </si>
  <si>
    <t>8cad91e855cd408191fa79459dc204a9</t>
  </si>
  <si>
    <t>149</t>
  </si>
  <si>
    <t>356432101911894</t>
  </si>
  <si>
    <t>77%(93%)</t>
  </si>
  <si>
    <t>0915 075 9847</t>
  </si>
  <si>
    <t>bab240068fd44c5cb1c7774037632e93</t>
  </si>
  <si>
    <t>150</t>
  </si>
  <si>
    <t>a417051c70164732a34c4adf9e5cc22d</t>
  </si>
  <si>
    <t>151</t>
  </si>
  <si>
    <t xml:space="preserve">AKINRULI </t>
  </si>
  <si>
    <t>08168293659</t>
  </si>
  <si>
    <t>d520bf5e160b4f9fb3429770168ca020</t>
  </si>
  <si>
    <t>152</t>
  </si>
  <si>
    <t>350642214197472</t>
  </si>
  <si>
    <t>PRECIOUS FATOKI</t>
  </si>
  <si>
    <t>a3fd9fbaefd64ca58b6b675fb20bd4a2</t>
  </si>
  <si>
    <t>153</t>
  </si>
  <si>
    <t>SAMSUNG GALAXY S8</t>
  </si>
  <si>
    <t>4 + 64GB</t>
  </si>
  <si>
    <t>359031086897107</t>
  </si>
  <si>
    <t>0816 909 4027</t>
  </si>
  <si>
    <t>fbd61d7ad50b44e18cc97723affc44a3</t>
  </si>
  <si>
    <t>154</t>
  </si>
  <si>
    <t>351570365411716</t>
  </si>
  <si>
    <t xml:space="preserve">OLUMIDE </t>
  </si>
  <si>
    <t>07026462866</t>
  </si>
  <si>
    <t>dedaacb6974049be95e5da39d55bb039</t>
  </si>
  <si>
    <t>155</t>
  </si>
  <si>
    <t>IPHONE 14 PRO MAX 256GB</t>
  </si>
  <si>
    <t>359702370902932</t>
  </si>
  <si>
    <t>d138a63dd76345ccb69cacd1667d8d0c</t>
  </si>
  <si>
    <t>156</t>
  </si>
  <si>
    <t>353147474614361</t>
  </si>
  <si>
    <t>e1b33b15f7d5400291626e0fc7cc0451</t>
  </si>
  <si>
    <t>157</t>
  </si>
  <si>
    <t>MIDNIGNT</t>
  </si>
  <si>
    <t>78(89)</t>
  </si>
  <si>
    <t>FATOKI PRECIOUS</t>
  </si>
  <si>
    <t>08166199032</t>
  </si>
  <si>
    <t>PHINIXEGADGET</t>
  </si>
  <si>
    <t>bf159e0b6a0446a8bddf677afcf69310</t>
  </si>
  <si>
    <t>158</t>
  </si>
  <si>
    <t>IPHONE13 PRO</t>
  </si>
  <si>
    <t>356133312187908</t>
  </si>
  <si>
    <t>KABEX GADGET</t>
  </si>
  <si>
    <t>09167221871</t>
  </si>
  <si>
    <t>MRS &amp; MRS ADEUSI</t>
  </si>
  <si>
    <t>08161102129</t>
  </si>
  <si>
    <t>bf595c8431d44c2088be9c599c3994f9</t>
  </si>
  <si>
    <t>159</t>
  </si>
  <si>
    <t>258823346568143</t>
  </si>
  <si>
    <t>TEE BEST GADGET</t>
  </si>
  <si>
    <t>08037624066</t>
  </si>
  <si>
    <t>f3efc15dcda949049c58f522b84f5917</t>
  </si>
  <si>
    <t>160</t>
  </si>
  <si>
    <t>HP ELITEBOOK 1020G2 X360</t>
  </si>
  <si>
    <t>8/256GB</t>
  </si>
  <si>
    <t>5CG8152LHW</t>
  </si>
  <si>
    <t>PC</t>
  </si>
  <si>
    <t>3e68b334b07e4b569376d1a7250f3a90</t>
  </si>
  <si>
    <t>161</t>
  </si>
  <si>
    <t>HP ELITEBOOK FOLIO G1</t>
  </si>
  <si>
    <t>5CG62242H2</t>
  </si>
  <si>
    <t>KUNLEX COMMUNICATION</t>
  </si>
  <si>
    <t>6/23/2025</t>
  </si>
  <si>
    <t>637fefec4300492bbeb14cf3be07f34c</t>
  </si>
  <si>
    <t>162</t>
  </si>
  <si>
    <t>6b1e01205a9e4151ad6fc4107d7d50d8</t>
  </si>
  <si>
    <t>163</t>
  </si>
  <si>
    <t xml:space="preserve">IPHONE 13 </t>
  </si>
  <si>
    <t>356199676578412</t>
  </si>
  <si>
    <t>9c2610d8c606412ab71f5a40cb0ffbae</t>
  </si>
  <si>
    <t>164</t>
  </si>
  <si>
    <t>IPHONE SE 2ND GEN</t>
  </si>
  <si>
    <t>VERTEX GADGET</t>
  </si>
  <si>
    <t>08103663581</t>
  </si>
  <si>
    <t>a84f23633b8848efb491d63fbe30ed24</t>
  </si>
  <si>
    <t>165</t>
  </si>
  <si>
    <t>IPHONE 13 MINI</t>
  </si>
  <si>
    <t>353410574830711</t>
  </si>
  <si>
    <t>FOLORUNSHO TOSIN</t>
  </si>
  <si>
    <t>07067933981</t>
  </si>
  <si>
    <t>be6d72c3ce0d4f42a54b3ce74bb20ee3</t>
  </si>
  <si>
    <t>166</t>
  </si>
  <si>
    <t>355870379888339</t>
  </si>
  <si>
    <t>TECH JAR COMPUTERS</t>
  </si>
  <si>
    <t>07047512596</t>
  </si>
  <si>
    <t>31/07/2025</t>
  </si>
  <si>
    <t>AYOMIDE AWILO</t>
  </si>
  <si>
    <t>31/07/25</t>
  </si>
  <si>
    <t>283b37af69eb41f7b30c63fc33435660</t>
  </si>
  <si>
    <t>167</t>
  </si>
  <si>
    <t>IPHONE 11 128GB</t>
  </si>
  <si>
    <t>356862110086090</t>
  </si>
  <si>
    <t>OPEYEMI GADGET</t>
  </si>
  <si>
    <t>08169562036</t>
  </si>
  <si>
    <t>27/06/2025</t>
  </si>
  <si>
    <t>4760b019acdc4fb69b47a621b820fb66</t>
  </si>
  <si>
    <t>168</t>
  </si>
  <si>
    <t>353905997084192</t>
  </si>
  <si>
    <t>KAYWISE GADGET</t>
  </si>
  <si>
    <t>094aef1327e84934a7ba30ced5f4959f</t>
  </si>
  <si>
    <t>169</t>
  </si>
  <si>
    <t>iPad Pro 11 inch</t>
  </si>
  <si>
    <t>M297CKGF2D</t>
  </si>
  <si>
    <t>WIFI</t>
  </si>
  <si>
    <t xml:space="preserve">SLATT </t>
  </si>
  <si>
    <t>bc0e3aa7380e45ae93b6dd3bba796cc3</t>
  </si>
  <si>
    <t>170</t>
  </si>
  <si>
    <t>IPHONE 16 PRO MAX</t>
  </si>
  <si>
    <t>356760682088231</t>
  </si>
  <si>
    <t>97%</t>
  </si>
  <si>
    <t>0703 335 3323</t>
  </si>
  <si>
    <t>606cfdc77f904470b2ccc5cb5accbc27</t>
  </si>
  <si>
    <t>171</t>
  </si>
  <si>
    <t>IPHONE 16 NEW</t>
  </si>
  <si>
    <t>352306390093560</t>
  </si>
  <si>
    <t>31672258c5e94e17bed4a971b28a7c76</t>
  </si>
  <si>
    <t>172</t>
  </si>
  <si>
    <t xml:space="preserve">WHITE TITANIUM </t>
  </si>
  <si>
    <t>351016867546971</t>
  </si>
  <si>
    <t>b1f36852b1434589bd5aee42c9f72701</t>
  </si>
  <si>
    <t>173</t>
  </si>
  <si>
    <t>SPACE GRAY</t>
  </si>
  <si>
    <t>353889108494922</t>
  </si>
  <si>
    <t>TONYTRENDS</t>
  </si>
  <si>
    <t>678677a34e1d486e871a8aff41801b68</t>
  </si>
  <si>
    <t>174</t>
  </si>
  <si>
    <t xml:space="preserve">DAVID </t>
  </si>
  <si>
    <t>DAMOX</t>
  </si>
  <si>
    <t>8766921fe86f43d9a24e5455b57843c8</t>
  </si>
  <si>
    <t>175</t>
  </si>
  <si>
    <t>356166890451536</t>
  </si>
  <si>
    <t>dd7f1a38b6114691b80093fb67a55796</t>
  </si>
  <si>
    <t>176</t>
  </si>
  <si>
    <t>9/27/2025</t>
  </si>
  <si>
    <t>JENE FISAYOMI</t>
  </si>
  <si>
    <t>08132068406</t>
  </si>
  <si>
    <t>Pending</t>
  </si>
  <si>
    <t>31cb655fc49645b5bc884d1d2cd1791c</t>
  </si>
  <si>
    <t>177</t>
  </si>
  <si>
    <t>IPHONE 16 PLUS</t>
  </si>
  <si>
    <t>TEAL</t>
  </si>
  <si>
    <t>358915824671264</t>
  </si>
  <si>
    <t>9/29/2025</t>
  </si>
  <si>
    <t>09050226014</t>
  </si>
  <si>
    <t>REMAIN 60K</t>
  </si>
  <si>
    <t>85e3e5e84ff94f42b3a901cfb1c3e49d</t>
  </si>
  <si>
    <t>178</t>
  </si>
  <si>
    <t xml:space="preserve">BLACK </t>
  </si>
  <si>
    <t>355603302305836</t>
  </si>
  <si>
    <t>CLINTON GADGET</t>
  </si>
  <si>
    <t>PAID</t>
  </si>
  <si>
    <t>2fecfe602213426e8f6d77e1f7592073</t>
  </si>
  <si>
    <t>179</t>
  </si>
  <si>
    <t>356448107400633</t>
  </si>
  <si>
    <t>8/22/2025</t>
  </si>
  <si>
    <t>0395ba9154194ea0bbca8ecb510c9513</t>
  </si>
  <si>
    <t>180</t>
  </si>
  <si>
    <t>352958418383389</t>
  </si>
  <si>
    <t>BROOK</t>
  </si>
  <si>
    <t>UNLOCKED (PHY + ESIM)</t>
  </si>
  <si>
    <t>TO PAY 997</t>
  </si>
  <si>
    <t>9f0773eddbf04feea76cceb8ca53e8c8</t>
  </si>
  <si>
    <t>181</t>
  </si>
  <si>
    <t>IPHONE 11 PRO MAX (CRACKED BACK)</t>
  </si>
  <si>
    <t>BERRY CASH</t>
  </si>
  <si>
    <t>09124881727</t>
  </si>
  <si>
    <t>DON DELLA</t>
  </si>
  <si>
    <t>f88374214d214d8d814dac9e2c585376</t>
  </si>
  <si>
    <t>182</t>
  </si>
  <si>
    <t>351661824246809</t>
  </si>
  <si>
    <t>KD INTERIOR</t>
  </si>
  <si>
    <t>07071198392</t>
  </si>
  <si>
    <t>ELVIS</t>
  </si>
  <si>
    <t>08102522960</t>
  </si>
  <si>
    <t>a1ec63080f3c408eaa3f44f08c86dcea</t>
  </si>
  <si>
    <t>183</t>
  </si>
  <si>
    <t>356752981797091</t>
  </si>
  <si>
    <t>a4c6f0ede393439b90c8ec9377e9aaab</t>
  </si>
  <si>
    <t>184</t>
  </si>
  <si>
    <t>350521066262644</t>
  </si>
  <si>
    <t>CHUSTER</t>
  </si>
  <si>
    <t>07066514405</t>
  </si>
  <si>
    <t>ICLOUD LOCKED (UNLOCK)</t>
  </si>
  <si>
    <t>ZEE TECHNOLOGY</t>
  </si>
  <si>
    <t>aa71df9578fb45a4a0dbb57d6cc7b5d8</t>
  </si>
  <si>
    <t>185</t>
  </si>
  <si>
    <t>351133753328164</t>
  </si>
  <si>
    <t>BAHMS WARE</t>
  </si>
  <si>
    <t>00df4dd96d8140dbaae1d3f2f96ea5a0</t>
  </si>
  <si>
    <t>186</t>
  </si>
  <si>
    <t>SAMSUNG S21 PLUS</t>
  </si>
  <si>
    <t>350232422073978</t>
  </si>
  <si>
    <t>OFFICER EMMANUEL</t>
  </si>
  <si>
    <t>08165973215</t>
  </si>
  <si>
    <t>eb693ce81dd246b9a6b4da7e0c1c5889</t>
  </si>
  <si>
    <t>187</t>
  </si>
  <si>
    <t>351588826396086</t>
  </si>
  <si>
    <t>PAULAZ GADGET</t>
  </si>
  <si>
    <t>09138523505</t>
  </si>
  <si>
    <t>UNLOCKED (SEIZED)</t>
  </si>
  <si>
    <t>STARBOX GLOBAL</t>
  </si>
  <si>
    <t>PENDING PAYMENT</t>
  </si>
  <si>
    <t>8050c4095c7540b287c59e38026b4ebc</t>
  </si>
  <si>
    <t>188</t>
  </si>
  <si>
    <t>350165055577768</t>
  </si>
  <si>
    <t>73%</t>
  </si>
  <si>
    <t>HANOCH FROSH</t>
  </si>
  <si>
    <t>07040395105</t>
  </si>
  <si>
    <t>6ee069d4c19846eea4cc3bccb06ecc54</t>
  </si>
  <si>
    <t>189</t>
  </si>
  <si>
    <t>354985552902169</t>
  </si>
  <si>
    <t>be557d5696924a99bb7ce6b67ae10f16</t>
  </si>
  <si>
    <t>190</t>
  </si>
  <si>
    <t>352164237251507</t>
  </si>
  <si>
    <t>74%(90)</t>
  </si>
  <si>
    <t>PRINZ GADGETS</t>
  </si>
  <si>
    <t>08073229131</t>
  </si>
  <si>
    <t>2d6a0d97e81f4966a617195b9941c764</t>
  </si>
  <si>
    <t>191</t>
  </si>
  <si>
    <t>81%(90%)</t>
  </si>
  <si>
    <t>ACTIVE GADGET</t>
  </si>
  <si>
    <t>08145310779</t>
  </si>
  <si>
    <t>458461a720db4b5ca0f6ffd63ebd1915</t>
  </si>
  <si>
    <t>192</t>
  </si>
  <si>
    <t>35189267423775</t>
  </si>
  <si>
    <t>APPLE ID LOCKED</t>
  </si>
  <si>
    <t>1d996155328c437d83d388b1c663e89c</t>
  </si>
  <si>
    <t>193</t>
  </si>
  <si>
    <t>RICHIE</t>
  </si>
  <si>
    <t>08086382055</t>
  </si>
  <si>
    <t>1c615c3e23e3405bbaa5f8fc4a88f737</t>
  </si>
  <si>
    <t>194</t>
  </si>
  <si>
    <t>ABAYOMI AKINRULI</t>
  </si>
  <si>
    <t>3c99409754424bb1a4c0b99ba069739b</t>
  </si>
  <si>
    <t>195</t>
  </si>
  <si>
    <t>HP ELITEBOOK 830 G6</t>
  </si>
  <si>
    <t>8GB 128GB</t>
  </si>
  <si>
    <t>5CG93460KK</t>
  </si>
  <si>
    <t>09033890251</t>
  </si>
  <si>
    <t>08a830699caa4fbb8899f6e3884eb899</t>
  </si>
  <si>
    <t>196</t>
  </si>
  <si>
    <t>HP ELITEBOOK 1030 G2 X360</t>
  </si>
  <si>
    <t>8GB + 256GB</t>
  </si>
  <si>
    <t>340f52b0cb7c4cada477e90d623d00ab</t>
  </si>
  <si>
    <t>197</t>
  </si>
  <si>
    <t>355762297295517</t>
  </si>
  <si>
    <t>CLARK GADGET</t>
  </si>
  <si>
    <t>83c5f237ed824c80b122a348662b85cd</t>
  </si>
  <si>
    <t>198</t>
  </si>
  <si>
    <t xml:space="preserve">SAMSUNG S9 </t>
  </si>
  <si>
    <t>4GB + 64GB</t>
  </si>
  <si>
    <t>359944090331154/98</t>
  </si>
  <si>
    <t>d3788ef0cf14462fbf658f275e08efd7</t>
  </si>
  <si>
    <t>199</t>
  </si>
  <si>
    <t>8GB + 128GB</t>
  </si>
  <si>
    <t>359725156876399/27</t>
  </si>
  <si>
    <t>MZEE GADGETS</t>
  </si>
  <si>
    <t>d4364a4f83b4480ba5d3eb406ab1cc5a</t>
  </si>
  <si>
    <t>200</t>
  </si>
  <si>
    <t>IWATCH SERIES 10 42MM GPS</t>
  </si>
  <si>
    <t>J7F906C7TT</t>
  </si>
  <si>
    <t>d60d04824a7c40f5a1d30b4e5fbed996</t>
  </si>
  <si>
    <t>201</t>
  </si>
  <si>
    <t>66%</t>
  </si>
  <si>
    <t>AJ LEN\S</t>
  </si>
  <si>
    <t>08160399061</t>
  </si>
  <si>
    <t>718758b2d7724131b8f4868efca72375</t>
  </si>
  <si>
    <t>202</t>
  </si>
  <si>
    <t>359072843030673</t>
  </si>
  <si>
    <t>OPALETI OLUWATOBI</t>
  </si>
  <si>
    <t>08108603111</t>
  </si>
  <si>
    <t>ADEKUNLE BUSAYO</t>
  </si>
  <si>
    <t>08129032757</t>
  </si>
  <si>
    <t>0bb87359c34545a6a8bda7fe8d0b01b1</t>
  </si>
  <si>
    <t>203</t>
  </si>
  <si>
    <t>ULTRA MARINE</t>
  </si>
  <si>
    <t>353575222991832</t>
  </si>
  <si>
    <t>c2df1fdc025b456e9e7235592db1b376</t>
  </si>
  <si>
    <t>204</t>
  </si>
  <si>
    <t>IPHONE 17 PRO</t>
  </si>
  <si>
    <t xml:space="preserve">COSMIC ORANGE </t>
  </si>
  <si>
    <t>354996264284754</t>
  </si>
  <si>
    <t xml:space="preserve">ROLAND </t>
  </si>
  <si>
    <t>07049945646</t>
  </si>
  <si>
    <t>09032614464</t>
  </si>
  <si>
    <t>11/18/2025</t>
  </si>
  <si>
    <t>3e666809a55b4a52bce65bbbed18c848</t>
  </si>
  <si>
    <t>205</t>
  </si>
  <si>
    <t>NEEDS DETAILS</t>
  </si>
  <si>
    <t>354996264314536</t>
  </si>
  <si>
    <t>8b42e7013ba243c6b25c9f96ec3aa357</t>
  </si>
  <si>
    <t>206</t>
  </si>
  <si>
    <t>IPHONE 14 PRO MAX</t>
  </si>
  <si>
    <t>351446988434544</t>
  </si>
  <si>
    <t>LAWAL IBRAHIM</t>
  </si>
  <si>
    <t>08142860720</t>
  </si>
  <si>
    <t>HADLARD COM.</t>
  </si>
  <si>
    <t>07030251517</t>
  </si>
  <si>
    <t>11/11/2025</t>
  </si>
  <si>
    <t>0973277392f54ddbb967af7019c6576f</t>
  </si>
  <si>
    <t>207</t>
  </si>
  <si>
    <t>351280854486498</t>
  </si>
  <si>
    <t>DAZZLING LAUNDRY SERVICE</t>
  </si>
  <si>
    <t>07043505336</t>
  </si>
  <si>
    <t>11/15/2025</t>
  </si>
  <si>
    <t>02541f3455534144be381c1efa674e9f</t>
  </si>
  <si>
    <t>208</t>
  </si>
  <si>
    <t>350470395849343</t>
  </si>
  <si>
    <t>JOHN (MD CLIENT)</t>
  </si>
  <si>
    <t>07068251410</t>
  </si>
  <si>
    <t>244471156db541d2b33cbfb660a94f77</t>
  </si>
  <si>
    <t>209</t>
  </si>
  <si>
    <t>353431651842023</t>
  </si>
  <si>
    <t>•</t>
  </si>
  <si>
    <t>3/10/2026</t>
  </si>
  <si>
    <t>42773c3b01fc448ab1947604028daaa4</t>
  </si>
  <si>
    <t>210</t>
  </si>
  <si>
    <t>HP ELITE X2 1012 G1</t>
  </si>
  <si>
    <t>5CG711150F</t>
  </si>
  <si>
    <t>SWHITE</t>
  </si>
  <si>
    <t>09049989559</t>
  </si>
  <si>
    <t>ed95b5f6bef94bb2bdcb313d16005352</t>
  </si>
  <si>
    <t>211</t>
  </si>
  <si>
    <t>IWATCHE SERIES 9 GPS</t>
  </si>
  <si>
    <t>H4GGHCXG2F</t>
  </si>
  <si>
    <t>f731033a73c54a0e980fba85de314aff</t>
  </si>
  <si>
    <t>212</t>
  </si>
  <si>
    <t>357414199237290</t>
  </si>
  <si>
    <t>TUNDE BABS</t>
  </si>
  <si>
    <t>08130793960</t>
  </si>
  <si>
    <t>654c4dc9ab2345d59fe159f86b49dff4</t>
  </si>
  <si>
    <t>213</t>
  </si>
  <si>
    <t>HP REVOLVE X810</t>
  </si>
  <si>
    <t>8CG7175K61</t>
  </si>
  <si>
    <t>OWOLABI ISRAEL</t>
  </si>
  <si>
    <t>08112598873</t>
  </si>
  <si>
    <t>32899329a06a40f1b8f41fc3e660520f</t>
  </si>
  <si>
    <t>214</t>
  </si>
  <si>
    <t xml:space="preserve">IPAD 11TH GEN </t>
  </si>
  <si>
    <t>M47JTY0FW5</t>
  </si>
  <si>
    <t>41a701b8261947ef98a1e64fa873ff4a</t>
  </si>
  <si>
    <t>215</t>
  </si>
  <si>
    <t>f858f556f2b54efb9f5bdfc44b4367a0</t>
  </si>
  <si>
    <t>216</t>
  </si>
  <si>
    <t>IPAD 10TH GEN</t>
  </si>
  <si>
    <t>356493667315169</t>
  </si>
  <si>
    <t>568f7a45adf7404eb542003d7776d0a2</t>
  </si>
  <si>
    <t>217</t>
  </si>
  <si>
    <t>351156783495059</t>
  </si>
  <si>
    <t>DAMOLA DESTINY</t>
  </si>
  <si>
    <t>08149930956</t>
  </si>
  <si>
    <t>490554c6e7f64e4f94c8acb1002439df</t>
  </si>
  <si>
    <t>218</t>
  </si>
  <si>
    <t>IPHONE 16 NON ACTIVE</t>
  </si>
  <si>
    <t>356422160839516</t>
  </si>
  <si>
    <t>AYANFE MOBILE</t>
  </si>
  <si>
    <t>9a617a8e3bee4a0d8186213f6936691e</t>
  </si>
  <si>
    <t>219</t>
  </si>
  <si>
    <t>356422162316778</t>
  </si>
  <si>
    <t>3c0672cb53f34391837cd60aa9317b29</t>
  </si>
  <si>
    <t>220</t>
  </si>
  <si>
    <t>359824379492614</t>
  </si>
  <si>
    <t>bdc67bd9905d4c22bdecbdd9ba5a009e</t>
  </si>
  <si>
    <t>221</t>
  </si>
  <si>
    <t>PS4 SLIM</t>
  </si>
  <si>
    <t>500GB</t>
  </si>
  <si>
    <t>MG243705540</t>
  </si>
  <si>
    <t>CONSOLE</t>
  </si>
  <si>
    <t>691d70027a8c4d61909f916414758abe</t>
  </si>
  <si>
    <t>222</t>
  </si>
  <si>
    <t>SAMSUNG S24 ULTRA</t>
  </si>
  <si>
    <t>12 + 256GB</t>
  </si>
  <si>
    <t>357463820179322/14</t>
  </si>
  <si>
    <t>SAMSON</t>
  </si>
  <si>
    <t>cc2336de861047cf936b4a8ff33af398</t>
  </si>
  <si>
    <t>223</t>
  </si>
  <si>
    <t>KJ9HYF9F59</t>
  </si>
  <si>
    <t>2b1c8a3dd2304ee4bbaa4adeb50aa66b</t>
  </si>
  <si>
    <t>224</t>
  </si>
  <si>
    <t>354509713653071</t>
  </si>
  <si>
    <t>b0d0ec0809134bc38c9e50a6ebfc0687</t>
  </si>
  <si>
    <t>225</t>
  </si>
  <si>
    <t xml:space="preserve">IPHONE </t>
  </si>
  <si>
    <t>KEMI FROM SEUN</t>
  </si>
  <si>
    <t>0fb9b941f38244388f0b1ee37b743277</t>
  </si>
  <si>
    <t>226</t>
  </si>
  <si>
    <t>351465644967036</t>
  </si>
  <si>
    <t xml:space="preserve">JAMEX </t>
  </si>
  <si>
    <t>OLA OG SCOTT</t>
  </si>
  <si>
    <t>39088e8bd3a6477f85bf56e8a7cdac2e</t>
  </si>
  <si>
    <t>227</t>
  </si>
  <si>
    <t>IPHONE 15 PRO P + E</t>
  </si>
  <si>
    <t>355721799980281</t>
  </si>
  <si>
    <t>0e67d00146cb46449b3e037b4085cc3a</t>
  </si>
  <si>
    <t>228</t>
  </si>
  <si>
    <t>354496318217173</t>
  </si>
  <si>
    <t>96b8e6a8d39b45d484b73a031b40233b</t>
  </si>
  <si>
    <t>229</t>
  </si>
  <si>
    <t>SERIES 8 GPS 45MM</t>
  </si>
  <si>
    <t>DQXWYGP1WC</t>
  </si>
  <si>
    <t>2348138108648</t>
  </si>
  <si>
    <t>04/20/2026</t>
  </si>
  <si>
    <t>eedd222ef1b04b47a46944352c5a1adb</t>
  </si>
  <si>
    <t>230</t>
  </si>
  <si>
    <t>SERIES 9 GPS 45MM</t>
  </si>
  <si>
    <t>08139335667</t>
  </si>
  <si>
    <t>6e498666ad0b424481f2ff822bb76396</t>
  </si>
  <si>
    <t>231</t>
  </si>
  <si>
    <t>sold</t>
  </si>
  <si>
    <t>IPHONE 16 P+E</t>
  </si>
  <si>
    <t>ZADDY ROLAND</t>
  </si>
  <si>
    <t>09132912436</t>
  </si>
  <si>
    <t>9e37f3b27bc541609eaee72af1eab4ad</t>
  </si>
  <si>
    <t>232</t>
  </si>
  <si>
    <t>IPHONE 7</t>
  </si>
  <si>
    <t>353841081915761</t>
  </si>
  <si>
    <t>98%</t>
  </si>
  <si>
    <t>7 FLASH</t>
  </si>
  <si>
    <t>09036986983</t>
  </si>
  <si>
    <t>01970f022a834cd89cc716afcb205e0b</t>
  </si>
  <si>
    <t>233</t>
  </si>
  <si>
    <t>350991541697468</t>
  </si>
  <si>
    <t>LOCATION</t>
  </si>
  <si>
    <t>08164982726</t>
  </si>
  <si>
    <t>JONAH</t>
  </si>
  <si>
    <t>f0ae7be45e7845da9911d542e44cef48</t>
  </si>
  <si>
    <t>234</t>
  </si>
  <si>
    <t>IPHONE 14 WITH BOX</t>
  </si>
  <si>
    <t>35776985040570</t>
  </si>
  <si>
    <t>KING FCG</t>
  </si>
  <si>
    <t>09068121856</t>
  </si>
  <si>
    <t>2ff174fb2c6740c39d97ffdb7a0c7054</t>
  </si>
  <si>
    <t>235</t>
  </si>
  <si>
    <t>NURUDEEN 5 * 5</t>
  </si>
  <si>
    <t>2349138407575</t>
  </si>
  <si>
    <t>SWAPPED WITH AN IPHONE 14 PEOPLE PURPLE</t>
  </si>
  <si>
    <t>e6d15dbe29df4d7ebe26b51c623a09b4</t>
  </si>
  <si>
    <t>236</t>
  </si>
  <si>
    <t>351592242986884</t>
  </si>
  <si>
    <t>XPIFF</t>
  </si>
  <si>
    <t>7d2e829005cf4eab8d2e48626c60d14d</t>
  </si>
  <si>
    <t>237</t>
  </si>
  <si>
    <t>351582379112024</t>
  </si>
  <si>
    <t>DAVID OG SCOTT</t>
  </si>
  <si>
    <t>PRINZE GADGET</t>
  </si>
  <si>
    <t>2ccf316df8234062b92401e5c23b1872</t>
  </si>
  <si>
    <t>238</t>
  </si>
  <si>
    <t>350922059167172</t>
  </si>
  <si>
    <t>a3f5c3772f83466e86a9c99b0c611a56</t>
  </si>
  <si>
    <t>239</t>
  </si>
  <si>
    <t>PENDING DEAL</t>
  </si>
  <si>
    <t>358915828246758</t>
  </si>
  <si>
    <t>Eli Dollar</t>
  </si>
  <si>
    <t>07048810996</t>
  </si>
  <si>
    <t>2349065642565</t>
  </si>
  <si>
    <t>921e829e0ae94da3a25409196ce861e9</t>
  </si>
  <si>
    <t>240</t>
  </si>
  <si>
    <t>SAMSUNG A14</t>
  </si>
  <si>
    <t>LIGHT VIOLET</t>
  </si>
  <si>
    <t>862439070040255</t>
  </si>
  <si>
    <t>ce08706b53f14fabb6a2be218951322c</t>
  </si>
  <si>
    <t>241</t>
  </si>
  <si>
    <t>352890115836692</t>
  </si>
  <si>
    <t>ADE ALABAMA</t>
  </si>
  <si>
    <t>08103463072</t>
  </si>
  <si>
    <t>4139691df43b4f52b86de96e9affb5df</t>
  </si>
  <si>
    <t>242</t>
  </si>
  <si>
    <t>BLAXK</t>
  </si>
  <si>
    <t>352329100121372/71</t>
  </si>
  <si>
    <t>d5b028661ea04317b03d85d1e04ef879</t>
  </si>
  <si>
    <t>243</t>
  </si>
  <si>
    <t>SAMSUNG GALAXY S21</t>
  </si>
  <si>
    <t>355019640548625/42</t>
  </si>
  <si>
    <t>abc67fb6688b4270995b3182f9a32ffe</t>
  </si>
  <si>
    <t>244</t>
  </si>
  <si>
    <t>356444107071458</t>
  </si>
  <si>
    <t>PRECIOUS LUXE</t>
  </si>
  <si>
    <t>NEXUS STV</t>
  </si>
  <si>
    <t>4b45e52216ca4f7aac80c22b08fd8b75</t>
  </si>
  <si>
    <t>245</t>
  </si>
  <si>
    <t>STARLIGHT</t>
  </si>
  <si>
    <t>353762466103551</t>
  </si>
  <si>
    <t>IAMKENNYLESKY</t>
  </si>
  <si>
    <t>07060545118</t>
  </si>
  <si>
    <t>8332ae64aea84012a074e53e62214275</t>
  </si>
  <si>
    <t>246</t>
  </si>
  <si>
    <t>IPHONE 16 E</t>
  </si>
  <si>
    <t>354741550229463</t>
  </si>
  <si>
    <t>JENNIFER</t>
  </si>
  <si>
    <t>b6c2d338853542f79894c0214abc0845</t>
  </si>
  <si>
    <t>247</t>
  </si>
  <si>
    <t>100% UV</t>
  </si>
  <si>
    <t>JOZMAT COMPUTERS</t>
  </si>
  <si>
    <t>90a8f0b9cb7641cb9e975bb7ba545249</t>
  </si>
  <si>
    <t>248</t>
  </si>
  <si>
    <t>2cd4584c67a24845adc320004f5475e1</t>
  </si>
  <si>
    <t>249</t>
  </si>
  <si>
    <t>356542103397585</t>
  </si>
  <si>
    <t>NWANJA ONYEKACHI</t>
  </si>
  <si>
    <t>08167819698</t>
  </si>
  <si>
    <t>MATRO (OG SCOTT)</t>
  </si>
  <si>
    <t>b3c2764331e54d00988fec174f298c57</t>
  </si>
  <si>
    <t>250</t>
  </si>
  <si>
    <t>356440108654318</t>
  </si>
  <si>
    <t>FIRST CLASS FURNITURE</t>
  </si>
  <si>
    <t>070318451980</t>
  </si>
  <si>
    <t>JOY</t>
  </si>
  <si>
    <t>7014bea50a38418b8f280d446e097e58</t>
  </si>
  <si>
    <t>251</t>
  </si>
  <si>
    <t>353662256514381</t>
  </si>
  <si>
    <t>HUNTER LIFE</t>
  </si>
  <si>
    <t>BIGSAM</t>
  </si>
  <si>
    <t>SWAPPED WITH WHITE 15... 5154869</t>
  </si>
  <si>
    <t>8c25c44b1436412490600e1904b83440</t>
  </si>
  <si>
    <t>252</t>
  </si>
  <si>
    <t>AVAILABLE</t>
  </si>
  <si>
    <t>SAMSUNG GALAXY FOLD 7</t>
  </si>
  <si>
    <t>JET BLACK</t>
  </si>
  <si>
    <t>354243574015213</t>
  </si>
  <si>
    <t>QUEEN GADGET</t>
  </si>
  <si>
    <t>2348140708006</t>
  </si>
  <si>
    <t>750d2b21ff5a43db988949af1bedf0da</t>
  </si>
  <si>
    <t>253</t>
  </si>
  <si>
    <t xml:space="preserve"> IPHONE 14 PRO MAX</t>
  </si>
  <si>
    <t xml:space="preserve"> BLACK</t>
  </si>
  <si>
    <t xml:space="preserve"> 1TB</t>
  </si>
  <si>
    <t xml:space="preserve"> 359702372508430</t>
  </si>
  <si>
    <t xml:space="preserve"> IPHONE</t>
  </si>
  <si>
    <t>2348027964718</t>
  </si>
  <si>
    <t>2/10/2026</t>
  </si>
  <si>
    <t>CURTIS ESIM</t>
  </si>
  <si>
    <t>CHANGE SCREEN</t>
  </si>
  <si>
    <t xml:space="preserve">DENIS COLLECTED AND RETURNED </t>
  </si>
  <si>
    <t>8a3b2c5df0fa452e93401642733c2178</t>
  </si>
  <si>
    <t>254</t>
  </si>
  <si>
    <t>16GB + 256GB</t>
  </si>
  <si>
    <t>5CG8164T2Q</t>
  </si>
  <si>
    <t>CC HP 1030 G2</t>
  </si>
  <si>
    <t>08132024442</t>
  </si>
  <si>
    <t>IBRAHIM GADGS</t>
  </si>
  <si>
    <t>2349060724788</t>
  </si>
  <si>
    <t>IT WAS FIRST COLLECTED BY SAD BOI WHICH HE RETURNED DUE TO SPEAKER ISSUE</t>
  </si>
  <si>
    <t>92611ad8b3004c0c94e4fddfaac50256</t>
  </si>
  <si>
    <t>255</t>
  </si>
  <si>
    <t>APPLE PEN SECOND GENERATION</t>
  </si>
  <si>
    <t>HJRK60KZJKM9</t>
  </si>
  <si>
    <t>APPLE PEN</t>
  </si>
  <si>
    <t>ad6ce676a0a74d4ebfd0ff2a71d6218d</t>
  </si>
  <si>
    <t>256</t>
  </si>
  <si>
    <t>2+64GB</t>
  </si>
  <si>
    <t>359032080578289/84</t>
  </si>
  <si>
    <t>IAM KENNYLESKY</t>
  </si>
  <si>
    <t xml:space="preserve">GNF </t>
  </si>
  <si>
    <t>2348160373526</t>
  </si>
  <si>
    <t>UPPER SPEAKER ISSUE</t>
  </si>
  <si>
    <t>bce8620e722c434580d777358918c031</t>
  </si>
  <si>
    <t>257</t>
  </si>
  <si>
    <t>353325703051676/73</t>
  </si>
  <si>
    <t>HOLLAH GADGET</t>
  </si>
  <si>
    <t>2347067100970</t>
  </si>
  <si>
    <t>TAIWO HASSAN</t>
  </si>
  <si>
    <t>07060546175</t>
  </si>
  <si>
    <t xml:space="preserve">REPLACED </t>
  </si>
  <si>
    <t>5007a6cfa87d46e191f89548481d3e8b</t>
  </si>
  <si>
    <t>259</t>
  </si>
  <si>
    <t>JOY 13</t>
  </si>
  <si>
    <t>prinze gadgets</t>
  </si>
  <si>
    <t>1/27/2026</t>
  </si>
  <si>
    <t>847c2f466b9c49c9b81b26f9644ef8dc</t>
  </si>
  <si>
    <t>260</t>
  </si>
  <si>
    <t>32GB</t>
  </si>
  <si>
    <t>353070097381244</t>
  </si>
  <si>
    <t>5a568a50cf4941bdbc3db6af6fdbb086</t>
  </si>
  <si>
    <t>261</t>
  </si>
  <si>
    <t>8542eeed3b374cfc930149e78e652b47</t>
  </si>
  <si>
    <t>262</t>
  </si>
  <si>
    <t>350183987500121</t>
  </si>
  <si>
    <t>TEEBEST</t>
  </si>
  <si>
    <t>HE COLLECTED IT BECAUSE HIS PHONE WAS FAULTY</t>
  </si>
  <si>
    <t>1930bb902539409cb579f5459e3a1e12</t>
  </si>
  <si>
    <t>263</t>
  </si>
  <si>
    <t>IPHONE 15 PRO MAX P + E</t>
  </si>
  <si>
    <t>350069704422501</t>
  </si>
  <si>
    <t>79 (92%)</t>
  </si>
  <si>
    <t>SAMUEL FROM KEMI SEUN</t>
  </si>
  <si>
    <t>2348068736319</t>
  </si>
  <si>
    <t>2349032614464</t>
  </si>
  <si>
    <t>bce5fd0b4e6e4255869b31df09e94d60</t>
  </si>
  <si>
    <t>264</t>
  </si>
  <si>
    <t>351071524715196</t>
  </si>
  <si>
    <t xml:space="preserve">CH4 </t>
  </si>
  <si>
    <t>3a09dd581f0149e090139e19af97bc98</t>
  </si>
  <si>
    <t>265</t>
  </si>
  <si>
    <t>359702375154869</t>
  </si>
  <si>
    <t>BIG SAM</t>
  </si>
  <si>
    <t>d432c9765f424b6d9b65aec16ad8e30c</t>
  </si>
  <si>
    <t>266</t>
  </si>
  <si>
    <t>359035292273391</t>
  </si>
  <si>
    <t xml:space="preserve"> FEMZ GADGET</t>
  </si>
  <si>
    <t xml:space="preserve"> +2348148449817</t>
  </si>
  <si>
    <t>6ae0f35779e54c83b322467f9d65e1c0</t>
  </si>
  <si>
    <t>267</t>
  </si>
  <si>
    <t>355883347687311</t>
  </si>
  <si>
    <t>BIMKEM CAKE AND PASTERIES</t>
  </si>
  <si>
    <t>08104217700</t>
  </si>
  <si>
    <t>SWAPPED WITH SWOLLEN BATTERY GOLD IPHONE XS MAX</t>
  </si>
  <si>
    <t>40651ca7b101495099dfce635b8954b3</t>
  </si>
  <si>
    <t>268</t>
  </si>
  <si>
    <t xml:space="preserve">IPHONE 15 PRO </t>
  </si>
  <si>
    <t xml:space="preserve">91%  </t>
  </si>
  <si>
    <t>RICKY FCG</t>
  </si>
  <si>
    <t xml:space="preserve"> 0704 503 1243</t>
  </si>
  <si>
    <t>ANOINTED WEALTH</t>
  </si>
  <si>
    <t>08137226383</t>
  </si>
  <si>
    <t>1ea8b4885355439bb7500db73ff1bc14</t>
  </si>
  <si>
    <t>269</t>
  </si>
  <si>
    <t>IPHONE XSMAX</t>
  </si>
  <si>
    <t>357266099445187</t>
  </si>
  <si>
    <t>74dd8a3c206b44eaa55b1f1a02f80669</t>
  </si>
  <si>
    <t>270</t>
  </si>
  <si>
    <t>350923383300943</t>
  </si>
  <si>
    <t>GNF</t>
  </si>
  <si>
    <t>234 816 037 3526</t>
  </si>
  <si>
    <t>268090b235424101a60a35a61e076105</t>
  </si>
  <si>
    <t>271</t>
  </si>
  <si>
    <t>356842119300858</t>
  </si>
  <si>
    <t>SPENCER GADGET</t>
  </si>
  <si>
    <t>08148362643</t>
  </si>
  <si>
    <t>f38194470c524803b28276f894442a07</t>
  </si>
  <si>
    <t>272</t>
  </si>
  <si>
    <t xml:space="preserve">IPHONE 8 </t>
  </si>
  <si>
    <t>359497080311579</t>
  </si>
  <si>
    <t>76%</t>
  </si>
  <si>
    <t>RAY</t>
  </si>
  <si>
    <t xml:space="preserve"> EMMAX FCG</t>
  </si>
  <si>
    <t xml:space="preserve"> +234 906 594 4787</t>
  </si>
  <si>
    <t>c1348f3d5beb45fbac80f0ee3512daee</t>
  </si>
  <si>
    <t>273</t>
  </si>
  <si>
    <t xml:space="preserve"> 356470105997220</t>
  </si>
  <si>
    <t xml:space="preserve"> DENIS4WARD TECHNOLOGY</t>
  </si>
  <si>
    <t xml:space="preserve"> 08038551439</t>
  </si>
  <si>
    <t>f00ac6e857864b789cfd50c3eb3928d4</t>
  </si>
  <si>
    <t>274</t>
  </si>
  <si>
    <t xml:space="preserve"> 64GB</t>
  </si>
  <si>
    <t xml:space="preserve"> 356840111699814</t>
  </si>
  <si>
    <t xml:space="preserve">100% </t>
  </si>
  <si>
    <t>ad0a670da7ad4240bd647d5668721b2a</t>
  </si>
  <si>
    <t>275</t>
  </si>
  <si>
    <t>356841111235385</t>
  </si>
  <si>
    <t>SAM</t>
  </si>
  <si>
    <t>09168257809</t>
  </si>
  <si>
    <t>aa9d7bc366da4deca238b82908833c72</t>
  </si>
  <si>
    <t>276</t>
  </si>
  <si>
    <t>IPHONE 16 PLUS P + E</t>
  </si>
  <si>
    <t>352373266174783</t>
  </si>
  <si>
    <t>SAD BOI</t>
  </si>
  <si>
    <t>2/28/2026</t>
  </si>
  <si>
    <t>096abbc8415b40c6a77c9121ea529200</t>
  </si>
  <si>
    <t>277</t>
  </si>
  <si>
    <t>353247108602988</t>
  </si>
  <si>
    <t>PASCAL (OLUWATURNER)</t>
  </si>
  <si>
    <t>09064611546</t>
  </si>
  <si>
    <t>PHLEMZY GADGET</t>
  </si>
  <si>
    <t>SENT TONDY</t>
  </si>
  <si>
    <t>039003c42f6041248569597d4d5fde37</t>
  </si>
  <si>
    <t>278</t>
  </si>
  <si>
    <t>DON SPARKY GADGET</t>
  </si>
  <si>
    <t>DEMEX</t>
  </si>
  <si>
    <t>2347067462101</t>
  </si>
  <si>
    <t>cddf98255af1432d98e364befa5149ea</t>
  </si>
  <si>
    <t>279</t>
  </si>
  <si>
    <t xml:space="preserve"> DELL LATITUDE 3390 2-IN-1</t>
  </si>
  <si>
    <t>8 / 256GB</t>
  </si>
  <si>
    <t>9908PT2</t>
  </si>
  <si>
    <t>LIBERTY</t>
  </si>
  <si>
    <t>d5ea08809fc345b8b75ba80fcbba3200</t>
  </si>
  <si>
    <t>280</t>
  </si>
  <si>
    <t>354321296051388</t>
  </si>
  <si>
    <t>2349068103734</t>
  </si>
  <si>
    <t>MR UK GADGET</t>
  </si>
  <si>
    <t>08162819733</t>
  </si>
  <si>
    <t>83fc4c76d7414d90bcfbb0cd4ed7b3cb</t>
  </si>
  <si>
    <t>281</t>
  </si>
  <si>
    <t>IPHONE 15 PRO MAX ESIM</t>
  </si>
  <si>
    <t>352832400580320</t>
  </si>
  <si>
    <t>7196ef64076147db9fcc9ea2292f808f</t>
  </si>
  <si>
    <t>282</t>
  </si>
  <si>
    <t xml:space="preserve">STARBOX </t>
  </si>
  <si>
    <t>0816 686 0603</t>
  </si>
  <si>
    <t>36da9fbbeebf47d0b83855b95e72d6c1</t>
  </si>
  <si>
    <t>283</t>
  </si>
  <si>
    <t>IPHONE 17 AIR</t>
  </si>
  <si>
    <t>SKY BLUE</t>
  </si>
  <si>
    <t>358302111565956</t>
  </si>
  <si>
    <t>7851c8537e5749348ccfb1d4195e180d</t>
  </si>
  <si>
    <t>284</t>
  </si>
  <si>
    <t>K4VQT576LH</t>
  </si>
  <si>
    <t>BOUGHT ALONG WITH IPHONE 17 PRO MAX</t>
  </si>
  <si>
    <t>2ba622df745e4b96984de602a4147ef7</t>
  </si>
  <si>
    <t>285</t>
  </si>
  <si>
    <t>IPHONE 17 PRO MAX</t>
  </si>
  <si>
    <t>353497851214438</t>
  </si>
  <si>
    <t>d452b7d858c34677b5272a7fdf31e395</t>
  </si>
  <si>
    <t>286</t>
  </si>
  <si>
    <t>352678436701855</t>
  </si>
  <si>
    <t>MIDE (FROM BECKZ)</t>
  </si>
  <si>
    <t>2348032783523</t>
  </si>
  <si>
    <t>SWAP WITH LOCKED IPHONE 11 PRO</t>
  </si>
  <si>
    <t>54b8ffce9c6e46d2853cff33c67b0351</t>
  </si>
  <si>
    <t>287</t>
  </si>
  <si>
    <t>LIGHT GOLD</t>
  </si>
  <si>
    <t>357247590767121</t>
  </si>
  <si>
    <t>FORMULA</t>
  </si>
  <si>
    <t>2347067612418</t>
  </si>
  <si>
    <t>ec8cb72d66674e859faa8d183af673be</t>
  </si>
  <si>
    <t>288</t>
  </si>
  <si>
    <t>351605722453850</t>
  </si>
  <si>
    <t>TO REPLACE IPHONE 16 PRO MAX 512GB</t>
  </si>
  <si>
    <t>f82a5ad3e1294a5d8c99cfb2fe83bc3d</t>
  </si>
  <si>
    <t>289</t>
  </si>
  <si>
    <t>351055803413102</t>
  </si>
  <si>
    <t>GNF GADGET</t>
  </si>
  <si>
    <t>88a1967b8c604f5dac24dcdc31ad1081</t>
  </si>
  <si>
    <t>290</t>
  </si>
  <si>
    <t>354230916172369</t>
  </si>
  <si>
    <t>ADEX</t>
  </si>
  <si>
    <t>10eb69e24f6848de90629952bd613d84</t>
  </si>
  <si>
    <t>291</t>
  </si>
  <si>
    <t>352433809356311</t>
  </si>
  <si>
    <t>TOM CRUISE</t>
  </si>
  <si>
    <t>2348143681060</t>
  </si>
  <si>
    <t>b89e587993794d0ea98f9c18d5f14580</t>
  </si>
  <si>
    <t>292</t>
  </si>
  <si>
    <t>MIDNIGHT GREEN</t>
  </si>
  <si>
    <t>72% (89%)</t>
  </si>
  <si>
    <t>EZEKIEL OLOYEDE</t>
  </si>
  <si>
    <t>08039827683</t>
  </si>
  <si>
    <t>5ee245a7e9044118aec0b252f6ff3d3a</t>
  </si>
  <si>
    <t>293</t>
  </si>
  <si>
    <t>353235102246621</t>
  </si>
  <si>
    <t>AFOWOWE VICTOR</t>
  </si>
  <si>
    <t>2347034799457</t>
  </si>
  <si>
    <t>3/6/2026</t>
  </si>
  <si>
    <t>577f2ee8b806429c9081e04723783251</t>
  </si>
  <si>
    <t>294</t>
  </si>
  <si>
    <t>354178502696301</t>
  </si>
  <si>
    <t>TECH JAR</t>
  </si>
  <si>
    <t>2347047512596</t>
  </si>
  <si>
    <t>8acdf486cf6249a38b3846128f9349f5</t>
  </si>
  <si>
    <t>295</t>
  </si>
  <si>
    <t>350465827999914</t>
  </si>
  <si>
    <t>ADURAGBEMI ADEBAYO</t>
  </si>
  <si>
    <t>09027376507</t>
  </si>
  <si>
    <t>TOLU ONDO STADIUM</t>
  </si>
  <si>
    <t>2349152917173</t>
  </si>
  <si>
    <t>6e1ab9e0d46948fcbe65b2ae9fbac785</t>
  </si>
  <si>
    <t>296</t>
  </si>
  <si>
    <t>352676522059527</t>
  </si>
  <si>
    <t>0d27d89da94147ca979c826a9df93a71</t>
  </si>
  <si>
    <t>297</t>
  </si>
  <si>
    <t>357773245354015</t>
  </si>
  <si>
    <t>2d8c9d2fe1314ad48aa6a9badd49df6c</t>
  </si>
  <si>
    <t>298</t>
  </si>
  <si>
    <t>353240103451972</t>
  </si>
  <si>
    <t>eb258ad1b069443db77e02d27ef3246b</t>
  </si>
  <si>
    <t>299</t>
  </si>
  <si>
    <t>DESERT TITANIUM</t>
  </si>
  <si>
    <t>354423235215700</t>
  </si>
  <si>
    <t>c12903c6ba314aa18f347f674ff005ed</t>
  </si>
  <si>
    <t>300</t>
  </si>
  <si>
    <t>356848113696837</t>
  </si>
  <si>
    <t>PAPPYTECH</t>
  </si>
  <si>
    <t>2349064677372</t>
  </si>
  <si>
    <t>111333f6c66a4b0c89e49491d74b7433</t>
  </si>
  <si>
    <t>301</t>
  </si>
  <si>
    <t>355361727018118</t>
  </si>
  <si>
    <t>90c11560e6d84fa08bd2790ffa7283a0</t>
  </si>
  <si>
    <t>302</t>
  </si>
  <si>
    <t>358625099111231</t>
  </si>
  <si>
    <t>JENROLA OZ</t>
  </si>
  <si>
    <t>DEPOSITED 90K</t>
  </si>
  <si>
    <t>a73eadf49e1849939098e0378868a6dc</t>
  </si>
  <si>
    <t>303</t>
  </si>
  <si>
    <t>353980107564250</t>
  </si>
  <si>
    <t>0813 722 6383</t>
  </si>
  <si>
    <t>b382f8825b5b490698077b769e5b4890</t>
  </si>
  <si>
    <t>304</t>
  </si>
  <si>
    <t>353730795949093</t>
  </si>
  <si>
    <t>TUNDE BABZ</t>
  </si>
  <si>
    <t>3b417a7677de48c2aec1b0bf6917fe90</t>
  </si>
  <si>
    <t>305</t>
  </si>
  <si>
    <t>350340252616483</t>
  </si>
  <si>
    <t>NEXUS TECHNOLOGY</t>
  </si>
  <si>
    <t>d81bb84ee7c14b0998060c29448d0a03</t>
  </si>
  <si>
    <t>306</t>
  </si>
  <si>
    <t>354276354227868</t>
  </si>
  <si>
    <t>5ecaf1b5e45243d38fa7c6fea9048526</t>
  </si>
  <si>
    <t>307</t>
  </si>
  <si>
    <t>355660520873581</t>
  </si>
  <si>
    <t>FAV TECH</t>
  </si>
  <si>
    <t>cf7a80d0ae524639818e0f55290195af</t>
  </si>
  <si>
    <t>308</t>
  </si>
  <si>
    <t>354230911519598</t>
  </si>
  <si>
    <t>SWAPPED WITH P + E IPHONE 15</t>
  </si>
  <si>
    <t>74a43a9a3d2746aa81311b981fb9b571</t>
  </si>
  <si>
    <t>309</t>
  </si>
  <si>
    <t>IPHONE 15 P + E</t>
  </si>
  <si>
    <t>354004395226065</t>
  </si>
  <si>
    <t>09060637892</t>
  </si>
  <si>
    <t>d0f08deb4dc34721a5e9bc8fb7a06812</t>
  </si>
  <si>
    <t>310</t>
  </si>
  <si>
    <t>353075116116653</t>
  </si>
  <si>
    <t>2347065500068</t>
  </si>
  <si>
    <t>d783d9b0c7e54a28baa77dbd61210fce</t>
  </si>
  <si>
    <t>311</t>
  </si>
  <si>
    <t>IPHONE 14 PRO MAX P + E</t>
  </si>
  <si>
    <t>350636270816918</t>
  </si>
  <si>
    <t>BRIGHT DENIS4WARD</t>
  </si>
  <si>
    <t>09063958834</t>
  </si>
  <si>
    <t>b65e0279e0344b9e89047e76929a2e38</t>
  </si>
  <si>
    <t>312</t>
  </si>
  <si>
    <t>355338084731467</t>
  </si>
  <si>
    <t>2349066720385</t>
  </si>
  <si>
    <t>003fa7aa4d254191b73079a377b0e9f1</t>
  </si>
  <si>
    <t>313</t>
  </si>
  <si>
    <t>354496311666220</t>
  </si>
  <si>
    <t>PLENTY GADGET</t>
  </si>
  <si>
    <t>2349022154207</t>
  </si>
  <si>
    <t>7db70a29d4f9418aafd5994e158475b8</t>
  </si>
  <si>
    <t>314</t>
  </si>
  <si>
    <t>331810cb5c70459eaccdcebe0d40edcf</t>
  </si>
  <si>
    <t>315</t>
  </si>
  <si>
    <t>IWATCH SERIES 11 46MM GPS</t>
  </si>
  <si>
    <t>JKH9GNP094</t>
  </si>
  <si>
    <t>MBENZ ESIM</t>
  </si>
  <si>
    <t>ANOITED WEALTH</t>
  </si>
  <si>
    <t>321516cd1bd54daa8eb70d5ebfc441a0</t>
  </si>
  <si>
    <t>316</t>
  </si>
  <si>
    <t>359811263248244</t>
  </si>
  <si>
    <t>74%</t>
  </si>
  <si>
    <t>OLOYEDE ENOCH</t>
  </si>
  <si>
    <t>09044979373</t>
  </si>
  <si>
    <t>85c0693bb2ad4180a4d3b42b907d94bc</t>
  </si>
  <si>
    <t>317</t>
  </si>
  <si>
    <t>MC872201734</t>
  </si>
  <si>
    <t>OLUWABURNA</t>
  </si>
  <si>
    <t>3/16/2026</t>
  </si>
  <si>
    <t>MULLAR GADGET</t>
  </si>
  <si>
    <t>5fd537b51fac4a8399e62f5eb2c25af6</t>
  </si>
  <si>
    <t>318</t>
  </si>
  <si>
    <t>356845113678534</t>
  </si>
  <si>
    <t>DENIS4WARD TECHMOLOGY</t>
  </si>
  <si>
    <t>2349161048040</t>
  </si>
  <si>
    <t>3426ecefb22048cabfe9bcec0b6a81d2</t>
  </si>
  <si>
    <t>319</t>
  </si>
  <si>
    <t>354178507884670</t>
  </si>
  <si>
    <t>BIGMO</t>
  </si>
  <si>
    <t>5b88a2475ae44b5ba5bd2955a6b5f9b2</t>
  </si>
  <si>
    <t>320</t>
  </si>
  <si>
    <t>356140776073847</t>
  </si>
  <si>
    <t>AYOBAMI CLASSIC</t>
  </si>
  <si>
    <t>2348169038081</t>
  </si>
  <si>
    <t>4430cd3c331e42fd8ad8ba06970f9e03</t>
  </si>
  <si>
    <t>321</t>
  </si>
  <si>
    <t>353249104500786</t>
  </si>
  <si>
    <t>687a7bb99cd648febc1cc425a7ca2525</t>
  </si>
  <si>
    <t>322</t>
  </si>
  <si>
    <t>RAYMOND FLASH GADGET</t>
  </si>
  <si>
    <t>f2c98db24511405e8b0cbd1eac053306</t>
  </si>
  <si>
    <t>323</t>
  </si>
  <si>
    <t>353843242565410</t>
  </si>
  <si>
    <t>CHRISTINED</t>
  </si>
  <si>
    <t>4/2/2026</t>
  </si>
  <si>
    <t>c60fa9b140ac407c9d14c4d1c393e575</t>
  </si>
  <si>
    <t>324</t>
  </si>
  <si>
    <t>351935566554418</t>
  </si>
  <si>
    <t>BAYESH</t>
  </si>
  <si>
    <t>08136276066</t>
  </si>
  <si>
    <t>THANKGOD</t>
  </si>
  <si>
    <t>3/29/2026</t>
  </si>
  <si>
    <t>f967e94215094b66b5419e27c8500caa</t>
  </si>
  <si>
    <t>325</t>
  </si>
  <si>
    <t>IPHONE XS MAX</t>
  </si>
  <si>
    <t>358730091228981</t>
  </si>
  <si>
    <t>2348101680421</t>
  </si>
  <si>
    <t>HADLARD COMMUNICATION</t>
  </si>
  <si>
    <t>bd848ed2c6894620aac23f5d041eb00b</t>
  </si>
  <si>
    <t>326</t>
  </si>
  <si>
    <t>IPHONE 11 PRO MAX</t>
  </si>
  <si>
    <t>353926106063562</t>
  </si>
  <si>
    <t>SKY PEROXIDE</t>
  </si>
  <si>
    <t>10e4823d6ab54ebc973a0bddd2534006</t>
  </si>
  <si>
    <t>327</t>
  </si>
  <si>
    <t>356330873132618</t>
  </si>
  <si>
    <t>5bbe1037344940c68e0e1fbc73bcf70c</t>
  </si>
  <si>
    <t>328</t>
  </si>
  <si>
    <t>351194966961241</t>
  </si>
  <si>
    <t>ELI DOLLAR</t>
  </si>
  <si>
    <t>3956beb4327e42f593dc6f77e1d5878f</t>
  </si>
  <si>
    <t>329</t>
  </si>
  <si>
    <t>354331124392649</t>
  </si>
  <si>
    <t>304be71750e6480c884d8a56482c1796</t>
  </si>
  <si>
    <t>330</t>
  </si>
  <si>
    <t>IWATCH SERIES 7 GPS + LTE</t>
  </si>
  <si>
    <t>VD7V676WT3</t>
  </si>
  <si>
    <t>WATCH</t>
  </si>
  <si>
    <t>f7f89a900c524e1da831e96132786c82</t>
  </si>
  <si>
    <t>331</t>
  </si>
  <si>
    <t>352973351900768</t>
  </si>
  <si>
    <t>234 903 261 4464</t>
  </si>
  <si>
    <t>4/4/2026</t>
  </si>
  <si>
    <t>7653c8fe30104843a2900a76a5697a40</t>
  </si>
  <si>
    <t>332</t>
  </si>
  <si>
    <t>356483109107191</t>
  </si>
  <si>
    <t>2348138408833</t>
  </si>
  <si>
    <t>234 8165523297</t>
  </si>
  <si>
    <t>e5c2537a318446849eb550b515f1441c</t>
  </si>
  <si>
    <t>333</t>
  </si>
  <si>
    <t>350359740006958</t>
  </si>
  <si>
    <t>JT GADGET</t>
  </si>
  <si>
    <t>8a812ad79e744361b750b9367d84ba20</t>
  </si>
  <si>
    <t>334</t>
  </si>
  <si>
    <t>66f0c6feb0264d14a6fc311978a3dcaf</t>
  </si>
  <si>
    <t>335</t>
  </si>
  <si>
    <t>354741555053579</t>
  </si>
  <si>
    <t>d6980363312b4b09b1f9d82d3084f39c</t>
  </si>
  <si>
    <t>336</t>
  </si>
  <si>
    <t>354496311665220</t>
  </si>
  <si>
    <t>09022154207</t>
  </si>
  <si>
    <t>DEMIGLOBAL MULTISERIVICE</t>
  </si>
  <si>
    <t>\</t>
  </si>
  <si>
    <t>03c71f12e10a4020bf51e23c3e7f92f0</t>
  </si>
  <si>
    <t>337</t>
  </si>
  <si>
    <t>357770206656735</t>
  </si>
  <si>
    <t>9d0efac5d13e429a9ff3325e08173167</t>
  </si>
  <si>
    <t>338</t>
  </si>
  <si>
    <t>356478843889559</t>
  </si>
  <si>
    <t>MARVY T.M</t>
  </si>
  <si>
    <t>2349037388643</t>
  </si>
  <si>
    <t>ecfee3a077134859bfe338e360555eda</t>
  </si>
  <si>
    <t>339</t>
  </si>
  <si>
    <t>357344098486526</t>
  </si>
  <si>
    <t>600d0f5b33a14fd491e5a39f2cb5bae5</t>
  </si>
  <si>
    <t>340</t>
  </si>
  <si>
    <t>iPhone 14 Pro Max</t>
  </si>
  <si>
    <t xml:space="preserve">Silver </t>
  </si>
  <si>
    <t>356200546566213</t>
  </si>
  <si>
    <t>PROTECH GADGET</t>
  </si>
  <si>
    <t>2348102522960</t>
  </si>
  <si>
    <t>05/02/2026</t>
  </si>
  <si>
    <t>1d72aaff04db486fb191cb5844cd5318</t>
  </si>
  <si>
    <t>341</t>
  </si>
  <si>
    <t xml:space="preserve">iPhone 16 Pro Max </t>
  </si>
  <si>
    <t xml:space="preserve">Desert Titanium </t>
  </si>
  <si>
    <t>355067548715440</t>
  </si>
  <si>
    <t>FILMS JESSE</t>
  </si>
  <si>
    <t>2348145094483</t>
  </si>
  <si>
    <t>9b4f406dd9e742b692184ccfd88ba00a</t>
  </si>
  <si>
    <t>342</t>
  </si>
  <si>
    <t>IPHONE AIR</t>
  </si>
  <si>
    <t>CLOUD WHITE</t>
  </si>
  <si>
    <t>355413814718025</t>
  </si>
  <si>
    <t>09134339898</t>
  </si>
  <si>
    <t>zinto</t>
  </si>
  <si>
    <t>234 901 763 5284</t>
  </si>
  <si>
    <t>04/10/2026</t>
  </si>
  <si>
    <t>9dd11511056e47b89ac5b6bbc45d00e8</t>
  </si>
  <si>
    <t>343</t>
  </si>
  <si>
    <t>354661672109387</t>
  </si>
  <si>
    <t>RICHIE APPLE ID</t>
  </si>
  <si>
    <t>2349060362110</t>
  </si>
  <si>
    <t>TEE BEST</t>
  </si>
  <si>
    <t>0803 762 4066</t>
  </si>
  <si>
    <t>4/5/2026</t>
  </si>
  <si>
    <t>efb9315c98c8412da7ded1c1e6b86ae2</t>
  </si>
  <si>
    <t>344</t>
  </si>
  <si>
    <t>358915823120982</t>
  </si>
  <si>
    <t>3d38f56497ed4e7d949af0fb79abe7a0</t>
  </si>
  <si>
    <t>345</t>
  </si>
  <si>
    <t>DEEP BLUE TITANIUM</t>
  </si>
  <si>
    <t>353748537419738</t>
  </si>
  <si>
    <t>Tunaro LOCATION SOFTWARE</t>
  </si>
  <si>
    <t>0701 715 8374</t>
  </si>
  <si>
    <t>e20c2b10b085467798946a478b8eb826</t>
  </si>
  <si>
    <t>346</t>
  </si>
  <si>
    <t>iPHONE 15</t>
  </si>
  <si>
    <t>353817900069121</t>
  </si>
  <si>
    <t>TETE GADGET</t>
  </si>
  <si>
    <t>07066798196</t>
  </si>
  <si>
    <t>4261d67e201548e490e02d189fdc160e</t>
  </si>
  <si>
    <t>347</t>
  </si>
  <si>
    <t>358637620606720</t>
  </si>
  <si>
    <t>DANIEL ELUYOYE</t>
  </si>
  <si>
    <t>09017635284</t>
  </si>
  <si>
    <t>de48f935772c4dea8759e2a4b84352dd</t>
  </si>
  <si>
    <t>348</t>
  </si>
  <si>
    <t xml:space="preserve">iPhone 14 </t>
  </si>
  <si>
    <t xml:space="preserve">Blue </t>
  </si>
  <si>
    <t>359608203806168</t>
  </si>
  <si>
    <t>2348165523297</t>
  </si>
  <si>
    <t>04/14/2026</t>
  </si>
  <si>
    <t>8eac750f188b4ee79c74127a1891b2ba</t>
  </si>
  <si>
    <t>349</t>
  </si>
  <si>
    <t>1:17</t>
  </si>
  <si>
    <t>SEALED IPHONE 17 PRO P + E</t>
  </si>
  <si>
    <t>350296272694100</t>
  </si>
  <si>
    <t>2348106293924</t>
  </si>
  <si>
    <t>CH4</t>
  </si>
  <si>
    <t>2348131941406</t>
  </si>
  <si>
    <t>05/06/2026</t>
  </si>
  <si>
    <t>06a40161d1c9445bb998045b99ba5a2c</t>
  </si>
  <si>
    <t>350</t>
  </si>
  <si>
    <t>16:37</t>
  </si>
  <si>
    <t>358838944190470</t>
  </si>
  <si>
    <t>2349037002617</t>
  </si>
  <si>
    <t>FIRSTCLASS FURNITURE</t>
  </si>
  <si>
    <t>2347031845198</t>
  </si>
  <si>
    <t>04/21/2026</t>
  </si>
  <si>
    <t>SNAPBAN</t>
  </si>
  <si>
    <t>5c73e3350adc4d7b93e679930a46cad8</t>
  </si>
  <si>
    <t>351</t>
  </si>
  <si>
    <t>18:10</t>
  </si>
  <si>
    <t>358838941045446</t>
  </si>
  <si>
    <t>CRACKED BACK</t>
  </si>
  <si>
    <t>fba88674e7a142df8ff314ff3edb8c0c</t>
  </si>
  <si>
    <t>352</t>
  </si>
  <si>
    <t>12:40</t>
  </si>
  <si>
    <t>IPHONE SE 2</t>
  </si>
  <si>
    <t>356473104213474</t>
  </si>
  <si>
    <t>2348038551439</t>
  </si>
  <si>
    <t>04/11/2026</t>
  </si>
  <si>
    <t>MZEE</t>
  </si>
  <si>
    <t>2349038935833</t>
  </si>
  <si>
    <t>NO TOUCH ID</t>
  </si>
  <si>
    <t>8239df5f510640238aeae6a0665df19a</t>
  </si>
  <si>
    <t>353</t>
  </si>
  <si>
    <t>13:27</t>
  </si>
  <si>
    <t>358178370957021</t>
  </si>
  <si>
    <t>HAYKINZ</t>
  </si>
  <si>
    <t>2347030279101</t>
  </si>
  <si>
    <t>GLORY BOMA</t>
  </si>
  <si>
    <t>2348163305240</t>
  </si>
  <si>
    <t>d3927104c3894c2a8431fb7d9e414196</t>
  </si>
  <si>
    <t>354</t>
  </si>
  <si>
    <t>14:19</t>
  </si>
  <si>
    <t>353352958920199</t>
  </si>
  <si>
    <t>2349069477050</t>
  </si>
  <si>
    <t>04/15/2026</t>
  </si>
  <si>
    <t>SWAPPED TO GET IPHONE 15</t>
  </si>
  <si>
    <t>e13b13c5e089416bae2686283a03dda7</t>
  </si>
  <si>
    <t>355</t>
  </si>
  <si>
    <t>16:32</t>
  </si>
  <si>
    <t>358355843220282</t>
  </si>
  <si>
    <t>HAYKINS</t>
  </si>
  <si>
    <t>USED AS REPLACEMENT FOR HIS IPHONE 14 PRO</t>
  </si>
  <si>
    <t>10d10b4ab3794feaa9816bf6d5efa478</t>
  </si>
  <si>
    <t>356</t>
  </si>
  <si>
    <t>17:11</t>
  </si>
  <si>
    <t>PS4 SLIM AND 2 PADS</t>
  </si>
  <si>
    <t>500HD</t>
  </si>
  <si>
    <t>MG230529524</t>
  </si>
  <si>
    <t>ZINTO</t>
  </si>
  <si>
    <t>FIXED HDD</t>
  </si>
  <si>
    <t>8e4d33a1af0447e696d3ca8417485a9f</t>
  </si>
  <si>
    <t>357</t>
  </si>
  <si>
    <t>17:15</t>
  </si>
  <si>
    <t>357136795531251</t>
  </si>
  <si>
    <t>2348166860603</t>
  </si>
  <si>
    <t>1e8329d56ed84879978f51a77e2e8da3</t>
  </si>
  <si>
    <t>358</t>
  </si>
  <si>
    <t>14:20</t>
  </si>
  <si>
    <t>iPhone 11</t>
  </si>
  <si>
    <t>Black</t>
  </si>
  <si>
    <t>356549102962491</t>
  </si>
  <si>
    <t>HOLLAH GADGETS</t>
  </si>
  <si>
    <t>2347041440724</t>
  </si>
  <si>
    <t>04/13/2026</t>
  </si>
  <si>
    <t>IMISIOLUWA</t>
  </si>
  <si>
    <t>2347014473284</t>
  </si>
  <si>
    <t>GENUINE CHANGED BATTERY AND SCREEN</t>
  </si>
  <si>
    <t>61dae124014f4fd39fce6cd8dfd749d8</t>
  </si>
  <si>
    <t>359</t>
  </si>
  <si>
    <t>14:25</t>
  </si>
  <si>
    <t>iPhone 16e</t>
  </si>
  <si>
    <t>iPhone</t>
  </si>
  <si>
    <t>Laid By J From JOY</t>
  </si>
  <si>
    <t>2348105838181</t>
  </si>
  <si>
    <t>2349033724061</t>
  </si>
  <si>
    <t>83f6079d084c4677bf3cd99c09fa808a</t>
  </si>
  <si>
    <t>360</t>
  </si>
  <si>
    <t>14:56</t>
  </si>
  <si>
    <t>iPhone 16 Plus</t>
  </si>
  <si>
    <t>359012141800617</t>
  </si>
  <si>
    <t>TOBILOBA HENRY (Location)</t>
  </si>
  <si>
    <t>2348164982726</t>
  </si>
  <si>
    <t>MC GADGETS</t>
  </si>
  <si>
    <t>2348129564538</t>
  </si>
  <si>
    <t>f28bc353ad49429195d278c4f1e80fa9</t>
  </si>
  <si>
    <t>361</t>
  </si>
  <si>
    <t>09:59</t>
  </si>
  <si>
    <t>Red</t>
  </si>
  <si>
    <t>356545108980057</t>
  </si>
  <si>
    <t>CSGV</t>
  </si>
  <si>
    <t>2348106125167</t>
  </si>
  <si>
    <t>04/17/2026</t>
  </si>
  <si>
    <t>SERVICE BATTERY</t>
  </si>
  <si>
    <t>1803d553144149efbfdfbc637f0039e8</t>
  </si>
  <si>
    <t>362</t>
  </si>
  <si>
    <t>09:57</t>
  </si>
  <si>
    <t>IPHONE 16 O.B LOCKED ESIM</t>
  </si>
  <si>
    <t>670f3a00ab934ff09d9f11abd07db993</t>
  </si>
  <si>
    <t>363</t>
  </si>
  <si>
    <t>10:21</t>
  </si>
  <si>
    <t>IPHONE 14 PRO MAX P+E</t>
  </si>
  <si>
    <t>3536659042422875</t>
  </si>
  <si>
    <t>2349060695934</t>
  </si>
  <si>
    <t>9d290b2472e7424a80d35dcf6f165ae7</t>
  </si>
  <si>
    <t>364</t>
  </si>
  <si>
    <t>10:25</t>
  </si>
  <si>
    <t>IPHONE SE</t>
  </si>
  <si>
    <t>353065095311516</t>
  </si>
  <si>
    <t>AYINUOLA DADA</t>
  </si>
  <si>
    <t>2349032350638</t>
  </si>
  <si>
    <t>2e1fb5ac54df4ecf83f19652e01bf1ae</t>
  </si>
  <si>
    <t>365</t>
  </si>
  <si>
    <t>10:27</t>
  </si>
  <si>
    <t>355906551464042</t>
  </si>
  <si>
    <t>4e1166f3f8a84414b7aa10ea7a4f7221</t>
  </si>
  <si>
    <t>366</t>
  </si>
  <si>
    <t>10:29</t>
  </si>
  <si>
    <t>IPHONE 16 PLUS ESIM</t>
  </si>
  <si>
    <t>359049970973305</t>
  </si>
  <si>
    <t>12/23/2025</t>
  </si>
  <si>
    <t>8f813a0767f949908fa33fc7da60ee83</t>
  </si>
  <si>
    <t>367</t>
  </si>
  <si>
    <t>10:34</t>
  </si>
  <si>
    <t>HP PAVILION X360 CONVERTIBLE</t>
  </si>
  <si>
    <t>8GB/1TB</t>
  </si>
  <si>
    <t>8CG842CV0R</t>
  </si>
  <si>
    <t>DAZZLING LAUNDRY</t>
  </si>
  <si>
    <t>2347043505336</t>
  </si>
  <si>
    <t>f7744591be7640e9b0fda61877aec612</t>
  </si>
  <si>
    <t>368</t>
  </si>
  <si>
    <t>10:37</t>
  </si>
  <si>
    <t>IPHONE 15 PLUS ESIM</t>
  </si>
  <si>
    <t>354387359325787</t>
  </si>
  <si>
    <t>DEMI GLOBAL</t>
  </si>
  <si>
    <t>12/25/2025</t>
  </si>
  <si>
    <t>34a322d2506f432cb3668402e5de2a7c</t>
  </si>
  <si>
    <t>369</t>
  </si>
  <si>
    <t>10:39</t>
  </si>
  <si>
    <t>IWATCH SERIES 4</t>
  </si>
  <si>
    <t>G99Y32VKKDH0</t>
  </si>
  <si>
    <t>6e76a1c3e19e4429896107b268642e40</t>
  </si>
  <si>
    <t>370</t>
  </si>
  <si>
    <t>10:40</t>
  </si>
  <si>
    <t>IPHONE 13 MDM</t>
  </si>
  <si>
    <t>355017388381290</t>
  </si>
  <si>
    <t>0ad0dd675b184001b897a8a281e5b9f3</t>
  </si>
  <si>
    <t>371</t>
  </si>
  <si>
    <t>10:42</t>
  </si>
  <si>
    <t>IPHONE 12 PRO MAX {SCREEN + BATTERY}</t>
  </si>
  <si>
    <t>512</t>
  </si>
  <si>
    <t>35559119264386</t>
  </si>
  <si>
    <t>AJOKE BEAUTY HAVEN</t>
  </si>
  <si>
    <t>2347046502373</t>
  </si>
  <si>
    <t>baedd454ef4e4b409899049a54b67e6b</t>
  </si>
  <si>
    <t>372</t>
  </si>
  <si>
    <t>10:43</t>
  </si>
  <si>
    <t>357828284691295</t>
  </si>
  <si>
    <t>01/06/2026</t>
  </si>
  <si>
    <t>a6372a47ef2748d3b67333a2f8e28a09</t>
  </si>
  <si>
    <t>373</t>
  </si>
  <si>
    <t>10:45</t>
  </si>
  <si>
    <t>6a6628c9fca540e89506242bd1453af4</t>
  </si>
  <si>
    <t>374</t>
  </si>
  <si>
    <t>10:49</t>
  </si>
  <si>
    <t>352051687722782</t>
  </si>
  <si>
    <t>AYOMIPOSI</t>
  </si>
  <si>
    <t>2347043365526</t>
  </si>
  <si>
    <t>06ba13bf629b499d84054aa01b6603f1</t>
  </si>
  <si>
    <t>375</t>
  </si>
  <si>
    <t>10:50</t>
  </si>
  <si>
    <t>IPHONE 16PLUS</t>
  </si>
  <si>
    <t>DENISE4WORLD</t>
  </si>
  <si>
    <t>01/07/2026</t>
  </si>
  <si>
    <t>040c139d40c54637bdaf1805dd0c7a0f</t>
  </si>
  <si>
    <t>376</t>
  </si>
  <si>
    <t>10:54</t>
  </si>
  <si>
    <t>356122179966835</t>
  </si>
  <si>
    <t>KENNYLESKY</t>
  </si>
  <si>
    <t>2347060545118</t>
  </si>
  <si>
    <t>01/12/2026</t>
  </si>
  <si>
    <t>546de16ac9f6444e808bea2fd14e72e0</t>
  </si>
  <si>
    <t>377</t>
  </si>
  <si>
    <t>10:56</t>
  </si>
  <si>
    <t>355515607252507</t>
  </si>
  <si>
    <t>2348038108648</t>
  </si>
  <si>
    <t>01/15/2026</t>
  </si>
  <si>
    <t>69ffbcda984744cc9662dbc94a74709a</t>
  </si>
  <si>
    <t>378</t>
  </si>
  <si>
    <t>10:58</t>
  </si>
  <si>
    <t>IPHONE 12 PRO MAX BAD SCREEN</t>
  </si>
  <si>
    <t>1154f15f037f45c9aab22a2bdd3be9ba</t>
  </si>
  <si>
    <t>379</t>
  </si>
  <si>
    <t>11:00</t>
  </si>
  <si>
    <t>351433144775853</t>
  </si>
  <si>
    <t>MDM</t>
  </si>
  <si>
    <t>01/16/2026</t>
  </si>
  <si>
    <t>714c63da8d584d18b8ddc3fd83544fd3</t>
  </si>
  <si>
    <t>380</t>
  </si>
  <si>
    <t>11:01</t>
  </si>
  <si>
    <t>358686417129909</t>
  </si>
  <si>
    <t>2347064459910</t>
  </si>
  <si>
    <t>531458f6996d4a65b480a11fafb824e9</t>
  </si>
  <si>
    <t>381</t>
  </si>
  <si>
    <t>11:03</t>
  </si>
  <si>
    <t>SAMSUNG FOLD 6</t>
  </si>
  <si>
    <t>12/256</t>
  </si>
  <si>
    <t>350591860583768/01</t>
  </si>
  <si>
    <t>81bb29b932fe4a3da75b2de41b82929f</t>
  </si>
  <si>
    <t>382</t>
  </si>
  <si>
    <t>11:06</t>
  </si>
  <si>
    <t>IPHONE 8</t>
  </si>
  <si>
    <t>356086092354736</t>
  </si>
  <si>
    <t>OLUWATURNER</t>
  </si>
  <si>
    <t>2349033193331</t>
  </si>
  <si>
    <t>01/17/2026</t>
  </si>
  <si>
    <t>d6227d17fc6d49c3b5210000b8096938</t>
  </si>
  <si>
    <t>383</t>
  </si>
  <si>
    <t>11:09</t>
  </si>
  <si>
    <t>IPHONE 15 PRO PHY+ESIM</t>
  </si>
  <si>
    <t>NATURAL</t>
  </si>
  <si>
    <t>354230912637266</t>
  </si>
  <si>
    <t>01/19/2026</t>
  </si>
  <si>
    <t>2a72f2bb6c504e06a96dbcc403a8e23a</t>
  </si>
  <si>
    <t>384</t>
  </si>
  <si>
    <t>11:11</t>
  </si>
  <si>
    <t>354230916428563</t>
  </si>
  <si>
    <t>9549c678604d4404bd1104e7b91937c4</t>
  </si>
  <si>
    <t>385</t>
  </si>
  <si>
    <t>11:14</t>
  </si>
  <si>
    <t>IPHONE 13 PRO CHANGED SCREEN</t>
  </si>
  <si>
    <t>HANOCH ABEEB FROSH</t>
  </si>
  <si>
    <t>2347040395105</t>
  </si>
  <si>
    <t>01/20/2026</t>
  </si>
  <si>
    <t>0f830cdcd4834cf786be1561582abb01</t>
  </si>
  <si>
    <t>386</t>
  </si>
  <si>
    <t>11:19</t>
  </si>
  <si>
    <t>SAMSUNG S22</t>
  </si>
  <si>
    <t>357797970138046</t>
  </si>
  <si>
    <t>a3104e77014b42ecb426d16ab5cf24e7</t>
  </si>
  <si>
    <t>387</t>
  </si>
  <si>
    <t>11:22</t>
  </si>
  <si>
    <t>IPAD 10TH GEN WIFI + CELLULAR</t>
  </si>
  <si>
    <t>355939978190338</t>
  </si>
  <si>
    <t>2349063620334</t>
  </si>
  <si>
    <t>7ddad1f4813940fab4be0a49569c5cb7</t>
  </si>
  <si>
    <t>388</t>
  </si>
  <si>
    <t>11:25</t>
  </si>
  <si>
    <t>353342888286365</t>
  </si>
  <si>
    <t>01/21/2026</t>
  </si>
  <si>
    <t>1f48cbae36b9409d9406cd148fd32dfc</t>
  </si>
  <si>
    <t>389</t>
  </si>
  <si>
    <t>11:27</t>
  </si>
  <si>
    <t>356543102375689</t>
  </si>
  <si>
    <t>2348144970435</t>
  </si>
  <si>
    <t>01/22/2026</t>
  </si>
  <si>
    <t>88582844ab70494899fdd818ac15445a</t>
  </si>
  <si>
    <t>390</t>
  </si>
  <si>
    <t>11:30</t>
  </si>
  <si>
    <t>IPHONE 14 ESIM</t>
  </si>
  <si>
    <t>357769850405670</t>
  </si>
  <si>
    <t>2349068121856</t>
  </si>
  <si>
    <t>4d6819fefa164a78ade5df537eec33ef</t>
  </si>
  <si>
    <t>391</t>
  </si>
  <si>
    <t>11:32</t>
  </si>
  <si>
    <t>IPHONE 16 ESIM</t>
  </si>
  <si>
    <t>352306395277143</t>
  </si>
  <si>
    <t>a752d3f773be436496f9a5fb0570a466</t>
  </si>
  <si>
    <t>392</t>
  </si>
  <si>
    <t>11:53</t>
  </si>
  <si>
    <t>4fe0f4e9508d4258a47d11feb7a3d066</t>
  </si>
  <si>
    <t>393</t>
  </si>
  <si>
    <t>11:55</t>
  </si>
  <si>
    <t>351605720358861</t>
  </si>
  <si>
    <t>a792de0b61ab49f681dee8f3fa37a5f5</t>
  </si>
  <si>
    <t>394</t>
  </si>
  <si>
    <t>11:56</t>
  </si>
  <si>
    <t>568c8bd048294c63b426c4b73003c558</t>
  </si>
  <si>
    <t>395</t>
  </si>
  <si>
    <t>11:58</t>
  </si>
  <si>
    <t>iPhone 14</t>
  </si>
  <si>
    <t>Midnight</t>
  </si>
  <si>
    <t>350032730355095</t>
  </si>
  <si>
    <t>6e92914eccfa44eda8d799a2fe8301bd</t>
  </si>
  <si>
    <t>396</t>
  </si>
  <si>
    <t>14:15</t>
  </si>
  <si>
    <t>iPhone 11 Pro Max</t>
  </si>
  <si>
    <t>Silver</t>
  </si>
  <si>
    <t>353906104909362</t>
  </si>
  <si>
    <t>2349137123168</t>
  </si>
  <si>
    <t>04/29/2026</t>
  </si>
  <si>
    <t>27210c92768e4d47a07068ae9b902505</t>
  </si>
  <si>
    <t>397</t>
  </si>
  <si>
    <t>14:34</t>
  </si>
  <si>
    <t>IPHONE 14 PRO P + E</t>
  </si>
  <si>
    <t>350114363080305</t>
  </si>
  <si>
    <t>2348137676322</t>
  </si>
  <si>
    <t>05/05/2026</t>
  </si>
  <si>
    <t>SEEMS CHAHGED CARCASS</t>
  </si>
  <si>
    <t>0e35638b143240ec910de900f0c55a9f</t>
  </si>
  <si>
    <t>398</t>
  </si>
  <si>
    <t>14:36</t>
  </si>
  <si>
    <t>355845080208761</t>
  </si>
  <si>
    <t>2347076133809</t>
  </si>
  <si>
    <t>d9348cb756ab4d418671036b63acab17</t>
  </si>
  <si>
    <t>399</t>
  </si>
  <si>
    <t>14:40</t>
  </si>
  <si>
    <t>353342886555290</t>
  </si>
  <si>
    <t>SWAP DEAL FOR IPHONE 14</t>
  </si>
  <si>
    <t>da57a67c4bcf49ba92ce4179de9ce6bd</t>
  </si>
  <si>
    <t>400</t>
  </si>
  <si>
    <t>17:37</t>
  </si>
  <si>
    <t>IPHONE 15 ESIM</t>
  </si>
  <si>
    <t>SALVAGE YARD</t>
  </si>
  <si>
    <t>234 811 530 8158</t>
  </si>
  <si>
    <t>900a7c2803c244bbae3f52ee1fbf6143</t>
  </si>
  <si>
    <t>401</t>
  </si>
  <si>
    <t>09:21</t>
  </si>
  <si>
    <t>SEALED IPHONE 17 PRO MAX</t>
  </si>
  <si>
    <t>353263428082785</t>
  </si>
  <si>
    <t>2349040943517</t>
  </si>
  <si>
    <t>2348109344663</t>
  </si>
  <si>
    <t>e99fc08e91204f1a96c512a6dc2b43d3</t>
  </si>
  <si>
    <t>402</t>
  </si>
  <si>
    <t>17:12</t>
  </si>
  <si>
    <t>VOICE CHANGER I9 SOUND CARD</t>
  </si>
  <si>
    <t>DARQUIZ PROMOTIONS</t>
  </si>
  <si>
    <t>2348027719627</t>
  </si>
  <si>
    <t>ba295aed431d4c28a66dbf76b38afa2f</t>
  </si>
  <si>
    <t>403</t>
  </si>
  <si>
    <t>10:08</t>
  </si>
  <si>
    <t>OPEN BOX IPHONE 15 PHY+ESIM</t>
  </si>
  <si>
    <t>356258487038139</t>
  </si>
  <si>
    <t>IGEE</t>
  </si>
  <si>
    <t>2347071736488</t>
  </si>
  <si>
    <t>04/27/2026</t>
  </si>
  <si>
    <t>320 CC</t>
  </si>
  <si>
    <t>51cfc9cbdb2e419bbe4cfdeb34e4ca7d</t>
  </si>
  <si>
    <t>404</t>
  </si>
  <si>
    <t>12:44</t>
  </si>
  <si>
    <t>353268399262753</t>
  </si>
  <si>
    <t>UNLOCKED (LOCKED)</t>
  </si>
  <si>
    <t>OG LEVEL</t>
  </si>
  <si>
    <t>2349064673042</t>
  </si>
  <si>
    <t>04/25/2026</t>
  </si>
  <si>
    <t>UNLOCK AFTER STOCKING.. LOCKED TO RESELLER FLEX</t>
  </si>
  <si>
    <t>231fdfab1b374c69906277a848ccb529</t>
  </si>
  <si>
    <t>405</t>
  </si>
  <si>
    <t>10:38</t>
  </si>
  <si>
    <t>357170546854167</t>
  </si>
  <si>
    <t>CHANGED CARCASS.. WALLPER NOT CHANGING ON LONG PRESS</t>
  </si>
  <si>
    <t>GOTTEN FROM SWAP DEAL OF IPHONE 16 PLUS</t>
  </si>
  <si>
    <t>525b39b2be7e4ed086d439cf84b1ff93</t>
  </si>
  <si>
    <t>406</t>
  </si>
  <si>
    <t>MAGIC KEYBOARD FOR IPAD PRO 13 INCHES</t>
  </si>
  <si>
    <t>XRXHP67HDH</t>
  </si>
  <si>
    <t>04/22/2026</t>
  </si>
  <si>
    <t>a6ae012d382344d48eaa9bea262e25e6</t>
  </si>
  <si>
    <t>407</t>
  </si>
  <si>
    <t>iPad Pro 13-inch (M4)  WIFI AND CELLULAR</t>
  </si>
  <si>
    <t>Space Black</t>
  </si>
  <si>
    <t>352045531646999</t>
  </si>
  <si>
    <t>USED AS A PAYMENT FOR MONEY BORROWED</t>
  </si>
  <si>
    <t>7878b5ef84d24c958d0872cfecaf7598</t>
  </si>
  <si>
    <t>408</t>
  </si>
  <si>
    <t>15:01</t>
  </si>
  <si>
    <t>iPhone 15 Pro</t>
  </si>
  <si>
    <t>Blue Titanium</t>
  </si>
  <si>
    <t>351188229101645</t>
  </si>
  <si>
    <t>ddd95026ebe94b588276abb8faf20624</t>
  </si>
  <si>
    <t>409</t>
  </si>
  <si>
    <t>08:36</t>
  </si>
  <si>
    <t>IPHONE 17 PRO MAX NON ACTIVE</t>
  </si>
  <si>
    <t>COSMIC ORANGE</t>
  </si>
  <si>
    <t>358206139865878</t>
  </si>
  <si>
    <t>04/24/2026</t>
  </si>
  <si>
    <t>UNLOCKING</t>
  </si>
  <si>
    <t>8593240c8a814505b7a4542186358b38</t>
  </si>
  <si>
    <t>410</t>
  </si>
  <si>
    <t>17:00</t>
  </si>
  <si>
    <t>iPhone 12 Pro Max</t>
  </si>
  <si>
    <t>Graphite</t>
  </si>
  <si>
    <t>350022963659040</t>
  </si>
  <si>
    <t>AYOMIDE DAVIDE FASORE</t>
  </si>
  <si>
    <t>2348034910127</t>
  </si>
  <si>
    <t>04/30/2026</t>
  </si>
  <si>
    <t>134fc9a0e77744c59841d75b74150526</t>
  </si>
  <si>
    <t>411</t>
  </si>
  <si>
    <t>11:18</t>
  </si>
  <si>
    <t>S21 5G</t>
  </si>
  <si>
    <t>354034472315143/73</t>
  </si>
  <si>
    <t>2349122727950</t>
  </si>
  <si>
    <t>2348140980933</t>
  </si>
  <si>
    <t>5b715b2b159a406b915faeec356f2a0f</t>
  </si>
  <si>
    <t>412</t>
  </si>
  <si>
    <t>12:06</t>
  </si>
  <si>
    <t>351885215226753/13</t>
  </si>
  <si>
    <t>2348115308158</t>
  </si>
  <si>
    <t>05/01/2026</t>
  </si>
  <si>
    <t>ANDROID VERSION 16</t>
  </si>
  <si>
    <t>b1fa9f7fa26e491eb6b19862906ccf9d</t>
  </si>
  <si>
    <t>413</t>
  </si>
  <si>
    <t>10:35</t>
  </si>
  <si>
    <t>MACBOOK M1 PRO 2020</t>
  </si>
  <si>
    <t>C02G38FWQ05N</t>
  </si>
  <si>
    <t>AKINPELUMI MEE</t>
  </si>
  <si>
    <t>2349039596257</t>
  </si>
  <si>
    <t>9e92cf78da784316a9c1819e66b961bd</t>
  </si>
  <si>
    <t>414</t>
  </si>
  <si>
    <t>11:48</t>
  </si>
  <si>
    <t>357762267842460</t>
  </si>
  <si>
    <t>MARVITECH</t>
  </si>
  <si>
    <t>2348106931715</t>
  </si>
  <si>
    <t>GOT FROM IPHONE 16 PRO SWAP</t>
  </si>
  <si>
    <t>04f837c28d664559b7df6ac364fe86ff</t>
  </si>
  <si>
    <t>415</t>
  </si>
  <si>
    <t>16:04</t>
  </si>
  <si>
    <t>353431655327849</t>
  </si>
  <si>
    <t>ADESOLA AYODELE</t>
  </si>
  <si>
    <t>2349166314423</t>
  </si>
  <si>
    <t>89011f226f6c4b2baf90191320fa350c</t>
  </si>
  <si>
    <t>416</t>
  </si>
  <si>
    <t>09:05</t>
  </si>
  <si>
    <t>353992319885357</t>
  </si>
  <si>
    <t>VICTOR EXCEL</t>
  </si>
  <si>
    <t>2347046258301</t>
  </si>
  <si>
    <t>DEMO, RESELLER FLEX</t>
  </si>
  <si>
    <t>8abeb0f23d0b4b6f8a6201b05a9e8bba</t>
  </si>
  <si>
    <t>21:19</t>
  </si>
  <si>
    <t>IPHONE 16 P + E</t>
  </si>
  <si>
    <t>357498197864031</t>
  </si>
  <si>
    <t>STAR BUSSY</t>
  </si>
  <si>
    <t>2348127738411</t>
  </si>
  <si>
    <t>04/28/2026</t>
  </si>
  <si>
    <t>JEFFERY EMONEMA</t>
  </si>
  <si>
    <t>2347025278481</t>
  </si>
  <si>
    <t>PHYSICAL AND ESIM 8.5/10 NEATNESS</t>
  </si>
  <si>
    <t>685c63ee0bbf439c87c5aaf1e16ffb31</t>
  </si>
  <si>
    <t>417</t>
  </si>
  <si>
    <t>11:31</t>
  </si>
  <si>
    <t>351284086814162</t>
  </si>
  <si>
    <t>SWAPPED WITH IPHONE 15 LOCKED FROM CH4</t>
  </si>
  <si>
    <t>a45c697bf2d541609e8e1bdce5273f47</t>
  </si>
  <si>
    <t>418</t>
  </si>
  <si>
    <t>12:53</t>
  </si>
  <si>
    <t>SPACE BLACK</t>
  </si>
  <si>
    <t>354540530464186</t>
  </si>
  <si>
    <t>JEFFREY EMONEMA</t>
  </si>
  <si>
    <t>DOVESGADGETS</t>
  </si>
  <si>
    <t>2348131118365</t>
  </si>
  <si>
    <t>SWAPPED TO IPHONE 16 PHYSICAL + ESIM</t>
  </si>
  <si>
    <t>1777021258eb4c05b6ef597bcc1b6ac3</t>
  </si>
  <si>
    <t>419</t>
  </si>
  <si>
    <t>13:35</t>
  </si>
  <si>
    <t>SAMSUNG GALAXY S22 SEALED</t>
  </si>
  <si>
    <t>358933738239243</t>
  </si>
  <si>
    <t>DENIS4WARS TECHNOLOGY</t>
  </si>
  <si>
    <t>ADEBAYO ROKEEB</t>
  </si>
  <si>
    <t>2348073670589</t>
  </si>
  <si>
    <t>SEALED AS NEW</t>
  </si>
  <si>
    <t>3566091f80b44e7eb45f6a25bee5f312</t>
  </si>
  <si>
    <t>420</t>
  </si>
  <si>
    <t>21:02</t>
  </si>
  <si>
    <t>VICTUS BY HP GAMING LAPTOP 15-fa2xxx</t>
  </si>
  <si>
    <t>1H85136QQB</t>
  </si>
  <si>
    <t>SWEETBOY</t>
  </si>
  <si>
    <t>2349039519037</t>
  </si>
  <si>
    <t>16 GB, 512GB STORAGE</t>
  </si>
  <si>
    <t>9f584138ca384c5f9f8a9c76078b5a75</t>
  </si>
  <si>
    <t>10:03</t>
  </si>
  <si>
    <t>iPhone 12</t>
  </si>
  <si>
    <t>Blue</t>
  </si>
  <si>
    <t>357463526732960</t>
  </si>
  <si>
    <t>PAPPY TECH</t>
  </si>
  <si>
    <t>OPEYEMI STORE</t>
  </si>
  <si>
    <t>2347053250105</t>
  </si>
  <si>
    <t>05/08/2026</t>
  </si>
  <si>
    <t>UPPER AND LOWER SPEAKER NOT DETECTABL BY PD+</t>
  </si>
  <si>
    <t>0b4e477ad6f44b26829c12f2b70a6716</t>
  </si>
  <si>
    <t>421</t>
  </si>
  <si>
    <t>354029285395035</t>
  </si>
  <si>
    <t>ACTIVE GADGETS</t>
  </si>
  <si>
    <t>2348145310779</t>
  </si>
  <si>
    <t>db73adae06bd42d3b9dc7c043439612f</t>
  </si>
  <si>
    <t>422</t>
  </si>
  <si>
    <t>13:33</t>
  </si>
  <si>
    <t>ULTRAMARINE BLUE</t>
  </si>
  <si>
    <t>352142372175541</t>
  </si>
  <si>
    <t>05/03/2026</t>
  </si>
  <si>
    <t>KABEX KAYWISE</t>
  </si>
  <si>
    <t>2349167221871</t>
  </si>
  <si>
    <t>05/07/2026</t>
  </si>
  <si>
    <t>8.5/10 NEAT</t>
  </si>
  <si>
    <t>5da4180b0b5c4ba98694216cc08aa859</t>
  </si>
  <si>
    <t>CHIKINIE MONIE</t>
  </si>
  <si>
    <t>423</t>
  </si>
  <si>
    <t>10:05</t>
  </si>
  <si>
    <t>DEEP BLUE</t>
  </si>
  <si>
    <t>359814712534123</t>
  </si>
  <si>
    <t>2347062514545</t>
  </si>
  <si>
    <t>05/04/2026</t>
  </si>
  <si>
    <t>2348137226383</t>
  </si>
  <si>
    <t>dd3c6b36301e46bfa0d36f9a0ea26fcd</t>
  </si>
  <si>
    <t>424</t>
  </si>
  <si>
    <t>10:10</t>
  </si>
  <si>
    <t>352942563450037</t>
  </si>
  <si>
    <t>ESIM UNLOCKED WITH BOX</t>
  </si>
  <si>
    <t>ed7be9dedd8844bc818f0435bd9215e2</t>
  </si>
  <si>
    <t>08:37</t>
  </si>
  <si>
    <t>SAMSUNG GALAXY S24 ULTRA DUAL PHY &amp; ESIM</t>
  </si>
  <si>
    <t>355731672093862/01</t>
  </si>
  <si>
    <t>PERFECT</t>
  </si>
  <si>
    <t>WITH BOX</t>
  </si>
  <si>
    <t>039de94dd5e9423f80ecf326497b16ba</t>
  </si>
  <si>
    <t>425</t>
  </si>
  <si>
    <t>355818455602793</t>
  </si>
  <si>
    <t>KABEX</t>
  </si>
  <si>
    <t>2348142735624</t>
  </si>
  <si>
    <t>027140106f5242f9a5b689e7d5546d10</t>
  </si>
  <si>
    <t>TEST DEVICE DEBUG</t>
  </si>
  <si>
    <t>123456789012345</t>
  </si>
  <si>
    <t>008fc0743f8543ae839d3f7de3b5cc54</t>
  </si>
  <si>
    <t>426</t>
  </si>
  <si>
    <t>15:40</t>
  </si>
  <si>
    <t>350599864034605</t>
  </si>
  <si>
    <t>23CC</t>
  </si>
  <si>
    <t>1a8388b720194d5d8bc9b0fa4aafb074</t>
  </si>
  <si>
    <t>427</t>
  </si>
  <si>
    <t>16:42</t>
  </si>
  <si>
    <t>353718462738667</t>
  </si>
  <si>
    <t>OGRICHIE GADGETS</t>
  </si>
  <si>
    <t>2348162302777</t>
  </si>
  <si>
    <t>1319c118b36e436e8dd6f6c37002614c</t>
  </si>
  <si>
    <t>428</t>
  </si>
  <si>
    <t>16:46</t>
  </si>
  <si>
    <t>BRAND NEW  IPHONE 17 PRO</t>
  </si>
  <si>
    <t>357254472881814</t>
  </si>
  <si>
    <t>YUSLORD</t>
  </si>
  <si>
    <t>2348022551794</t>
  </si>
  <si>
    <t>NON ACTIVE</t>
  </si>
  <si>
    <t>1a7c0367de504ef489ab8fab3ae4ed60</t>
  </si>
  <si>
    <t>10:55</t>
  </si>
  <si>
    <t>BRAND NEW IPHONE 17 PRO MAX</t>
  </si>
  <si>
    <t>8e3e742f622a425692062e5d5cd495ff</t>
  </si>
  <si>
    <t>429</t>
  </si>
  <si>
    <t>09:55</t>
  </si>
  <si>
    <t>355101470374973</t>
  </si>
  <si>
    <t>c38c5627d9934f43bb2f45dd4d29eda2</t>
  </si>
  <si>
    <t>430</t>
  </si>
  <si>
    <t>11:42</t>
  </si>
  <si>
    <t>357183964961505</t>
  </si>
  <si>
    <t>2349032711183</t>
  </si>
  <si>
    <t>ESTEEMED GADGETS STORE AND MORE</t>
  </si>
  <si>
    <t>01109ccbd1b44454a0586f271eb95577</t>
  </si>
  <si>
    <t>431</t>
  </si>
  <si>
    <t>15:54</t>
  </si>
  <si>
    <t>OPEN BOX IPHONE 17 PRO</t>
  </si>
  <si>
    <t>ebe4cb44af46451fb76d18654ea81cdd</t>
  </si>
  <si>
    <t>432</t>
  </si>
  <si>
    <t>c9c276f8cf2e4a5ea02044341d342dea</t>
  </si>
  <si>
    <t>433</t>
  </si>
  <si>
    <t>17:39</t>
  </si>
  <si>
    <t>353407178571469</t>
  </si>
  <si>
    <t>WITH BOX AND 128 CC</t>
  </si>
  <si>
    <t>c3b7ea62ba7847cc8be3db34c57df1a7</t>
  </si>
  <si>
    <t>434</t>
  </si>
  <si>
    <t>13:41</t>
  </si>
  <si>
    <t>351829319886468</t>
  </si>
  <si>
    <t>2348037624066</t>
  </si>
  <si>
    <t>05/09/2026</t>
  </si>
  <si>
    <t>DID FIX BATTERY FLASH FROM 88 TO 90%</t>
  </si>
  <si>
    <t>3463c4418eb7492099d345d12e19eafb</t>
  </si>
  <si>
    <t>435</t>
  </si>
  <si>
    <t>OPENED BOX IPHONE 16</t>
  </si>
  <si>
    <t>351935560787485</t>
  </si>
  <si>
    <t>WITH BOX 9/10</t>
  </si>
  <si>
    <t>f1cadbc6dfcf44dab781ce71af0180de</t>
  </si>
  <si>
    <t>355473490680204</t>
  </si>
  <si>
    <t>546b4bc89e014b86b1c1a50e501f0513</t>
  </si>
  <si>
    <t>350465828975384</t>
  </si>
  <si>
    <t>234 704 751 2596</t>
  </si>
  <si>
    <t>4ae73d0a3675447f8c49ffa112f0d0a1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</si>
</sst>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₦]#,##0.00"/>
    <numFmt numFmtId="165" formatCode="mm/dd/yyyy"/>
    <numFmt numFmtId="166" formatCode="&quot;$&quot;#,##0.00"/>
    <numFmt numFmtId="167" formatCode="m/d/yyyy"/>
  </numFmts>
  <fonts count="2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rgb="FF000000"/>
      <name val="Roboto"/>
    </font>
    <font>
      <b/>
      <sz val="10.0"/>
      <color rgb="FF000000"/>
      <name val="Docs-Roboto"/>
    </font>
    <font>
      <b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  <scheme val="minor"/>
    </font>
    <font>
      <b/>
      <sz val="11.0"/>
      <color rgb="FF1F1F1F"/>
      <name val="&quot;Google Sans Text&quot;"/>
    </font>
    <font>
      <b/>
      <color rgb="FF000000"/>
      <name val="&quot;Google Sans Text&quot;"/>
    </font>
    <font>
      <b/>
      <sz val="11.0"/>
      <color rgb="FF222222"/>
      <name val="Menlo"/>
    </font>
    <font>
      <b/>
      <sz val="11.0"/>
      <color theme="1"/>
      <name val="Arial"/>
      <scheme val="minor"/>
    </font>
    <font>
      <b/>
      <sz val="12.0"/>
      <color rgb="FF383838"/>
      <name val="Source_sans_proregular"/>
    </font>
    <font>
      <b/>
      <u/>
      <sz val="11.0"/>
      <color rgb="FF383838"/>
      <name val="Arial"/>
    </font>
    <font>
      <b/>
      <color theme="1"/>
      <name val="&quot;Google Sans Text&quot;"/>
    </font>
    <font>
      <b/>
      <u/>
      <sz val="11.0"/>
      <color rgb="FF000000"/>
      <name val="Arial"/>
    </font>
    <font>
      <b/>
      <u/>
      <sz val="11.0"/>
      <color theme="1"/>
      <name val="Arial"/>
    </font>
    <font>
      <b/>
      <u/>
      <color theme="1"/>
      <name val="&quot;Google Sans Text&quot;"/>
    </font>
    <font>
      <b/>
      <sz val="14.0"/>
      <color theme="1"/>
      <name val="Arial"/>
      <scheme val="minor"/>
    </font>
    <font>
      <b/>
      <sz val="10.0"/>
      <color rgb="FFFFFFFF"/>
      <name val="Arial"/>
      <scheme val="minor"/>
    </font>
    <font>
      <sz val="12.0"/>
      <color rgb="FF383838"/>
      <name val="Source_sans_proregular"/>
    </font>
    <font>
      <color theme="1"/>
      <name val="Arial"/>
      <scheme val="minor"/>
    </font>
    <font>
      <color rgb="FF000000"/>
      <name val="Arial"/>
      <scheme val="minor"/>
    </font>
    <font>
      <sz val="10.0"/>
      <color rgb="FFFFFFFF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rgb="FFFFE599"/>
        <bgColor rgb="FFFFE599"/>
      </patternFill>
    </fill>
    <fill>
      <patternFill patternType="solid">
        <fgColor rgb="FF356854"/>
        <bgColor rgb="FF356854"/>
      </patternFill>
    </fill>
    <fill>
      <patternFill patternType="solid">
        <fgColor rgb="FF274E13"/>
        <bgColor rgb="FF274E13"/>
      </patternFill>
    </fill>
    <fill>
      <patternFill patternType="solid">
        <fgColor rgb="FFE69138"/>
        <bgColor rgb="FFE69138"/>
      </patternFill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76A5AF"/>
        <bgColor rgb="FF76A5AF"/>
      </patternFill>
    </fill>
    <fill>
      <patternFill patternType="solid">
        <fgColor theme="4"/>
        <bgColor theme="4"/>
      </patternFill>
    </fill>
    <fill>
      <patternFill patternType="solid">
        <fgColor rgb="FFB6D6A8"/>
        <bgColor rgb="FFB6D6A8"/>
      </patternFill>
    </fill>
    <fill>
      <patternFill patternType="solid">
        <fgColor rgb="FFF4CCCC"/>
        <bgColor rgb="FFF4CCCC"/>
      </patternFill>
    </fill>
    <fill>
      <patternFill patternType="solid">
        <fgColor theme="6"/>
        <bgColor theme="6"/>
      </patternFill>
    </fill>
    <fill>
      <patternFill patternType="solid">
        <fgColor rgb="FFFABB04"/>
        <bgColor rgb="FFFABB04"/>
      </patternFill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/>
    </xf>
    <xf borderId="0" fillId="3" fontId="2" numFmtId="49" xfId="0" applyFill="1" applyFont="1" applyNumberFormat="1"/>
    <xf borderId="0" fillId="0" fontId="2" numFmtId="49" xfId="0" applyFont="1" applyNumberFormat="1"/>
    <xf borderId="1" fillId="0" fontId="1" numFmtId="49" xfId="0" applyAlignment="1" applyBorder="1" applyFont="1" applyNumberFormat="1">
      <alignment horizontal="center"/>
    </xf>
    <xf borderId="0" fillId="0" fontId="2" numFmtId="49" xfId="0" applyAlignment="1" applyFont="1" applyNumberFormat="1">
      <alignment readingOrder="0"/>
    </xf>
    <xf borderId="0" fillId="4" fontId="2" numFmtId="49" xfId="0" applyFill="1" applyFont="1" applyNumberFormat="1"/>
    <xf borderId="0" fillId="4" fontId="2" numFmtId="164" xfId="0" applyFont="1" applyNumberFormat="1"/>
    <xf borderId="0" fillId="4" fontId="2" numFmtId="164" xfId="0" applyAlignment="1" applyFont="1" applyNumberFormat="1">
      <alignment readingOrder="0"/>
    </xf>
    <xf borderId="0" fillId="0" fontId="1" numFmtId="49" xfId="0" applyAlignment="1" applyFont="1" applyNumberFormat="1">
      <alignment horizontal="center" readingOrder="0"/>
    </xf>
    <xf borderId="0" fillId="3" fontId="1" numFmtId="49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4" fontId="1" numFmtId="49" xfId="0" applyAlignment="1" applyFont="1" applyNumberFormat="1">
      <alignment horizontal="center" readingOrder="0"/>
    </xf>
    <xf borderId="0" fillId="4" fontId="1" numFmtId="164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5" fontId="4" numFmtId="49" xfId="0" applyAlignment="1" applyFill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6" fontId="4" numFmtId="49" xfId="0" applyAlignment="1" applyFill="1" applyFont="1" applyNumberFormat="1">
      <alignment horizontal="center" readingOrder="0" shrinkToFit="0" vertical="center" wrapText="0"/>
    </xf>
    <xf borderId="0" fillId="6" fontId="4" numFmtId="164" xfId="0" applyAlignment="1" applyFont="1" applyNumberFormat="1">
      <alignment horizontal="center" readingOrder="0" shrinkToFit="0" vertical="center" wrapText="0"/>
    </xf>
    <xf borderId="0" fillId="6" fontId="4" numFmtId="49" xfId="0" applyAlignment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1" fillId="7" fontId="4" numFmtId="49" xfId="0" applyAlignment="1" applyBorder="1" applyFill="1" applyFont="1" applyNumberFormat="1">
      <alignment horizontal="center" readingOrder="0" shrinkToFit="0" vertical="center" wrapText="0"/>
    </xf>
    <xf borderId="1" fillId="3" fontId="4" numFmtId="49" xfId="0" applyAlignment="1" applyBorder="1" applyFont="1" applyNumberFormat="1">
      <alignment horizontal="center" readingOrder="0" shrinkToFit="0" vertical="center" wrapText="0"/>
    </xf>
    <xf borderId="1" fillId="8" fontId="4" numFmtId="49" xfId="0" applyAlignment="1" applyBorder="1" applyFill="1" applyFont="1" applyNumberFormat="1">
      <alignment horizontal="center" readingOrder="0" shrinkToFit="0" vertical="center" wrapText="0"/>
    </xf>
    <xf borderId="0" fillId="9" fontId="4" numFmtId="49" xfId="0" applyAlignment="1" applyFill="1" applyFont="1" applyNumberFormat="1">
      <alignment horizontal="center" readingOrder="0" shrinkToFit="0" vertical="center" wrapText="0"/>
    </xf>
    <xf borderId="1" fillId="9" fontId="4" numFmtId="49" xfId="0" applyAlignment="1" applyBorder="1" applyFont="1" applyNumberFormat="1">
      <alignment horizontal="center" readingOrder="0" shrinkToFit="0" vertical="center" wrapText="0"/>
    </xf>
    <xf borderId="1" fillId="4" fontId="4" numFmtId="49" xfId="0" applyAlignment="1" applyBorder="1" applyFont="1" applyNumberFormat="1">
      <alignment horizontal="center" readingOrder="0" shrinkToFit="0" vertical="center" wrapText="0"/>
    </xf>
    <xf borderId="1" fillId="4" fontId="4" numFmtId="164" xfId="0" applyAlignment="1" applyBorder="1" applyFont="1" applyNumberFormat="1">
      <alignment horizontal="center" readingOrder="0" shrinkToFit="0" vertical="center" wrapText="0"/>
    </xf>
    <xf borderId="1" fillId="10" fontId="4" numFmtId="49" xfId="0" applyAlignment="1" applyBorder="1" applyFill="1" applyFont="1" applyNumberFormat="1">
      <alignment horizontal="center" shrinkToFit="0" vertical="center" wrapText="0"/>
    </xf>
    <xf borderId="1" fillId="9" fontId="4" numFmtId="49" xfId="0" applyAlignment="1" applyBorder="1" applyFont="1" applyNumberFormat="1">
      <alignment readingOrder="0" shrinkToFit="0" vertical="center" wrapText="0"/>
    </xf>
    <xf borderId="0" fillId="9" fontId="4" numFmtId="0" xfId="0" applyAlignment="1" applyFont="1">
      <alignment readingOrder="0" shrinkToFit="0" vertical="center" wrapText="0"/>
    </xf>
    <xf borderId="0" fillId="9" fontId="4" numFmtId="0" xfId="0" applyAlignment="1" applyFont="1">
      <alignment readingOrder="0" shrinkToFit="0" vertical="center" wrapText="0"/>
    </xf>
    <xf borderId="1" fillId="2" fontId="4" numFmtId="49" xfId="0" applyAlignment="1" applyBorder="1" applyFont="1" applyNumberFormat="1">
      <alignment horizontal="center" readingOrder="0" shrinkToFit="0" vertical="center" wrapText="0"/>
    </xf>
    <xf borderId="1" fillId="10" fontId="4" numFmtId="49" xfId="0" applyAlignment="1" applyBorder="1" applyFont="1" applyNumberFormat="1">
      <alignment horizontal="center" readingOrder="0" shrinkToFit="0" vertical="center" wrapText="0"/>
    </xf>
    <xf borderId="1" fillId="11" fontId="4" numFmtId="49" xfId="0" applyAlignment="1" applyBorder="1" applyFill="1" applyFont="1" applyNumberFormat="1">
      <alignment horizontal="center" readingOrder="0" shrinkToFit="0" vertical="center" wrapText="0"/>
    </xf>
    <xf borderId="1" fillId="11" fontId="4" numFmtId="49" xfId="0" applyAlignment="1" applyBorder="1" applyFont="1" applyNumberFormat="1">
      <alignment horizontal="center" shrinkToFit="0" vertical="center" wrapText="0"/>
    </xf>
    <xf borderId="1" fillId="2" fontId="4" numFmtId="49" xfId="0" applyAlignment="1" applyBorder="1" applyFont="1" applyNumberFormat="1">
      <alignment horizontal="center" shrinkToFit="0" vertical="center" wrapText="0"/>
    </xf>
    <xf borderId="1" fillId="9" fontId="4" numFmtId="49" xfId="0" applyAlignment="1" applyBorder="1" applyFont="1" applyNumberFormat="1">
      <alignment horizontal="center" shrinkToFit="0" vertical="center" wrapText="0"/>
    </xf>
    <xf borderId="0" fillId="11" fontId="5" numFmtId="49" xfId="0" applyAlignment="1" applyFont="1" applyNumberFormat="1">
      <alignment horizontal="center" readingOrder="0" shrinkToFit="0" vertical="center" wrapText="0"/>
    </xf>
    <xf borderId="0" fillId="4" fontId="5" numFmtId="49" xfId="0" applyAlignment="1" applyFont="1" applyNumberFormat="1">
      <alignment horizontal="center" readingOrder="0" shrinkToFit="0" vertical="center" wrapText="0"/>
    </xf>
    <xf borderId="0" fillId="4" fontId="5" numFmtId="164" xfId="0" applyAlignment="1" applyFont="1" applyNumberFormat="1">
      <alignment horizontal="center" readingOrder="0" shrinkToFit="0" vertical="center" wrapText="0"/>
    </xf>
    <xf borderId="1" fillId="9" fontId="4" numFmtId="165" xfId="0" applyAlignment="1" applyBorder="1" applyFont="1" applyNumberFormat="1">
      <alignment horizontal="center" readingOrder="0" shrinkToFit="0" vertical="center" wrapText="0"/>
    </xf>
    <xf borderId="1" fillId="9" fontId="4" numFmtId="0" xfId="0" applyAlignment="1" applyBorder="1" applyFont="1">
      <alignment horizontal="center" readingOrder="0" shrinkToFit="0" vertical="center" wrapText="0"/>
    </xf>
    <xf borderId="1" fillId="9" fontId="4" numFmtId="14" xfId="0" applyAlignment="1" applyBorder="1" applyFont="1" applyNumberFormat="1">
      <alignment horizontal="center" readingOrder="0" shrinkToFit="0" vertical="center" wrapText="0"/>
    </xf>
    <xf borderId="0" fillId="9" fontId="4" numFmtId="0" xfId="0" applyAlignment="1" applyFont="1">
      <alignment horizontal="center" readingOrder="0" shrinkToFit="0" vertical="center" wrapText="0"/>
    </xf>
    <xf borderId="0" fillId="9" fontId="6" numFmtId="49" xfId="0" applyAlignment="1" applyFont="1" applyNumberFormat="1">
      <alignment horizontal="center" readingOrder="0" shrinkToFit="0" vertical="center" wrapText="0"/>
    </xf>
    <xf borderId="1" fillId="9" fontId="4" numFmtId="166" xfId="0" applyAlignment="1" applyBorder="1" applyFont="1" applyNumberFormat="1">
      <alignment readingOrder="0" shrinkToFit="0" vertical="center" wrapText="0"/>
    </xf>
    <xf borderId="1" fillId="9" fontId="7" numFmtId="49" xfId="0" applyAlignment="1" applyBorder="1" applyFont="1" applyNumberFormat="1">
      <alignment horizontal="center" readingOrder="0" shrinkToFit="0" vertical="center" wrapText="0"/>
    </xf>
    <xf borderId="0" fillId="9" fontId="7" numFmtId="49" xfId="0" applyAlignment="1" applyFont="1" applyNumberFormat="1">
      <alignment horizontal="center" readingOrder="0" shrinkToFit="0" vertical="center" wrapText="0"/>
    </xf>
    <xf borderId="1" fillId="9" fontId="4" numFmtId="166" xfId="0" applyAlignment="1" applyBorder="1" applyFont="1" applyNumberFormat="1">
      <alignment shrinkToFit="0" vertical="center" wrapText="0"/>
    </xf>
    <xf borderId="0" fillId="9" fontId="4" numFmtId="0" xfId="0" applyAlignment="1" applyFont="1">
      <alignment shrinkToFit="0" vertical="center" wrapText="0"/>
    </xf>
    <xf borderId="1" fillId="4" fontId="4" numFmtId="49" xfId="0" applyAlignment="1" applyBorder="1" applyFont="1" applyNumberFormat="1">
      <alignment horizontal="center" shrinkToFit="0" vertical="center" wrapText="0"/>
    </xf>
    <xf borderId="1" fillId="4" fontId="4" numFmtId="164" xfId="0" applyAlignment="1" applyBorder="1" applyFont="1" applyNumberFormat="1">
      <alignment horizontal="center" shrinkToFit="0" vertical="center" wrapText="0"/>
    </xf>
    <xf borderId="1" fillId="9" fontId="4" numFmtId="49" xfId="0" applyAlignment="1" applyBorder="1" applyFont="1" applyNumberFormat="1">
      <alignment horizontal="center" readingOrder="0" shrinkToFit="0" vertical="center" wrapText="0"/>
    </xf>
    <xf borderId="1" fillId="9" fontId="4" numFmtId="14" xfId="0" applyAlignment="1" applyBorder="1" applyFont="1" applyNumberFormat="1">
      <alignment horizontal="center" readingOrder="0" shrinkToFit="0" vertical="center" wrapText="0"/>
    </xf>
    <xf borderId="1" fillId="9" fontId="4" numFmtId="0" xfId="0" applyAlignment="1" applyBorder="1" applyFont="1">
      <alignment horizontal="center" readingOrder="0" shrinkToFit="0" vertical="center" wrapText="0"/>
    </xf>
    <xf borderId="1" fillId="9" fontId="4" numFmtId="166" xfId="0" applyAlignment="1" applyBorder="1" applyFont="1" applyNumberFormat="1">
      <alignment readingOrder="0" shrinkToFit="0" vertical="center" wrapText="0"/>
    </xf>
    <xf borderId="1" fillId="12" fontId="4" numFmtId="49" xfId="0" applyAlignment="1" applyBorder="1" applyFill="1" applyFont="1" applyNumberFormat="1">
      <alignment horizontal="center"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2" fontId="8" numFmtId="49" xfId="0" applyAlignment="1" applyFont="1" applyNumberFormat="1">
      <alignment horizontal="center" readingOrder="0" shrinkToFit="0" vertical="center" wrapText="0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0" fillId="3" fontId="4" numFmtId="49" xfId="0" applyAlignment="1" applyFont="1" applyNumberFormat="1">
      <alignment horizontal="center" readingOrder="0" shrinkToFit="0" vertical="center" wrapText="0"/>
    </xf>
    <xf borderId="0" fillId="2" fontId="4" numFmtId="49" xfId="0" applyAlignment="1" applyFont="1" applyNumberFormat="1">
      <alignment horizontal="center" readingOrder="0" shrinkToFit="0" vertical="center" wrapText="0"/>
    </xf>
    <xf borderId="1" fillId="9" fontId="10" numFmtId="0" xfId="0" applyAlignment="1" applyBorder="1" applyFont="1">
      <alignment horizontal="center"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0" fillId="0" fontId="12" numFmtId="49" xfId="0" applyAlignment="1" applyFont="1" applyNumberFormat="1">
      <alignment shrinkToFit="0" vertical="center" wrapText="0"/>
    </xf>
    <xf borderId="0" fillId="13" fontId="4" numFmtId="49" xfId="0" applyAlignment="1" applyFill="1" applyFont="1" applyNumberFormat="1">
      <alignment horizontal="center" readingOrder="0" shrinkToFit="0" vertical="center" wrapText="0"/>
    </xf>
    <xf borderId="0" fillId="9" fontId="4" numFmtId="49" xfId="0" applyAlignment="1" applyFont="1" applyNumberFormat="1">
      <alignment horizontal="center" readingOrder="0" shrinkToFit="0" vertical="center" wrapText="0"/>
    </xf>
    <xf borderId="1" fillId="12" fontId="4" numFmtId="0" xfId="0" applyAlignment="1" applyBorder="1" applyFont="1">
      <alignment horizontal="center" readingOrder="0" shrinkToFit="0" vertical="center" wrapText="0"/>
    </xf>
    <xf borderId="1" fillId="14" fontId="4" numFmtId="49" xfId="0" applyAlignment="1" applyBorder="1" applyFill="1" applyFont="1" applyNumberFormat="1">
      <alignment horizontal="center" readingOrder="0" shrinkToFit="0" vertical="center" wrapText="0"/>
    </xf>
    <xf borderId="0" fillId="0" fontId="9" numFmtId="49" xfId="0" applyAlignment="1" applyFont="1" applyNumberFormat="1">
      <alignment readingOrder="0" shrinkToFit="0" vertical="center" wrapText="0"/>
    </xf>
    <xf borderId="1" fillId="15" fontId="4" numFmtId="49" xfId="0" applyAlignment="1" applyBorder="1" applyFill="1" applyFont="1" applyNumberFormat="1">
      <alignment horizontal="center" readingOrder="0" shrinkToFit="0" vertical="center" wrapText="0"/>
    </xf>
    <xf borderId="1" fillId="3" fontId="1" numFmtId="49" xfId="0" applyAlignment="1" applyBorder="1" applyFont="1" applyNumberForma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1" fillId="10" fontId="4" numFmtId="49" xfId="0" applyAlignment="1" applyBorder="1" applyFont="1" applyNumberFormat="1">
      <alignment horizontal="center" readingOrder="0" shrinkToFit="0" vertical="center" wrapText="0"/>
    </xf>
    <xf borderId="0" fillId="3" fontId="1" numFmtId="49" xfId="0" applyAlignment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0" fillId="4" fontId="4" numFmtId="49" xfId="0" applyAlignment="1" applyFont="1" applyNumberFormat="1">
      <alignment horizontal="center" readingOrder="0" shrinkToFit="0" vertical="center" wrapText="0"/>
    </xf>
    <xf borderId="0" fillId="4" fontId="4" numFmtId="164" xfId="0" applyAlignment="1" applyFont="1" applyNumberFormat="1">
      <alignment horizontal="center" readingOrder="0" shrinkToFit="0" vertical="center" wrapText="0"/>
    </xf>
    <xf borderId="0" fillId="10" fontId="4" numFmtId="49" xfId="0" applyAlignment="1" applyFont="1" applyNumberFormat="1">
      <alignment horizontal="center" readingOrder="0" shrinkToFit="0" vertical="center" wrapText="0"/>
    </xf>
    <xf borderId="0" fillId="12" fontId="4" numFmtId="49" xfId="0" applyAlignment="1" applyFont="1" applyNumberFormat="1">
      <alignment horizontal="center" readingOrder="0" shrinkToFit="0" vertical="center" wrapText="0"/>
    </xf>
    <xf borderId="0" fillId="9" fontId="4" numFmtId="14" xfId="0" applyAlignment="1" applyFont="1" applyNumberFormat="1">
      <alignment horizontal="center" readingOrder="0" shrinkToFit="0" vertical="center" wrapText="0"/>
    </xf>
    <xf borderId="0" fillId="9" fontId="4" numFmtId="0" xfId="0" applyAlignment="1" applyFont="1">
      <alignment horizontal="center" readingOrder="0" shrinkToFit="0" vertical="center" wrapText="0"/>
    </xf>
    <xf borderId="0" fillId="9" fontId="4" numFmtId="166" xfId="0" applyAlignment="1" applyFont="1" applyNumberFormat="1">
      <alignment readingOrder="0" shrinkToFit="0" vertical="center" wrapText="0"/>
    </xf>
    <xf borderId="0" fillId="9" fontId="4" numFmtId="49" xfId="0" applyAlignment="1" applyFont="1" applyNumberFormat="1">
      <alignment readingOrder="0" shrinkToFit="0" vertical="center" wrapText="0"/>
    </xf>
    <xf borderId="1" fillId="15" fontId="4" numFmtId="49" xfId="0" applyAlignment="1" applyBorder="1" applyFont="1" applyNumberFormat="1">
      <alignment horizontal="center" readingOrder="0"/>
    </xf>
    <xf borderId="0" fillId="3" fontId="1" numFmtId="49" xfId="0" applyAlignment="1" applyFont="1" applyNumberFormat="1">
      <alignment horizontal="center" readingOrder="0" vertical="center"/>
    </xf>
    <xf borderId="0" fillId="2" fontId="1" numFmtId="49" xfId="0" applyAlignment="1" applyFont="1" applyNumberFormat="1">
      <alignment horizontal="center" readingOrder="0" vertical="center"/>
    </xf>
    <xf borderId="0" fillId="9" fontId="1" numFmtId="49" xfId="0" applyAlignment="1" applyFont="1" applyNumberFormat="1">
      <alignment horizontal="center" readingOrder="0" vertical="center"/>
    </xf>
    <xf borderId="0" fillId="4" fontId="1" numFmtId="49" xfId="0" applyAlignment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readingOrder="0" vertical="center"/>
    </xf>
    <xf borderId="0" fillId="9" fontId="1" numFmtId="14" xfId="0" applyAlignment="1" applyFont="1" applyNumberFormat="1">
      <alignment horizontal="center" readingOrder="0" vertical="center"/>
    </xf>
    <xf borderId="1" fillId="9" fontId="1" numFmtId="49" xfId="0" applyAlignment="1" applyBorder="1" applyFont="1" applyNumberFormat="1">
      <alignment horizontal="center" vertical="center"/>
    </xf>
    <xf borderId="0" fillId="9" fontId="1" numFmtId="49" xfId="0" applyAlignment="1" applyFont="1" applyNumberFormat="1">
      <alignment horizontal="center" vertical="center"/>
    </xf>
    <xf borderId="0" fillId="9" fontId="4" numFmtId="49" xfId="0" applyAlignment="1" applyFont="1" applyNumberFormat="1">
      <alignment horizontal="center" readingOrder="0" vertical="center"/>
    </xf>
    <xf borderId="1" fillId="9" fontId="1" numFmtId="49" xfId="0" applyAlignment="1" applyBorder="1" applyFont="1" applyNumberFormat="1">
      <alignment horizontal="center" readingOrder="0" vertical="center"/>
    </xf>
    <xf borderId="0" fillId="4" fontId="1" numFmtId="49" xfId="0" applyAlignment="1" applyFont="1" applyNumberFormat="1">
      <alignment horizontal="center" vertical="center"/>
    </xf>
    <xf borderId="0" fillId="4" fontId="1" numFmtId="164" xfId="0" applyAlignment="1" applyFont="1" applyNumberFormat="1">
      <alignment horizontal="center" vertical="center"/>
    </xf>
    <xf borderId="0" fillId="4" fontId="13" numFmtId="49" xfId="0" applyAlignment="1" applyFont="1" applyNumberFormat="1">
      <alignment horizontal="center" readingOrder="0" vertical="center"/>
    </xf>
    <xf borderId="0" fillId="4" fontId="13" numFmtId="164" xfId="0" applyAlignment="1" applyFont="1" applyNumberFormat="1">
      <alignment horizontal="center" readingOrder="0" vertical="center"/>
    </xf>
    <xf borderId="0" fillId="16" fontId="1" numFmtId="49" xfId="0" applyAlignment="1" applyFill="1" applyFont="1" applyNumberFormat="1">
      <alignment horizontal="center" readingOrder="0" vertical="center"/>
    </xf>
    <xf borderId="0" fillId="2" fontId="14" numFmtId="49" xfId="0" applyAlignment="1" applyFont="1" applyNumberFormat="1">
      <alignment horizontal="center" readingOrder="0" vertical="center"/>
    </xf>
    <xf borderId="0" fillId="2" fontId="1" numFmtId="14" xfId="0" applyAlignment="1" applyFont="1" applyNumberFormat="1">
      <alignment horizontal="center" readingOrder="0" vertical="center"/>
    </xf>
    <xf borderId="0" fillId="2" fontId="1" numFmtId="49" xfId="0" applyAlignment="1" applyFont="1" applyNumberFormat="1">
      <alignment horizontal="center" vertical="center"/>
    </xf>
    <xf borderId="0" fillId="3" fontId="14" numFmtId="49" xfId="0" applyAlignment="1" applyFont="1" applyNumberFormat="1">
      <alignment horizontal="center" readingOrder="0" vertical="center"/>
    </xf>
    <xf borderId="0" fillId="9" fontId="14" numFmtId="49" xfId="0" applyAlignment="1" applyFont="1" applyNumberFormat="1">
      <alignment horizontal="center" readingOrder="0" vertical="center"/>
    </xf>
    <xf borderId="0" fillId="4" fontId="14" numFmtId="49" xfId="0" applyAlignment="1" applyFont="1" applyNumberFormat="1">
      <alignment horizontal="center" readingOrder="0" vertical="center"/>
    </xf>
    <xf borderId="0" fillId="4" fontId="14" numFmtId="164" xfId="0" applyAlignment="1" applyFont="1" applyNumberFormat="1">
      <alignment horizontal="center" readingOrder="0" vertical="center"/>
    </xf>
    <xf borderId="1" fillId="9" fontId="14" numFmtId="49" xfId="0" applyAlignment="1" applyBorder="1" applyFont="1" applyNumberFormat="1">
      <alignment horizontal="center" readingOrder="0" vertical="center"/>
    </xf>
    <xf borderId="0" fillId="17" fontId="11" numFmtId="49" xfId="0" applyAlignment="1" applyFill="1" applyFont="1" applyNumberFormat="1">
      <alignment horizontal="center" readingOrder="0" shrinkToFit="0" wrapText="0"/>
    </xf>
    <xf borderId="0" fillId="9" fontId="11" numFmtId="49" xfId="0" applyAlignment="1" applyFont="1" applyNumberFormat="1">
      <alignment horizontal="center" readingOrder="0" shrinkToFit="0" wrapText="0"/>
    </xf>
    <xf borderId="0" fillId="9" fontId="12" numFmtId="49" xfId="0" applyAlignment="1" applyFont="1" applyNumberFormat="1">
      <alignment horizontal="center" readingOrder="0" shrinkToFit="0" wrapText="0"/>
    </xf>
    <xf borderId="0" fillId="3" fontId="1" numFmtId="14" xfId="0" applyAlignment="1" applyFont="1" applyNumberFormat="1">
      <alignment horizontal="center" readingOrder="0" vertical="center"/>
    </xf>
    <xf borderId="0" fillId="3" fontId="1" numFmtId="49" xfId="0" applyAlignment="1" applyFont="1" applyNumberFormat="1">
      <alignment horizontal="center" vertical="center"/>
    </xf>
    <xf borderId="1" fillId="3" fontId="1" numFmtId="49" xfId="0" applyAlignment="1" applyBorder="1" applyFont="1" applyNumberFormat="1">
      <alignment horizontal="center" vertical="center"/>
    </xf>
    <xf borderId="0" fillId="13" fontId="1" numFmtId="49" xfId="0" applyAlignment="1" applyFont="1" applyNumberFormat="1">
      <alignment horizontal="center" readingOrder="0" vertical="center"/>
    </xf>
    <xf borderId="0" fillId="3" fontId="9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4" fontId="9" numFmtId="0" xfId="0" applyAlignment="1" applyFont="1">
      <alignment horizontal="center" readingOrder="0"/>
    </xf>
    <xf borderId="0" fillId="4" fontId="9" numFmtId="164" xfId="0" applyAlignment="1" applyFont="1" applyNumberFormat="1">
      <alignment horizontal="center" readingOrder="0"/>
    </xf>
    <xf borderId="0" fillId="2" fontId="1" numFmtId="49" xfId="0" applyAlignment="1" applyFont="1" applyNumberFormat="1">
      <alignment horizontal="center" readingOrder="0"/>
    </xf>
    <xf borderId="0" fillId="9" fontId="1" numFmtId="49" xfId="0" applyAlignment="1" applyFont="1" applyNumberFormat="1">
      <alignment horizontal="center" readingOrder="0"/>
    </xf>
    <xf borderId="0" fillId="9" fontId="1" numFmtId="14" xfId="0" applyAlignment="1" applyFont="1" applyNumberFormat="1">
      <alignment horizontal="center" readingOrder="0"/>
    </xf>
    <xf borderId="0" fillId="18" fontId="1" numFmtId="49" xfId="0" applyAlignment="1" applyFill="1" applyFont="1" applyNumberFormat="1">
      <alignment horizontal="center" readingOrder="0"/>
    </xf>
    <xf borderId="0" fillId="18" fontId="1" numFmtId="14" xfId="0" applyAlignment="1" applyFont="1" applyNumberFormat="1">
      <alignment horizontal="center" readingOrder="0"/>
    </xf>
    <xf borderId="1" fillId="18" fontId="1" numFmtId="49" xfId="0" applyAlignment="1" applyBorder="1" applyFont="1" applyNumberFormat="1">
      <alignment horizontal="center"/>
    </xf>
    <xf borderId="0" fillId="9" fontId="1" numFmtId="49" xfId="0" applyAlignment="1" applyFont="1" applyNumberFormat="1">
      <alignment horizontal="center"/>
    </xf>
    <xf borderId="1" fillId="9" fontId="1" numFmtId="49" xfId="0" applyAlignment="1" applyBorder="1" applyFont="1" applyNumberFormat="1">
      <alignment horizontal="center"/>
    </xf>
    <xf borderId="1" fillId="9" fontId="1" numFmtId="49" xfId="0" applyAlignment="1" applyBorder="1" applyFont="1" applyNumberFormat="1">
      <alignment horizontal="center" readingOrder="0"/>
    </xf>
    <xf borderId="1" fillId="9" fontId="4" numFmtId="49" xfId="0" applyAlignment="1" applyBorder="1" applyFont="1" applyNumberFormat="1">
      <alignment horizontal="center" readingOrder="0"/>
    </xf>
    <xf borderId="0" fillId="0" fontId="1" numFmtId="14" xfId="0" applyAlignment="1" applyFont="1" applyNumberFormat="1">
      <alignment horizontal="center" readingOrder="0"/>
    </xf>
    <xf borderId="0" fillId="11" fontId="1" numFmtId="49" xfId="0" applyAlignment="1" applyFont="1" applyNumberFormat="1">
      <alignment horizontal="center" readingOrder="0"/>
    </xf>
    <xf borderId="0" fillId="2" fontId="1" numFmtId="14" xfId="0" applyAlignment="1" applyFont="1" applyNumberFormat="1">
      <alignment horizontal="center" readingOrder="0"/>
    </xf>
    <xf borderId="0" fillId="11" fontId="1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4" fontId="1" numFmtId="49" xfId="0" applyAlignment="1" applyFont="1" applyNumberFormat="1">
      <alignment horizontal="center"/>
    </xf>
    <xf borderId="0" fillId="4" fontId="1" numFmtId="164" xfId="0" applyAlignment="1" applyFont="1" applyNumberFormat="1">
      <alignment horizontal="center"/>
    </xf>
    <xf borderId="0" fillId="3" fontId="4" numFmtId="49" xfId="0" applyAlignment="1" applyFont="1" applyNumberFormat="1">
      <alignment horizontal="center" readingOrder="0"/>
    </xf>
    <xf borderId="0" fillId="2" fontId="4" numFmtId="49" xfId="0" applyAlignment="1" applyFont="1" applyNumberFormat="1">
      <alignment horizontal="center" readingOrder="0"/>
    </xf>
    <xf borderId="0" fillId="14" fontId="1" numFmtId="49" xfId="0" applyAlignment="1" applyFont="1" applyNumberFormat="1">
      <alignment horizontal="center" readingOrder="0"/>
    </xf>
    <xf borderId="0" fillId="0" fontId="9" numFmtId="49" xfId="0" applyAlignment="1" applyFont="1" applyNumberFormat="1">
      <alignment horizontal="center" readingOrder="0" vertical="center"/>
    </xf>
    <xf borderId="0" fillId="9" fontId="9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19" fontId="1" numFmtId="49" xfId="0" applyAlignment="1" applyFill="1" applyFont="1" applyNumberFormat="1">
      <alignment horizontal="center" readingOrder="0"/>
    </xf>
    <xf borderId="0" fillId="4" fontId="15" numFmtId="49" xfId="0" applyAlignment="1" applyFont="1" applyNumberFormat="1">
      <alignment horizontal="center" readingOrder="0"/>
    </xf>
    <xf borderId="0" fillId="4" fontId="15" numFmtId="164" xfId="0" applyAlignment="1" applyFont="1" applyNumberFormat="1">
      <alignment horizontal="center" readingOrder="0"/>
    </xf>
    <xf borderId="0" fillId="0" fontId="16" numFmtId="49" xfId="0" applyAlignment="1" applyFont="1" applyNumberFormat="1">
      <alignment horizontal="center" readingOrder="0" shrinkToFit="0" wrapText="0"/>
    </xf>
    <xf borderId="0" fillId="0" fontId="17" numFmtId="49" xfId="0" applyAlignment="1" applyFont="1" applyNumberFormat="1">
      <alignment readingOrder="0" shrinkToFit="0" wrapText="0"/>
    </xf>
    <xf borderId="0" fillId="10" fontId="1" numFmtId="49" xfId="0" applyAlignment="1" applyFont="1" applyNumberFormat="1">
      <alignment horizontal="center" readingOrder="0"/>
    </xf>
    <xf borderId="0" fillId="0" fontId="18" numFmtId="49" xfId="0" applyAlignment="1" applyFont="1" applyNumberFormat="1">
      <alignment horizontal="center" readingOrder="0" shrinkToFit="0" wrapText="0"/>
    </xf>
    <xf borderId="0" fillId="20" fontId="1" numFmtId="49" xfId="0" applyAlignment="1" applyFill="1" applyFont="1" applyNumberFormat="1">
      <alignment horizontal="center" readingOrder="0"/>
    </xf>
    <xf borderId="0" fillId="0" fontId="19" numFmtId="49" xfId="0" applyAlignment="1" applyFont="1" applyNumberFormat="1">
      <alignment horizontal="center" readingOrder="0" shrinkToFit="0" wrapText="0"/>
    </xf>
    <xf borderId="0" fillId="0" fontId="12" numFmtId="49" xfId="0" applyAlignment="1" applyFont="1" applyNumberFormat="1">
      <alignment horizontal="center" readingOrder="0" shrinkToFit="0" wrapText="0"/>
    </xf>
    <xf borderId="0" fillId="0" fontId="9" numFmtId="0" xfId="0" applyAlignment="1" applyFont="1">
      <alignment horizontal="center"/>
    </xf>
    <xf borderId="0" fillId="0" fontId="9" numFmtId="14" xfId="0" applyAlignment="1" applyFont="1" applyNumberFormat="1">
      <alignment horizontal="center" readingOrder="0"/>
    </xf>
    <xf borderId="0" fillId="13" fontId="1" numFmtId="49" xfId="0" applyAlignment="1" applyFont="1" applyNumberFormat="1">
      <alignment horizontal="center" readingOrder="0"/>
    </xf>
    <xf borderId="0" fillId="9" fontId="1" numFmtId="167" xfId="0" applyAlignment="1" applyFont="1" applyNumberFormat="1">
      <alignment horizontal="center" readingOrder="0"/>
    </xf>
    <xf borderId="0" fillId="0" fontId="11" numFmtId="49" xfId="0" applyAlignment="1" applyFont="1" applyNumberFormat="1">
      <alignment horizontal="center" readingOrder="0" shrinkToFit="0" wrapText="0"/>
    </xf>
    <xf borderId="0" fillId="0" fontId="20" numFmtId="49" xfId="0" applyAlignment="1" applyFont="1" applyNumberFormat="1">
      <alignment horizontal="center" readingOrder="0" shrinkToFit="0" wrapText="0"/>
    </xf>
    <xf borderId="0" fillId="11" fontId="2" numFmtId="49" xfId="0" applyAlignment="1" applyFont="1" applyNumberFormat="1">
      <alignment horizontal="center" readingOrder="0"/>
    </xf>
    <xf borderId="1" fillId="21" fontId="8" numFmtId="14" xfId="0" applyAlignment="1" applyBorder="1" applyFill="1" applyFont="1" applyNumberFormat="1">
      <alignment horizontal="center" readingOrder="0" shrinkToFit="0" vertical="center" wrapText="0"/>
    </xf>
    <xf borderId="1" fillId="4" fontId="4" numFmtId="49" xfId="0" applyAlignment="1" applyBorder="1" applyFont="1" applyNumberFormat="1">
      <alignment horizontal="center" readingOrder="0"/>
    </xf>
    <xf borderId="1" fillId="21" fontId="8" numFmtId="165" xfId="0" applyAlignment="1" applyBorder="1" applyFont="1" applyNumberFormat="1">
      <alignment horizontal="center" readingOrder="0" shrinkToFit="0" vertical="center" wrapText="0"/>
    </xf>
    <xf borderId="0" fillId="0" fontId="9" numFmtId="49" xfId="0" applyAlignment="1" applyFont="1" applyNumberFormat="1">
      <alignment horizontal="center" readingOrder="0"/>
    </xf>
    <xf borderId="0" fillId="0" fontId="9" numFmtId="0" xfId="0" applyFont="1"/>
    <xf borderId="0" fillId="16" fontId="1" numFmtId="49" xfId="0" applyAlignment="1" applyFont="1" applyNumberFormat="1">
      <alignment horizontal="center" readingOrder="0"/>
    </xf>
    <xf borderId="0" fillId="16" fontId="1" numFmtId="164" xfId="0" applyAlignment="1" applyFont="1" applyNumberFormat="1">
      <alignment horizontal="center" readingOrder="0"/>
    </xf>
    <xf borderId="0" fillId="16" fontId="1" numFmtId="0" xfId="0" applyAlignment="1" applyFont="1">
      <alignment horizontal="center" readingOrder="0"/>
    </xf>
    <xf borderId="0" fillId="16" fontId="1" numFmtId="14" xfId="0" applyAlignment="1" applyFont="1" applyNumberFormat="1">
      <alignment horizontal="center" readingOrder="0"/>
    </xf>
    <xf borderId="0" fillId="16" fontId="1" numFmtId="49" xfId="0" applyAlignment="1" applyFont="1" applyNumberFormat="1">
      <alignment horizontal="center"/>
    </xf>
    <xf borderId="1" fillId="16" fontId="1" numFmtId="49" xfId="0" applyAlignment="1" applyBorder="1" applyFont="1" applyNumberFormat="1">
      <alignment horizontal="center"/>
    </xf>
    <xf borderId="1" fillId="11" fontId="4" numFmtId="49" xfId="0" applyAlignment="1" applyBorder="1" applyFont="1" applyNumberFormat="1">
      <alignment horizontal="center" readingOrder="0"/>
    </xf>
    <xf borderId="0" fillId="22" fontId="1" numFmtId="49" xfId="0" applyAlignment="1" applyFill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1" numFmtId="49" xfId="0" applyAlignment="1" applyFont="1" applyNumberFormat="1">
      <alignment horizontal="center"/>
    </xf>
    <xf borderId="1" fillId="2" fontId="1" numFmtId="49" xfId="0" applyAlignment="1" applyBorder="1" applyFont="1" applyNumberFormat="1">
      <alignment horizontal="center"/>
    </xf>
    <xf borderId="1" fillId="4" fontId="8" numFmtId="49" xfId="0" applyAlignment="1" applyBorder="1" applyFont="1" applyNumberFormat="1">
      <alignment horizontal="center" readingOrder="0" shrinkToFit="0" vertical="center" wrapText="0"/>
    </xf>
    <xf borderId="0" fillId="4" fontId="8" numFmtId="164" xfId="0" applyAlignment="1" applyFont="1" applyNumberFormat="1">
      <alignment horizontal="center" readingOrder="0" shrinkToFit="0" vertical="center" wrapText="0"/>
    </xf>
    <xf borderId="0" fillId="23" fontId="1" numFmtId="49" xfId="0" applyAlignment="1" applyFill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24" fontId="1" numFmtId="49" xfId="0" applyAlignment="1" applyFill="1" applyFont="1" applyNumberFormat="1">
      <alignment horizontal="center" readingOrder="0"/>
    </xf>
    <xf borderId="0" fillId="0" fontId="21" numFmtId="14" xfId="0" applyAlignment="1" applyFont="1" applyNumberFormat="1">
      <alignment horizontal="center" readingOrder="0"/>
    </xf>
    <xf borderId="1" fillId="15" fontId="22" numFmtId="49" xfId="0" applyAlignment="1" applyBorder="1" applyFont="1" applyNumberFormat="1">
      <alignment horizontal="center" readingOrder="0"/>
    </xf>
    <xf borderId="0" fillId="4" fontId="15" numFmtId="49" xfId="0" applyAlignment="1" applyFont="1" applyNumberFormat="1">
      <alignment horizontal="center" readingOrder="0" vertical="center"/>
    </xf>
    <xf borderId="0" fillId="4" fontId="15" numFmtId="164" xfId="0" applyAlignment="1" applyFont="1" applyNumberFormat="1">
      <alignment horizontal="center" readingOrder="0" vertical="center"/>
    </xf>
    <xf borderId="1" fillId="21" fontId="8" numFmtId="167" xfId="0" applyAlignment="1" applyBorder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/>
    </xf>
    <xf borderId="0" fillId="4" fontId="23" numFmtId="49" xfId="0" applyAlignment="1" applyFont="1" applyNumberFormat="1">
      <alignment horizontal="center" readingOrder="0" vertical="center"/>
    </xf>
    <xf borderId="0" fillId="4" fontId="23" numFmtId="164" xfId="0" applyAlignment="1" applyFont="1" applyNumberFormat="1">
      <alignment horizontal="center" readingOrder="0" vertical="center"/>
    </xf>
    <xf borderId="0" fillId="3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 readingOrder="0"/>
    </xf>
    <xf borderId="0" fillId="3" fontId="1" numFmtId="19" xfId="0" applyAlignment="1" applyFont="1" applyNumberFormat="1">
      <alignment horizontal="center" readingOrder="0"/>
    </xf>
    <xf borderId="1" fillId="9" fontId="4" numFmtId="0" xfId="0" applyAlignment="1" applyBorder="1" applyFont="1">
      <alignment horizontal="center" readingOrder="0"/>
    </xf>
    <xf borderId="1" fillId="0" fontId="1" numFmtId="19" xfId="0" applyAlignment="1" applyBorder="1" applyFont="1" applyNumberFormat="1">
      <alignment horizontal="center" readingOrder="0"/>
    </xf>
    <xf borderId="1" fillId="14" fontId="4" numFmtId="49" xfId="0" applyAlignment="1" applyBorder="1" applyFont="1" applyNumberFormat="1">
      <alignment horizontal="center" readingOrder="0"/>
    </xf>
    <xf borderId="0" fillId="20" fontId="1" numFmtId="0" xfId="0" applyAlignment="1" applyFont="1">
      <alignment horizontal="center" readingOrder="0"/>
    </xf>
    <xf borderId="0" fillId="3" fontId="1" numFmtId="49" xfId="0" applyAlignment="1" applyFont="1" applyNumberFormat="1">
      <alignment horizontal="center"/>
    </xf>
    <xf borderId="1" fillId="0" fontId="1" numFmtId="49" xfId="0" applyAlignment="1" applyBorder="1" applyFont="1" applyNumberFormat="1">
      <alignment horizontal="center" readingOrder="0"/>
    </xf>
    <xf borderId="1" fillId="13" fontId="8" numFmtId="0" xfId="0" applyAlignment="1" applyBorder="1" applyFont="1">
      <alignment horizontal="center" readingOrder="0" shrinkToFit="0" vertical="center" wrapText="0"/>
    </xf>
    <xf borderId="0" fillId="0" fontId="24" numFmtId="49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1" fillId="13" fontId="25" numFmtId="49" xfId="0" applyAlignment="1" applyBorder="1" applyFont="1" applyNumberFormat="1">
      <alignment horizontal="center" readingOrder="0" shrinkToFit="0" vertical="center" wrapText="0"/>
    </xf>
    <xf borderId="0" fillId="15" fontId="26" numFmtId="49" xfId="0" applyAlignment="1" applyFont="1" applyNumberFormat="1">
      <alignment readingOrder="0"/>
    </xf>
    <xf borderId="0" fillId="15" fontId="26" numFmtId="49" xfId="0" applyFont="1" applyNumberFormat="1"/>
    <xf borderId="0" fillId="3" fontId="1" numFmtId="14" xfId="0" applyAlignment="1" applyFont="1" applyNumberFormat="1">
      <alignment horizontal="center"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AF100" displayName="Table1" name="Table1" id="1">
  <tableColumns count="32">
    <tableColumn name="S/N" id="1"/>
    <tableColumn name="TIME" id="2"/>
    <tableColumn name="PRODUCT STATUS" id="3"/>
    <tableColumn name="DESCRIPTION" id="4"/>
    <tableColumn name="COLOUR" id="5"/>
    <tableColumn name="STORAGE" id="6"/>
    <tableColumn name="IMEI" id="7"/>
    <tableColumn name="COST PRICE" id="8"/>
    <tableColumn name="Column 47" id="9"/>
    <tableColumn name="DEVICE" id="10"/>
    <tableColumn name="BATTERY. H" id="11"/>
    <tableColumn name="NAME OF SELLER" id="12"/>
    <tableColumn name="PHONE NUMBER OF SELLER" id="13"/>
    <tableColumn name="STATUS OF DEVICE" id="14"/>
    <tableColumn name="DATE BOUGHT" id="15"/>
    <tableColumn name="NAME OF BUYER" id="16"/>
    <tableColumn name="PHONE NUMBER OF BUYER" id="17"/>
    <tableColumn name="AVAILABILITY/DATE SOLD" id="18"/>
    <tableColumn name="CONDITIONS" id="19"/>
    <tableColumn name="RECEIPT &amp; EVIDIENCE LINK" id="20"/>
    <tableColumn name="Column 17" id="21"/>
    <tableColumn name="RECORD_ID" id="22"/>
    <tableColumn name="DEAL LOCATION" id="23"/>
    <tableColumn name="INTERNAL NOTE" id="24"/>
    <tableColumn name="Column 25" id="25"/>
    <tableColumn name="PAID DATE" id="26"/>
    <tableColumn name="EXPENSE AMOUNT" id="27"/>
    <tableColumn name="EXPENSE DESCRIPTION" id="28"/>
    <tableColumn name="CALCULATED PROFIT" id="29"/>
    <tableColumn name="Column 37" id="30"/>
    <tableColumn name="Column 38" id="31"/>
    <tableColumn name="Column 39" id="3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2" max="3" width="23.75"/>
    <col customWidth="1" min="4" max="4" width="47.38"/>
    <col customWidth="1" min="5" max="5" width="31.5"/>
    <col customWidth="1" min="6" max="6" width="30.63"/>
    <col customWidth="1" min="7" max="9" width="35.0"/>
    <col customWidth="1" min="10" max="10" width="14.38"/>
    <col customWidth="1" min="11" max="11" width="17.75"/>
    <col customWidth="1" min="12" max="12" width="30.25"/>
    <col customWidth="1" min="13" max="13" width="30.13"/>
    <col customWidth="1" min="14" max="14" width="36.13"/>
    <col customWidth="1" min="15" max="15" width="24.0"/>
    <col customWidth="1" min="16" max="16" width="48.5"/>
    <col customWidth="1" min="17" max="17" width="29.63"/>
    <col customWidth="1" min="18" max="18" width="28.75"/>
    <col customWidth="1" min="19" max="19" width="90.63"/>
    <col customWidth="1" min="20" max="20" width="69.25"/>
    <col customWidth="1" min="21" max="32" width="25.88"/>
  </cols>
  <sheetData>
    <row r="1">
      <c r="A1" s="1"/>
      <c r="B1" s="2"/>
      <c r="C1" s="2"/>
      <c r="D1" s="3"/>
      <c r="E1" s="4"/>
      <c r="F1" s="5" t="s">
        <v>0</v>
      </c>
      <c r="G1" s="6"/>
      <c r="H1" s="7"/>
      <c r="I1" s="8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 t="s">
        <v>2</v>
      </c>
      <c r="Z1" s="5"/>
      <c r="AA1" s="5"/>
      <c r="AB1" s="5"/>
      <c r="AC1" s="5"/>
      <c r="AD1" s="5" t="s">
        <v>3</v>
      </c>
      <c r="AE1" s="5" t="s">
        <v>4</v>
      </c>
      <c r="AF1" s="5" t="s">
        <v>5</v>
      </c>
    </row>
    <row r="2">
      <c r="A2" s="9"/>
      <c r="B2" s="10"/>
      <c r="C2" s="10"/>
      <c r="D2" s="9"/>
      <c r="E2" s="11"/>
      <c r="F2" s="9"/>
      <c r="G2" s="12"/>
      <c r="H2" s="13"/>
      <c r="I2" s="13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ht="22.5" customHeight="1">
      <c r="A3" s="14" t="s">
        <v>6</v>
      </c>
      <c r="B3" s="15" t="s">
        <v>7</v>
      </c>
      <c r="C3" s="15" t="s">
        <v>8</v>
      </c>
      <c r="D3" s="14" t="s">
        <v>9</v>
      </c>
      <c r="E3" s="16" t="s">
        <v>10</v>
      </c>
      <c r="F3" s="14" t="s">
        <v>11</v>
      </c>
      <c r="G3" s="17" t="s">
        <v>12</v>
      </c>
      <c r="H3" s="18" t="s">
        <v>13</v>
      </c>
      <c r="I3" s="19" t="s">
        <v>14</v>
      </c>
      <c r="J3" s="14" t="s">
        <v>15</v>
      </c>
      <c r="K3" s="14" t="s">
        <v>16</v>
      </c>
      <c r="L3" s="14" t="s">
        <v>17</v>
      </c>
      <c r="M3" s="14" t="s">
        <v>18</v>
      </c>
      <c r="N3" s="14" t="s">
        <v>19</v>
      </c>
      <c r="O3" s="14" t="s">
        <v>20</v>
      </c>
      <c r="P3" s="20" t="s">
        <v>21</v>
      </c>
      <c r="Q3" s="14" t="s">
        <v>22</v>
      </c>
      <c r="R3" s="14" t="s">
        <v>23</v>
      </c>
      <c r="S3" s="14" t="s">
        <v>24</v>
      </c>
      <c r="T3" s="21" t="s">
        <v>25</v>
      </c>
      <c r="U3" s="21" t="s">
        <v>26</v>
      </c>
      <c r="V3" s="21" t="s">
        <v>27</v>
      </c>
      <c r="W3" s="22" t="s">
        <v>28</v>
      </c>
      <c r="X3" s="22" t="s">
        <v>2</v>
      </c>
      <c r="Y3" s="22" t="s">
        <v>29</v>
      </c>
      <c r="Z3" s="22" t="s">
        <v>1</v>
      </c>
      <c r="AA3" s="22" t="s">
        <v>3</v>
      </c>
      <c r="AB3" s="22" t="s">
        <v>4</v>
      </c>
      <c r="AC3" s="22" t="s">
        <v>5</v>
      </c>
      <c r="AD3" s="22" t="s">
        <v>30</v>
      </c>
      <c r="AE3" s="22" t="s">
        <v>31</v>
      </c>
      <c r="AF3" s="22" t="s">
        <v>32</v>
      </c>
    </row>
    <row r="4" ht="22.5" customHeight="1">
      <c r="A4" s="23" t="s">
        <v>33</v>
      </c>
      <c r="B4" s="24"/>
      <c r="C4" s="24" t="s">
        <v>34</v>
      </c>
      <c r="D4" s="25" t="s">
        <v>35</v>
      </c>
      <c r="E4" s="26" t="s">
        <v>36</v>
      </c>
      <c r="F4" s="27" t="s">
        <v>37</v>
      </c>
      <c r="G4" s="28" t="s">
        <v>38</v>
      </c>
      <c r="H4" s="29"/>
      <c r="I4" s="29"/>
      <c r="J4" s="27" t="s">
        <v>39</v>
      </c>
      <c r="K4" s="27" t="s">
        <v>40</v>
      </c>
      <c r="L4" s="27" t="s">
        <v>41</v>
      </c>
      <c r="M4" s="27" t="s">
        <v>42</v>
      </c>
      <c r="N4" s="27" t="s">
        <v>43</v>
      </c>
      <c r="O4" s="27" t="s">
        <v>44</v>
      </c>
      <c r="P4" s="27" t="s">
        <v>45</v>
      </c>
      <c r="Q4" s="27" t="s">
        <v>46</v>
      </c>
      <c r="R4" s="30"/>
      <c r="S4" s="31" t="s">
        <v>47</v>
      </c>
      <c r="T4" s="32"/>
      <c r="U4" s="32"/>
      <c r="V4" s="33" t="s">
        <v>48</v>
      </c>
      <c r="W4" s="33"/>
      <c r="X4" s="33"/>
      <c r="Y4" s="33"/>
      <c r="Z4" s="33"/>
      <c r="AA4" s="33"/>
      <c r="AB4" s="33"/>
      <c r="AC4" s="33"/>
      <c r="AD4" s="33"/>
      <c r="AE4" s="33"/>
      <c r="AF4" s="33"/>
    </row>
    <row r="5" ht="22.5" customHeight="1">
      <c r="A5" s="23" t="s">
        <v>49</v>
      </c>
      <c r="B5" s="24"/>
      <c r="C5" s="24" t="s">
        <v>34</v>
      </c>
      <c r="D5" s="34" t="s">
        <v>50</v>
      </c>
      <c r="E5" s="27" t="s">
        <v>51</v>
      </c>
      <c r="F5" s="27" t="s">
        <v>52</v>
      </c>
      <c r="G5" s="28" t="s">
        <v>53</v>
      </c>
      <c r="H5" s="29"/>
      <c r="I5" s="29"/>
      <c r="J5" s="27" t="s">
        <v>39</v>
      </c>
      <c r="K5" s="27" t="s">
        <v>54</v>
      </c>
      <c r="L5" s="27" t="s">
        <v>55</v>
      </c>
      <c r="M5" s="27" t="s">
        <v>56</v>
      </c>
      <c r="N5" s="27" t="s">
        <v>57</v>
      </c>
      <c r="O5" s="27" t="s">
        <v>58</v>
      </c>
      <c r="P5" s="27" t="s">
        <v>59</v>
      </c>
      <c r="Q5" s="27" t="s">
        <v>60</v>
      </c>
      <c r="R5" s="35" t="s">
        <v>61</v>
      </c>
      <c r="S5" s="31" t="s">
        <v>47</v>
      </c>
      <c r="T5" s="32"/>
      <c r="U5" s="32"/>
      <c r="V5" s="33" t="s">
        <v>62</v>
      </c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ht="22.5" customHeight="1">
      <c r="A6" s="23" t="s">
        <v>63</v>
      </c>
      <c r="B6" s="24"/>
      <c r="C6" s="24" t="s">
        <v>34</v>
      </c>
      <c r="D6" s="34" t="s">
        <v>64</v>
      </c>
      <c r="E6" s="27" t="s">
        <v>65</v>
      </c>
      <c r="F6" s="27" t="s">
        <v>66</v>
      </c>
      <c r="G6" s="28" t="s">
        <v>67</v>
      </c>
      <c r="H6" s="29"/>
      <c r="I6" s="29"/>
      <c r="J6" s="27" t="s">
        <v>68</v>
      </c>
      <c r="K6" s="27" t="s">
        <v>69</v>
      </c>
      <c r="L6" s="27" t="s">
        <v>70</v>
      </c>
      <c r="M6" s="27" t="s">
        <v>71</v>
      </c>
      <c r="N6" s="27" t="s">
        <v>72</v>
      </c>
      <c r="O6" s="27" t="s">
        <v>58</v>
      </c>
      <c r="P6" s="27" t="s">
        <v>73</v>
      </c>
      <c r="Q6" s="27" t="s">
        <v>71</v>
      </c>
      <c r="R6" s="30"/>
      <c r="S6" s="31" t="s">
        <v>47</v>
      </c>
      <c r="T6" s="32"/>
      <c r="U6" s="32"/>
      <c r="V6" s="33" t="s">
        <v>74</v>
      </c>
      <c r="W6" s="33"/>
      <c r="X6" s="33"/>
      <c r="Y6" s="33"/>
      <c r="Z6" s="33"/>
      <c r="AA6" s="33"/>
      <c r="AB6" s="33"/>
      <c r="AC6" s="33"/>
      <c r="AD6" s="33"/>
      <c r="AE6" s="33"/>
      <c r="AF6" s="33"/>
    </row>
    <row r="7" ht="22.5" customHeight="1">
      <c r="A7" s="23" t="s">
        <v>75</v>
      </c>
      <c r="B7" s="24"/>
      <c r="C7" s="24" t="s">
        <v>34</v>
      </c>
      <c r="D7" s="34" t="s">
        <v>35</v>
      </c>
      <c r="E7" s="27" t="s">
        <v>36</v>
      </c>
      <c r="F7" s="27" t="s">
        <v>37</v>
      </c>
      <c r="G7" s="28" t="s">
        <v>76</v>
      </c>
      <c r="H7" s="29"/>
      <c r="I7" s="29"/>
      <c r="J7" s="27" t="s">
        <v>39</v>
      </c>
      <c r="K7" s="27" t="s">
        <v>77</v>
      </c>
      <c r="L7" s="27" t="s">
        <v>41</v>
      </c>
      <c r="M7" s="27" t="s">
        <v>42</v>
      </c>
      <c r="N7" s="27" t="s">
        <v>43</v>
      </c>
      <c r="O7" s="27" t="s">
        <v>78</v>
      </c>
      <c r="P7" s="27" t="s">
        <v>79</v>
      </c>
      <c r="Q7" s="36" t="s">
        <v>80</v>
      </c>
      <c r="R7" s="35" t="s">
        <v>81</v>
      </c>
      <c r="S7" s="31" t="s">
        <v>47</v>
      </c>
      <c r="T7" s="32"/>
      <c r="U7" s="32"/>
      <c r="V7" s="33" t="s">
        <v>82</v>
      </c>
      <c r="W7" s="33"/>
      <c r="X7" s="33"/>
      <c r="Y7" s="33"/>
      <c r="Z7" s="33"/>
      <c r="AA7" s="33"/>
      <c r="AB7" s="33"/>
      <c r="AC7" s="33"/>
      <c r="AD7" s="33"/>
      <c r="AE7" s="33"/>
      <c r="AF7" s="33"/>
    </row>
    <row r="8" ht="22.5" customHeight="1">
      <c r="A8" s="23" t="s">
        <v>83</v>
      </c>
      <c r="B8" s="24"/>
      <c r="C8" s="24" t="s">
        <v>34</v>
      </c>
      <c r="D8" s="34" t="s">
        <v>84</v>
      </c>
      <c r="E8" s="27" t="s">
        <v>85</v>
      </c>
      <c r="F8" s="27" t="s">
        <v>86</v>
      </c>
      <c r="G8" s="28" t="s">
        <v>87</v>
      </c>
      <c r="H8" s="29"/>
      <c r="I8" s="29"/>
      <c r="J8" s="27" t="s">
        <v>39</v>
      </c>
      <c r="K8" s="27" t="s">
        <v>88</v>
      </c>
      <c r="L8" s="27" t="s">
        <v>89</v>
      </c>
      <c r="M8" s="27" t="s">
        <v>90</v>
      </c>
      <c r="N8" s="27" t="s">
        <v>91</v>
      </c>
      <c r="O8" s="27" t="s">
        <v>92</v>
      </c>
      <c r="P8" s="27" t="s">
        <v>93</v>
      </c>
      <c r="Q8" s="36" t="s">
        <v>94</v>
      </c>
      <c r="R8" s="35" t="s">
        <v>92</v>
      </c>
      <c r="S8" s="31" t="s">
        <v>47</v>
      </c>
      <c r="T8" s="32"/>
      <c r="U8" s="32"/>
      <c r="V8" s="33" t="s">
        <v>95</v>
      </c>
      <c r="W8" s="33"/>
      <c r="X8" s="33"/>
      <c r="Y8" s="33"/>
      <c r="Z8" s="33"/>
      <c r="AA8" s="33"/>
      <c r="AB8" s="33"/>
      <c r="AC8" s="33"/>
      <c r="AD8" s="33"/>
      <c r="AE8" s="33"/>
      <c r="AF8" s="33"/>
    </row>
    <row r="9" ht="22.5" customHeight="1">
      <c r="A9" s="23" t="s">
        <v>96</v>
      </c>
      <c r="B9" s="24"/>
      <c r="C9" s="24" t="s">
        <v>34</v>
      </c>
      <c r="D9" s="34" t="s">
        <v>97</v>
      </c>
      <c r="E9" s="27" t="s">
        <v>98</v>
      </c>
      <c r="F9" s="27" t="s">
        <v>52</v>
      </c>
      <c r="G9" s="28" t="s">
        <v>99</v>
      </c>
      <c r="H9" s="29"/>
      <c r="I9" s="29"/>
      <c r="J9" s="27" t="s">
        <v>39</v>
      </c>
      <c r="K9" s="27" t="s">
        <v>40</v>
      </c>
      <c r="L9" s="27" t="s">
        <v>100</v>
      </c>
      <c r="M9" s="27" t="s">
        <v>101</v>
      </c>
      <c r="N9" s="27" t="s">
        <v>43</v>
      </c>
      <c r="O9" s="27" t="s">
        <v>102</v>
      </c>
      <c r="P9" s="27" t="s">
        <v>103</v>
      </c>
      <c r="Q9" s="36" t="s">
        <v>104</v>
      </c>
      <c r="R9" s="35" t="s">
        <v>105</v>
      </c>
      <c r="S9" s="31" t="s">
        <v>47</v>
      </c>
      <c r="T9" s="32"/>
      <c r="U9" s="32"/>
      <c r="V9" s="33" t="s">
        <v>106</v>
      </c>
      <c r="W9" s="33"/>
      <c r="X9" s="33"/>
      <c r="Y9" s="33"/>
      <c r="Z9" s="33"/>
      <c r="AA9" s="33"/>
      <c r="AB9" s="33"/>
      <c r="AC9" s="33"/>
      <c r="AD9" s="33"/>
      <c r="AE9" s="33"/>
      <c r="AF9" s="33"/>
    </row>
    <row r="10" ht="22.5" customHeight="1">
      <c r="A10" s="23" t="s">
        <v>107</v>
      </c>
      <c r="B10" s="24"/>
      <c r="C10" s="24" t="s">
        <v>34</v>
      </c>
      <c r="D10" s="34" t="s">
        <v>108</v>
      </c>
      <c r="E10" s="27" t="s">
        <v>109</v>
      </c>
      <c r="F10" s="27" t="s">
        <v>52</v>
      </c>
      <c r="G10" s="28" t="s">
        <v>110</v>
      </c>
      <c r="H10" s="29"/>
      <c r="I10" s="29"/>
      <c r="J10" s="27" t="s">
        <v>39</v>
      </c>
      <c r="K10" s="27" t="s">
        <v>77</v>
      </c>
      <c r="L10" s="27" t="s">
        <v>111</v>
      </c>
      <c r="M10" s="27" t="s">
        <v>112</v>
      </c>
      <c r="N10" s="27" t="s">
        <v>113</v>
      </c>
      <c r="O10" s="27" t="s">
        <v>92</v>
      </c>
      <c r="P10" s="27" t="s">
        <v>114</v>
      </c>
      <c r="Q10" s="36" t="s">
        <v>115</v>
      </c>
      <c r="R10" s="35" t="s">
        <v>92</v>
      </c>
      <c r="S10" s="31" t="s">
        <v>47</v>
      </c>
      <c r="T10" s="32"/>
      <c r="U10" s="32"/>
      <c r="V10" s="33" t="s">
        <v>116</v>
      </c>
      <c r="W10" s="33"/>
      <c r="X10" s="33"/>
      <c r="Y10" s="33"/>
      <c r="Z10" s="33"/>
      <c r="AA10" s="33"/>
      <c r="AB10" s="33"/>
      <c r="AC10" s="33"/>
      <c r="AD10" s="33"/>
      <c r="AE10" s="33"/>
      <c r="AF10" s="33"/>
    </row>
    <row r="11" ht="22.5" customHeight="1">
      <c r="A11" s="23" t="s">
        <v>117</v>
      </c>
      <c r="B11" s="24"/>
      <c r="C11" s="24" t="s">
        <v>34</v>
      </c>
      <c r="D11" s="34" t="s">
        <v>118</v>
      </c>
      <c r="E11" s="27" t="s">
        <v>85</v>
      </c>
      <c r="F11" s="27" t="s">
        <v>119</v>
      </c>
      <c r="G11" s="28" t="s">
        <v>120</v>
      </c>
      <c r="H11" s="29"/>
      <c r="I11" s="29"/>
      <c r="J11" s="27" t="s">
        <v>121</v>
      </c>
      <c r="K11" s="27" t="s">
        <v>122</v>
      </c>
      <c r="L11" s="27" t="s">
        <v>123</v>
      </c>
      <c r="M11" s="27" t="s">
        <v>124</v>
      </c>
      <c r="N11" s="27" t="s">
        <v>91</v>
      </c>
      <c r="O11" s="27" t="s">
        <v>125</v>
      </c>
      <c r="P11" s="27" t="s">
        <v>93</v>
      </c>
      <c r="Q11" s="36" t="s">
        <v>94</v>
      </c>
      <c r="R11" s="35" t="s">
        <v>92</v>
      </c>
      <c r="S11" s="31" t="s">
        <v>47</v>
      </c>
      <c r="T11" s="32"/>
      <c r="U11" s="32"/>
      <c r="V11" s="33" t="s">
        <v>126</v>
      </c>
      <c r="W11" s="33"/>
      <c r="X11" s="33"/>
      <c r="Y11" s="33"/>
      <c r="Z11" s="33"/>
      <c r="AA11" s="33"/>
      <c r="AB11" s="33"/>
      <c r="AC11" s="33"/>
      <c r="AD11" s="33"/>
      <c r="AE11" s="33"/>
      <c r="AF11" s="33"/>
    </row>
    <row r="12" ht="22.5" customHeight="1">
      <c r="A12" s="23" t="s">
        <v>127</v>
      </c>
      <c r="B12" s="24"/>
      <c r="C12" s="24" t="s">
        <v>34</v>
      </c>
      <c r="D12" s="34" t="s">
        <v>128</v>
      </c>
      <c r="E12" s="27" t="s">
        <v>129</v>
      </c>
      <c r="F12" s="27" t="s">
        <v>52</v>
      </c>
      <c r="G12" s="28" t="s">
        <v>130</v>
      </c>
      <c r="H12" s="29"/>
      <c r="I12" s="29"/>
      <c r="J12" s="27" t="s">
        <v>39</v>
      </c>
      <c r="K12" s="27" t="s">
        <v>77</v>
      </c>
      <c r="L12" s="27" t="s">
        <v>131</v>
      </c>
      <c r="M12" s="27" t="s">
        <v>132</v>
      </c>
      <c r="N12" s="27" t="s">
        <v>43</v>
      </c>
      <c r="O12" s="27" t="s">
        <v>133</v>
      </c>
      <c r="P12" s="27" t="s">
        <v>134</v>
      </c>
      <c r="Q12" s="36" t="s">
        <v>112</v>
      </c>
      <c r="R12" s="35" t="s">
        <v>135</v>
      </c>
      <c r="S12" s="31" t="s">
        <v>47</v>
      </c>
      <c r="T12" s="32"/>
      <c r="U12" s="32"/>
      <c r="V12" s="33" t="s">
        <v>136</v>
      </c>
      <c r="W12" s="33"/>
      <c r="X12" s="33"/>
      <c r="Y12" s="33"/>
      <c r="Z12" s="33"/>
      <c r="AA12" s="33"/>
      <c r="AB12" s="33"/>
      <c r="AC12" s="33"/>
      <c r="AD12" s="33"/>
      <c r="AE12" s="33"/>
      <c r="AF12" s="33"/>
    </row>
    <row r="13" ht="22.5" customHeight="1">
      <c r="A13" s="23" t="s">
        <v>137</v>
      </c>
      <c r="B13" s="24"/>
      <c r="C13" s="24" t="s">
        <v>34</v>
      </c>
      <c r="D13" s="35" t="s">
        <v>138</v>
      </c>
      <c r="E13" s="27" t="s">
        <v>139</v>
      </c>
      <c r="F13" s="27" t="s">
        <v>140</v>
      </c>
      <c r="G13" s="28" t="s">
        <v>141</v>
      </c>
      <c r="H13" s="29"/>
      <c r="I13" s="29"/>
      <c r="J13" s="27" t="s">
        <v>142</v>
      </c>
      <c r="K13" s="27" t="s">
        <v>143</v>
      </c>
      <c r="L13" s="27" t="s">
        <v>144</v>
      </c>
      <c r="M13" s="27" t="s">
        <v>145</v>
      </c>
      <c r="N13" s="27" t="s">
        <v>146</v>
      </c>
      <c r="O13" s="27" t="s">
        <v>133</v>
      </c>
      <c r="P13" s="27"/>
      <c r="Q13" s="37"/>
      <c r="R13" s="38"/>
      <c r="S13" s="31" t="s">
        <v>47</v>
      </c>
      <c r="T13" s="32"/>
      <c r="U13" s="32"/>
      <c r="V13" s="33" t="s">
        <v>147</v>
      </c>
      <c r="W13" s="33"/>
      <c r="X13" s="33"/>
      <c r="Y13" s="33"/>
      <c r="Z13" s="33"/>
      <c r="AA13" s="33"/>
      <c r="AB13" s="33"/>
      <c r="AC13" s="33"/>
      <c r="AD13" s="33"/>
      <c r="AE13" s="33"/>
      <c r="AF13" s="33"/>
    </row>
    <row r="14" ht="22.5" customHeight="1">
      <c r="A14" s="23" t="s">
        <v>148</v>
      </c>
      <c r="B14" s="24"/>
      <c r="C14" s="24" t="s">
        <v>34</v>
      </c>
      <c r="D14" s="34" t="s">
        <v>149</v>
      </c>
      <c r="E14" s="27" t="s">
        <v>65</v>
      </c>
      <c r="F14" s="27" t="s">
        <v>150</v>
      </c>
      <c r="G14" s="28" t="s">
        <v>151</v>
      </c>
      <c r="H14" s="29"/>
      <c r="I14" s="29"/>
      <c r="J14" s="27" t="s">
        <v>121</v>
      </c>
      <c r="K14" s="27" t="s">
        <v>77</v>
      </c>
      <c r="L14" s="27" t="s">
        <v>152</v>
      </c>
      <c r="M14" s="27" t="s">
        <v>153</v>
      </c>
      <c r="N14" s="27" t="s">
        <v>91</v>
      </c>
      <c r="O14" s="27" t="s">
        <v>154</v>
      </c>
      <c r="P14" s="27" t="s">
        <v>155</v>
      </c>
      <c r="Q14" s="36" t="s">
        <v>156</v>
      </c>
      <c r="R14" s="35" t="s">
        <v>157</v>
      </c>
      <c r="S14" s="31" t="s">
        <v>47</v>
      </c>
      <c r="T14" s="32"/>
      <c r="U14" s="32"/>
      <c r="V14" s="33" t="s">
        <v>158</v>
      </c>
      <c r="W14" s="33"/>
      <c r="X14" s="33"/>
      <c r="Y14" s="33"/>
      <c r="Z14" s="33"/>
      <c r="AA14" s="33"/>
      <c r="AB14" s="33"/>
      <c r="AC14" s="33"/>
      <c r="AD14" s="33"/>
      <c r="AE14" s="33"/>
      <c r="AF14" s="33"/>
    </row>
    <row r="15" ht="22.5" customHeight="1">
      <c r="A15" s="23" t="s">
        <v>159</v>
      </c>
      <c r="B15" s="24"/>
      <c r="C15" s="24" t="s">
        <v>34</v>
      </c>
      <c r="D15" s="34" t="s">
        <v>50</v>
      </c>
      <c r="E15" s="27" t="s">
        <v>160</v>
      </c>
      <c r="F15" s="27" t="s">
        <v>52</v>
      </c>
      <c r="G15" s="28" t="s">
        <v>161</v>
      </c>
      <c r="H15" s="29"/>
      <c r="I15" s="29"/>
      <c r="J15" s="27" t="s">
        <v>39</v>
      </c>
      <c r="K15" s="27" t="s">
        <v>162</v>
      </c>
      <c r="L15" s="27" t="s">
        <v>163</v>
      </c>
      <c r="M15" s="27" t="s">
        <v>164</v>
      </c>
      <c r="N15" s="27" t="s">
        <v>43</v>
      </c>
      <c r="O15" s="27" t="s">
        <v>165</v>
      </c>
      <c r="P15" s="27" t="s">
        <v>163</v>
      </c>
      <c r="Q15" s="36" t="s">
        <v>164</v>
      </c>
      <c r="R15" s="35" t="s">
        <v>166</v>
      </c>
      <c r="S15" s="31" t="s">
        <v>47</v>
      </c>
      <c r="T15" s="32"/>
      <c r="U15" s="32"/>
      <c r="V15" s="33" t="s">
        <v>167</v>
      </c>
      <c r="W15" s="33"/>
      <c r="X15" s="33"/>
      <c r="Y15" s="33"/>
      <c r="Z15" s="33"/>
      <c r="AA15" s="33"/>
      <c r="AB15" s="33"/>
      <c r="AC15" s="33"/>
      <c r="AD15" s="33"/>
      <c r="AE15" s="33"/>
      <c r="AF15" s="33"/>
    </row>
    <row r="16" ht="22.5" customHeight="1">
      <c r="A16" s="23" t="s">
        <v>168</v>
      </c>
      <c r="B16" s="24"/>
      <c r="C16" s="24" t="s">
        <v>34</v>
      </c>
      <c r="D16" s="34" t="s">
        <v>108</v>
      </c>
      <c r="E16" s="27" t="s">
        <v>169</v>
      </c>
      <c r="F16" s="27" t="s">
        <v>52</v>
      </c>
      <c r="G16" s="28" t="s">
        <v>170</v>
      </c>
      <c r="H16" s="29"/>
      <c r="I16" s="29"/>
      <c r="J16" s="27" t="s">
        <v>39</v>
      </c>
      <c r="K16" s="27" t="s">
        <v>171</v>
      </c>
      <c r="L16" s="27" t="s">
        <v>172</v>
      </c>
      <c r="M16" s="27" t="s">
        <v>46</v>
      </c>
      <c r="N16" s="27" t="s">
        <v>43</v>
      </c>
      <c r="O16" s="27" t="s">
        <v>166</v>
      </c>
      <c r="P16" s="27" t="s">
        <v>173</v>
      </c>
      <c r="Q16" s="36" t="s">
        <v>174</v>
      </c>
      <c r="R16" s="35" t="s">
        <v>166</v>
      </c>
      <c r="S16" s="31" t="s">
        <v>47</v>
      </c>
      <c r="T16" s="32"/>
      <c r="U16" s="32"/>
      <c r="V16" s="33" t="s">
        <v>175</v>
      </c>
      <c r="W16" s="33"/>
      <c r="X16" s="33"/>
      <c r="Y16" s="33"/>
      <c r="Z16" s="33"/>
      <c r="AA16" s="33"/>
      <c r="AB16" s="33"/>
      <c r="AC16" s="33"/>
      <c r="AD16" s="33"/>
      <c r="AE16" s="33"/>
      <c r="AF16" s="33"/>
    </row>
    <row r="17" ht="22.5" customHeight="1">
      <c r="A17" s="23" t="s">
        <v>176</v>
      </c>
      <c r="B17" s="24"/>
      <c r="C17" s="24" t="s">
        <v>34</v>
      </c>
      <c r="D17" s="34" t="s">
        <v>177</v>
      </c>
      <c r="E17" s="27" t="s">
        <v>51</v>
      </c>
      <c r="F17" s="27" t="s">
        <v>37</v>
      </c>
      <c r="G17" s="28" t="s">
        <v>178</v>
      </c>
      <c r="H17" s="29"/>
      <c r="I17" s="29"/>
      <c r="J17" s="27" t="s">
        <v>39</v>
      </c>
      <c r="K17" s="27" t="s">
        <v>179</v>
      </c>
      <c r="L17" s="27" t="s">
        <v>180</v>
      </c>
      <c r="M17" s="27" t="s">
        <v>181</v>
      </c>
      <c r="N17" s="27" t="s">
        <v>57</v>
      </c>
      <c r="O17" s="27" t="s">
        <v>182</v>
      </c>
      <c r="P17" s="27" t="s">
        <v>183</v>
      </c>
      <c r="Q17" s="36" t="s">
        <v>42</v>
      </c>
      <c r="R17" s="35" t="s">
        <v>184</v>
      </c>
      <c r="S17" s="31" t="s">
        <v>47</v>
      </c>
      <c r="T17" s="32"/>
      <c r="U17" s="32"/>
      <c r="V17" s="33" t="s">
        <v>185</v>
      </c>
      <c r="W17" s="33"/>
      <c r="X17" s="33"/>
      <c r="Y17" s="33"/>
      <c r="Z17" s="33"/>
      <c r="AA17" s="33"/>
      <c r="AB17" s="33"/>
      <c r="AC17" s="33"/>
      <c r="AD17" s="33"/>
      <c r="AE17" s="33"/>
      <c r="AF17" s="33"/>
    </row>
    <row r="18" ht="22.5" customHeight="1">
      <c r="A18" s="23" t="s">
        <v>186</v>
      </c>
      <c r="B18" s="24"/>
      <c r="C18" s="24" t="s">
        <v>34</v>
      </c>
      <c r="D18" s="34" t="s">
        <v>187</v>
      </c>
      <c r="E18" s="27" t="s">
        <v>188</v>
      </c>
      <c r="F18" s="27" t="s">
        <v>86</v>
      </c>
      <c r="G18" s="28" t="s">
        <v>189</v>
      </c>
      <c r="H18" s="29"/>
      <c r="I18" s="29"/>
      <c r="J18" s="27" t="s">
        <v>39</v>
      </c>
      <c r="K18" s="27" t="s">
        <v>179</v>
      </c>
      <c r="L18" s="27" t="s">
        <v>190</v>
      </c>
      <c r="M18" s="27" t="s">
        <v>191</v>
      </c>
      <c r="N18" s="27" t="s">
        <v>57</v>
      </c>
      <c r="O18" s="27" t="s">
        <v>192</v>
      </c>
      <c r="P18" s="27" t="s">
        <v>193</v>
      </c>
      <c r="Q18" s="36" t="s">
        <v>194</v>
      </c>
      <c r="R18" s="35" t="s">
        <v>195</v>
      </c>
      <c r="S18" s="31" t="s">
        <v>47</v>
      </c>
      <c r="T18" s="32"/>
      <c r="U18" s="32"/>
      <c r="V18" s="33" t="s">
        <v>196</v>
      </c>
      <c r="W18" s="33"/>
      <c r="X18" s="33"/>
      <c r="Y18" s="33"/>
      <c r="Z18" s="33"/>
      <c r="AA18" s="33"/>
      <c r="AB18" s="33"/>
      <c r="AC18" s="33"/>
      <c r="AD18" s="33"/>
      <c r="AE18" s="33"/>
      <c r="AF18" s="33"/>
    </row>
    <row r="19" ht="22.5" customHeight="1">
      <c r="A19" s="23" t="s">
        <v>197</v>
      </c>
      <c r="B19" s="24"/>
      <c r="C19" s="24" t="s">
        <v>34</v>
      </c>
      <c r="D19" s="34" t="s">
        <v>198</v>
      </c>
      <c r="E19" s="27" t="s">
        <v>139</v>
      </c>
      <c r="F19" s="27" t="s">
        <v>199</v>
      </c>
      <c r="G19" s="28" t="s">
        <v>200</v>
      </c>
      <c r="H19" s="29"/>
      <c r="I19" s="29"/>
      <c r="J19" s="27" t="s">
        <v>201</v>
      </c>
      <c r="K19" s="27" t="s">
        <v>202</v>
      </c>
      <c r="L19" s="27" t="s">
        <v>123</v>
      </c>
      <c r="M19" s="27" t="s">
        <v>124</v>
      </c>
      <c r="N19" s="39"/>
      <c r="O19" s="27" t="s">
        <v>203</v>
      </c>
      <c r="P19" s="27" t="s">
        <v>204</v>
      </c>
      <c r="Q19" s="36" t="s">
        <v>205</v>
      </c>
      <c r="R19" s="35" t="s">
        <v>206</v>
      </c>
      <c r="S19" s="31" t="s">
        <v>47</v>
      </c>
      <c r="T19" s="32"/>
      <c r="U19" s="32"/>
      <c r="V19" s="33" t="s">
        <v>207</v>
      </c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 ht="22.5" customHeight="1">
      <c r="A20" s="23" t="s">
        <v>208</v>
      </c>
      <c r="B20" s="24"/>
      <c r="C20" s="24" t="s">
        <v>34</v>
      </c>
      <c r="D20" s="34" t="s">
        <v>209</v>
      </c>
      <c r="E20" s="27" t="s">
        <v>169</v>
      </c>
      <c r="F20" s="27" t="s">
        <v>52</v>
      </c>
      <c r="G20" s="28" t="s">
        <v>210</v>
      </c>
      <c r="H20" s="29"/>
      <c r="I20" s="29"/>
      <c r="J20" s="27" t="s">
        <v>39</v>
      </c>
      <c r="K20" s="27" t="s">
        <v>77</v>
      </c>
      <c r="L20" s="27" t="s">
        <v>211</v>
      </c>
      <c r="M20" s="27" t="s">
        <v>212</v>
      </c>
      <c r="N20" s="27" t="s">
        <v>43</v>
      </c>
      <c r="O20" s="27" t="s">
        <v>203</v>
      </c>
      <c r="P20" s="27" t="s">
        <v>213</v>
      </c>
      <c r="Q20" s="36" t="s">
        <v>214</v>
      </c>
      <c r="R20" s="35" t="s">
        <v>203</v>
      </c>
      <c r="S20" s="31" t="s">
        <v>47</v>
      </c>
      <c r="T20" s="32"/>
      <c r="U20" s="32"/>
      <c r="V20" s="33" t="s">
        <v>215</v>
      </c>
      <c r="W20" s="33"/>
      <c r="X20" s="33"/>
      <c r="Y20" s="33"/>
      <c r="Z20" s="33"/>
      <c r="AA20" s="33"/>
      <c r="AB20" s="33"/>
      <c r="AC20" s="33"/>
      <c r="AD20" s="33"/>
      <c r="AE20" s="33"/>
      <c r="AF20" s="33"/>
    </row>
    <row r="21" ht="22.5" customHeight="1">
      <c r="A21" s="23" t="s">
        <v>216</v>
      </c>
      <c r="B21" s="24"/>
      <c r="C21" s="24" t="s">
        <v>34</v>
      </c>
      <c r="D21" s="34" t="s">
        <v>217</v>
      </c>
      <c r="E21" s="27" t="s">
        <v>218</v>
      </c>
      <c r="F21" s="27" t="s">
        <v>37</v>
      </c>
      <c r="G21" s="28" t="s">
        <v>219</v>
      </c>
      <c r="H21" s="29"/>
      <c r="I21" s="29"/>
      <c r="J21" s="27" t="s">
        <v>39</v>
      </c>
      <c r="K21" s="27" t="s">
        <v>77</v>
      </c>
      <c r="L21" s="27" t="s">
        <v>41</v>
      </c>
      <c r="M21" s="27" t="s">
        <v>42</v>
      </c>
      <c r="N21" s="27" t="s">
        <v>91</v>
      </c>
      <c r="O21" s="27" t="s">
        <v>203</v>
      </c>
      <c r="P21" s="26" t="s">
        <v>220</v>
      </c>
      <c r="Q21" s="40" t="s">
        <v>221</v>
      </c>
      <c r="R21" s="35" t="s">
        <v>203</v>
      </c>
      <c r="S21" s="31" t="s">
        <v>47</v>
      </c>
      <c r="T21" s="32"/>
      <c r="U21" s="32"/>
      <c r="V21" s="33" t="s">
        <v>222</v>
      </c>
      <c r="W21" s="33"/>
      <c r="X21" s="33"/>
      <c r="Y21" s="33"/>
      <c r="Z21" s="33"/>
      <c r="AA21" s="33"/>
      <c r="AB21" s="33"/>
      <c r="AC21" s="33"/>
      <c r="AD21" s="33"/>
      <c r="AE21" s="33"/>
      <c r="AF21" s="33"/>
    </row>
    <row r="22" ht="22.5" customHeight="1">
      <c r="A22" s="23" t="s">
        <v>223</v>
      </c>
      <c r="B22" s="24"/>
      <c r="C22" s="24" t="s">
        <v>34</v>
      </c>
      <c r="D22" s="34" t="s">
        <v>224</v>
      </c>
      <c r="E22" s="27" t="s">
        <v>225</v>
      </c>
      <c r="F22" s="27" t="s">
        <v>226</v>
      </c>
      <c r="G22" s="28" t="s">
        <v>227</v>
      </c>
      <c r="H22" s="29"/>
      <c r="I22" s="29"/>
      <c r="J22" s="27" t="s">
        <v>228</v>
      </c>
      <c r="K22" s="27" t="s">
        <v>122</v>
      </c>
      <c r="L22" s="27" t="s">
        <v>229</v>
      </c>
      <c r="M22" s="27" t="s">
        <v>230</v>
      </c>
      <c r="N22" s="27" t="s">
        <v>91</v>
      </c>
      <c r="O22" s="27" t="s">
        <v>203</v>
      </c>
      <c r="P22" s="27" t="s">
        <v>231</v>
      </c>
      <c r="Q22" s="36" t="s">
        <v>232</v>
      </c>
      <c r="R22" s="35" t="s">
        <v>105</v>
      </c>
      <c r="S22" s="31" t="s">
        <v>47</v>
      </c>
      <c r="T22" s="32"/>
      <c r="U22" s="32"/>
      <c r="V22" s="33" t="s">
        <v>233</v>
      </c>
      <c r="W22" s="33"/>
      <c r="X22" s="33"/>
      <c r="Y22" s="33"/>
      <c r="Z22" s="33"/>
      <c r="AA22" s="33"/>
      <c r="AB22" s="33"/>
      <c r="AC22" s="33"/>
      <c r="AD22" s="33"/>
      <c r="AE22" s="33"/>
      <c r="AF22" s="33"/>
    </row>
    <row r="23" ht="22.5" customHeight="1">
      <c r="A23" s="23" t="s">
        <v>234</v>
      </c>
      <c r="B23" s="24"/>
      <c r="C23" s="24" t="s">
        <v>34</v>
      </c>
      <c r="D23" s="34" t="s">
        <v>235</v>
      </c>
      <c r="E23" s="27" t="s">
        <v>139</v>
      </c>
      <c r="F23" s="27" t="s">
        <v>199</v>
      </c>
      <c r="G23" s="28" t="s">
        <v>236</v>
      </c>
      <c r="H23" s="29"/>
      <c r="I23" s="29"/>
      <c r="J23" s="27" t="s">
        <v>39</v>
      </c>
      <c r="K23" s="27" t="s">
        <v>237</v>
      </c>
      <c r="L23" s="27" t="s">
        <v>238</v>
      </c>
      <c r="M23" s="27" t="s">
        <v>239</v>
      </c>
      <c r="N23" s="27" t="s">
        <v>122</v>
      </c>
      <c r="O23" s="27" t="s">
        <v>240</v>
      </c>
      <c r="P23" s="27" t="s">
        <v>204</v>
      </c>
      <c r="Q23" s="36" t="s">
        <v>205</v>
      </c>
      <c r="R23" s="35" t="s">
        <v>241</v>
      </c>
      <c r="S23" s="31" t="s">
        <v>47</v>
      </c>
      <c r="T23" s="32"/>
      <c r="U23" s="32"/>
      <c r="V23" s="33" t="s">
        <v>242</v>
      </c>
      <c r="W23" s="33"/>
      <c r="X23" s="33"/>
      <c r="Y23" s="33"/>
      <c r="Z23" s="33"/>
      <c r="AA23" s="33"/>
      <c r="AB23" s="33"/>
      <c r="AC23" s="33"/>
      <c r="AD23" s="33"/>
      <c r="AE23" s="33"/>
      <c r="AF23" s="33"/>
    </row>
    <row r="24" ht="22.5" customHeight="1">
      <c r="A24" s="23" t="s">
        <v>243</v>
      </c>
      <c r="B24" s="24"/>
      <c r="C24" s="24" t="s">
        <v>34</v>
      </c>
      <c r="D24" s="34" t="s">
        <v>244</v>
      </c>
      <c r="E24" s="27" t="s">
        <v>129</v>
      </c>
      <c r="F24" s="27" t="s">
        <v>52</v>
      </c>
      <c r="G24" s="28" t="s">
        <v>245</v>
      </c>
      <c r="H24" s="29"/>
      <c r="I24" s="29"/>
      <c r="J24" s="27" t="s">
        <v>39</v>
      </c>
      <c r="K24" s="27" t="s">
        <v>246</v>
      </c>
      <c r="L24" s="27" t="s">
        <v>247</v>
      </c>
      <c r="M24" s="27" t="s">
        <v>248</v>
      </c>
      <c r="N24" s="27" t="s">
        <v>91</v>
      </c>
      <c r="O24" s="27" t="s">
        <v>241</v>
      </c>
      <c r="P24" s="27" t="s">
        <v>173</v>
      </c>
      <c r="Q24" s="36" t="s">
        <v>174</v>
      </c>
      <c r="R24" s="35" t="s">
        <v>105</v>
      </c>
      <c r="S24" s="31" t="s">
        <v>47</v>
      </c>
      <c r="T24" s="32"/>
      <c r="U24" s="32"/>
      <c r="V24" s="33" t="s">
        <v>249</v>
      </c>
      <c r="W24" s="33"/>
      <c r="X24" s="33"/>
      <c r="Y24" s="33"/>
      <c r="Z24" s="33"/>
      <c r="AA24" s="33"/>
      <c r="AB24" s="33"/>
      <c r="AC24" s="33"/>
      <c r="AD24" s="33"/>
      <c r="AE24" s="33"/>
      <c r="AF24" s="33"/>
    </row>
    <row r="25" ht="22.5" customHeight="1">
      <c r="A25" s="23" t="s">
        <v>250</v>
      </c>
      <c r="B25" s="24"/>
      <c r="C25" s="24" t="s">
        <v>34</v>
      </c>
      <c r="D25" s="34" t="s">
        <v>128</v>
      </c>
      <c r="E25" s="27" t="s">
        <v>36</v>
      </c>
      <c r="F25" s="27" t="s">
        <v>52</v>
      </c>
      <c r="G25" s="28" t="s">
        <v>251</v>
      </c>
      <c r="H25" s="29"/>
      <c r="I25" s="29"/>
      <c r="J25" s="27" t="s">
        <v>39</v>
      </c>
      <c r="K25" s="27" t="s">
        <v>252</v>
      </c>
      <c r="L25" s="27" t="s">
        <v>253</v>
      </c>
      <c r="M25" s="27" t="s">
        <v>254</v>
      </c>
      <c r="N25" s="27" t="s">
        <v>43</v>
      </c>
      <c r="O25" s="27" t="s">
        <v>241</v>
      </c>
      <c r="P25" s="27" t="s">
        <v>163</v>
      </c>
      <c r="Q25" s="36" t="s">
        <v>164</v>
      </c>
      <c r="R25" s="35" t="s">
        <v>255</v>
      </c>
      <c r="S25" s="31" t="s">
        <v>47</v>
      </c>
      <c r="T25" s="32"/>
      <c r="U25" s="32"/>
      <c r="V25" s="33" t="s">
        <v>256</v>
      </c>
      <c r="W25" s="33"/>
      <c r="X25" s="33"/>
      <c r="Y25" s="33"/>
      <c r="Z25" s="33"/>
      <c r="AA25" s="33"/>
      <c r="AB25" s="33"/>
      <c r="AC25" s="33"/>
      <c r="AD25" s="33"/>
      <c r="AE25" s="33"/>
      <c r="AF25" s="33"/>
    </row>
    <row r="26" ht="22.5" customHeight="1">
      <c r="A26" s="23" t="s">
        <v>257</v>
      </c>
      <c r="B26" s="24"/>
      <c r="C26" s="24" t="s">
        <v>34</v>
      </c>
      <c r="D26" s="34" t="s">
        <v>258</v>
      </c>
      <c r="E26" s="27" t="s">
        <v>218</v>
      </c>
      <c r="F26" s="27" t="s">
        <v>52</v>
      </c>
      <c r="G26" s="28" t="s">
        <v>259</v>
      </c>
      <c r="H26" s="29"/>
      <c r="I26" s="29"/>
      <c r="J26" s="27" t="s">
        <v>39</v>
      </c>
      <c r="K26" s="27" t="s">
        <v>77</v>
      </c>
      <c r="L26" s="27" t="s">
        <v>260</v>
      </c>
      <c r="M26" s="27" t="s">
        <v>205</v>
      </c>
      <c r="N26" s="27" t="s">
        <v>43</v>
      </c>
      <c r="O26" s="27" t="s">
        <v>261</v>
      </c>
      <c r="P26" s="27" t="s">
        <v>262</v>
      </c>
      <c r="Q26" s="36" t="s">
        <v>124</v>
      </c>
      <c r="R26" s="35" t="s">
        <v>263</v>
      </c>
      <c r="S26" s="31" t="s">
        <v>47</v>
      </c>
      <c r="T26" s="32"/>
      <c r="U26" s="32"/>
      <c r="V26" s="33" t="s">
        <v>264</v>
      </c>
      <c r="W26" s="33"/>
      <c r="X26" s="33"/>
      <c r="Y26" s="33"/>
      <c r="Z26" s="33"/>
      <c r="AA26" s="33"/>
      <c r="AB26" s="33"/>
      <c r="AC26" s="33"/>
      <c r="AD26" s="33"/>
      <c r="AE26" s="33"/>
      <c r="AF26" s="33"/>
    </row>
    <row r="27" ht="22.5" customHeight="1">
      <c r="A27" s="23" t="s">
        <v>265</v>
      </c>
      <c r="B27" s="24"/>
      <c r="C27" s="24" t="s">
        <v>34</v>
      </c>
      <c r="D27" s="34" t="s">
        <v>266</v>
      </c>
      <c r="E27" s="27" t="s">
        <v>51</v>
      </c>
      <c r="F27" s="27" t="s">
        <v>37</v>
      </c>
      <c r="G27" s="28" t="s">
        <v>267</v>
      </c>
      <c r="H27" s="29"/>
      <c r="I27" s="29"/>
      <c r="J27" s="27" t="s">
        <v>39</v>
      </c>
      <c r="K27" s="27" t="s">
        <v>268</v>
      </c>
      <c r="L27" s="27" t="s">
        <v>269</v>
      </c>
      <c r="M27" s="27" t="s">
        <v>104</v>
      </c>
      <c r="N27" s="27" t="s">
        <v>57</v>
      </c>
      <c r="O27" s="27" t="s">
        <v>105</v>
      </c>
      <c r="P27" s="27" t="s">
        <v>270</v>
      </c>
      <c r="Q27" s="36" t="s">
        <v>271</v>
      </c>
      <c r="R27" s="35" t="s">
        <v>263</v>
      </c>
      <c r="S27" s="31" t="s">
        <v>47</v>
      </c>
      <c r="T27" s="32"/>
      <c r="U27" s="32"/>
      <c r="V27" s="33" t="s">
        <v>272</v>
      </c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8" ht="22.5" customHeight="1">
      <c r="A28" s="23" t="s">
        <v>273</v>
      </c>
      <c r="B28" s="24"/>
      <c r="C28" s="24" t="s">
        <v>34</v>
      </c>
      <c r="D28" s="34" t="s">
        <v>274</v>
      </c>
      <c r="E28" s="27" t="s">
        <v>36</v>
      </c>
      <c r="F28" s="27" t="s">
        <v>37</v>
      </c>
      <c r="G28" s="28" t="s">
        <v>275</v>
      </c>
      <c r="H28" s="29"/>
      <c r="I28" s="29"/>
      <c r="J28" s="27" t="s">
        <v>39</v>
      </c>
      <c r="K28" s="27" t="s">
        <v>77</v>
      </c>
      <c r="L28" s="27" t="s">
        <v>173</v>
      </c>
      <c r="M28" s="36" t="s">
        <v>174</v>
      </c>
      <c r="N28" s="27" t="s">
        <v>276</v>
      </c>
      <c r="O28" s="27" t="s">
        <v>263</v>
      </c>
      <c r="P28" s="27" t="s">
        <v>277</v>
      </c>
      <c r="Q28" s="36" t="s">
        <v>278</v>
      </c>
      <c r="R28" s="35" t="s">
        <v>279</v>
      </c>
      <c r="S28" s="31" t="s">
        <v>47</v>
      </c>
      <c r="T28" s="32"/>
      <c r="U28" s="32"/>
      <c r="V28" s="33" t="s">
        <v>280</v>
      </c>
      <c r="W28" s="33"/>
      <c r="X28" s="33"/>
      <c r="Y28" s="33"/>
      <c r="Z28" s="33"/>
      <c r="AA28" s="33"/>
      <c r="AB28" s="33"/>
      <c r="AC28" s="33"/>
      <c r="AD28" s="33"/>
      <c r="AE28" s="33"/>
      <c r="AF28" s="33"/>
    </row>
    <row r="29" ht="22.5" customHeight="1">
      <c r="A29" s="23" t="s">
        <v>281</v>
      </c>
      <c r="B29" s="24"/>
      <c r="C29" s="24" t="s">
        <v>34</v>
      </c>
      <c r="D29" s="34" t="s">
        <v>282</v>
      </c>
      <c r="E29" s="27" t="s">
        <v>283</v>
      </c>
      <c r="F29" s="27" t="s">
        <v>52</v>
      </c>
      <c r="G29" s="41" t="s">
        <v>284</v>
      </c>
      <c r="H29" s="42"/>
      <c r="I29" s="42"/>
      <c r="J29" s="27" t="s">
        <v>39</v>
      </c>
      <c r="K29" s="27" t="s">
        <v>77</v>
      </c>
      <c r="L29" s="27" t="s">
        <v>285</v>
      </c>
      <c r="M29" s="27" t="s">
        <v>286</v>
      </c>
      <c r="N29" s="27" t="s">
        <v>287</v>
      </c>
      <c r="O29" s="27" t="s">
        <v>288</v>
      </c>
      <c r="P29" s="27" t="s">
        <v>289</v>
      </c>
      <c r="Q29" s="27" t="s">
        <v>290</v>
      </c>
      <c r="R29" s="39"/>
      <c r="S29" s="31" t="s">
        <v>47</v>
      </c>
      <c r="T29" s="32"/>
      <c r="U29" s="32"/>
      <c r="V29" s="33" t="s">
        <v>291</v>
      </c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 ht="22.5" customHeight="1">
      <c r="A30" s="23" t="s">
        <v>292</v>
      </c>
      <c r="B30" s="24"/>
      <c r="C30" s="24" t="s">
        <v>34</v>
      </c>
      <c r="D30" s="34" t="s">
        <v>118</v>
      </c>
      <c r="E30" s="27" t="s">
        <v>85</v>
      </c>
      <c r="F30" s="27" t="s">
        <v>52</v>
      </c>
      <c r="G30" s="28" t="s">
        <v>120</v>
      </c>
      <c r="H30" s="29"/>
      <c r="I30" s="29"/>
      <c r="J30" s="27" t="s">
        <v>228</v>
      </c>
      <c r="K30" s="27" t="s">
        <v>122</v>
      </c>
      <c r="L30" s="27" t="s">
        <v>93</v>
      </c>
      <c r="M30" s="27" t="s">
        <v>94</v>
      </c>
      <c r="N30" s="27" t="s">
        <v>91</v>
      </c>
      <c r="O30" s="43">
        <v>45600.0</v>
      </c>
      <c r="P30" s="44" t="s">
        <v>293</v>
      </c>
      <c r="Q30" s="36" t="s">
        <v>294</v>
      </c>
      <c r="R30" s="35" t="s">
        <v>295</v>
      </c>
      <c r="S30" s="31" t="s">
        <v>47</v>
      </c>
      <c r="T30" s="32"/>
      <c r="U30" s="32"/>
      <c r="V30" s="33" t="s">
        <v>296</v>
      </c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ht="22.5" customHeight="1">
      <c r="A31" s="23" t="s">
        <v>297</v>
      </c>
      <c r="B31" s="24"/>
      <c r="C31" s="24" t="s">
        <v>34</v>
      </c>
      <c r="D31" s="34" t="s">
        <v>298</v>
      </c>
      <c r="E31" s="27" t="s">
        <v>85</v>
      </c>
      <c r="F31" s="27" t="s">
        <v>52</v>
      </c>
      <c r="G31" s="28" t="s">
        <v>299</v>
      </c>
      <c r="H31" s="29"/>
      <c r="I31" s="29"/>
      <c r="J31" s="27" t="s">
        <v>228</v>
      </c>
      <c r="K31" s="27" t="s">
        <v>122</v>
      </c>
      <c r="L31" s="27" t="s">
        <v>204</v>
      </c>
      <c r="M31" s="27" t="s">
        <v>205</v>
      </c>
      <c r="N31" s="27" t="s">
        <v>91</v>
      </c>
      <c r="O31" s="43">
        <v>45601.0</v>
      </c>
      <c r="P31" s="44" t="s">
        <v>163</v>
      </c>
      <c r="Q31" s="36" t="s">
        <v>164</v>
      </c>
      <c r="R31" s="35" t="s">
        <v>300</v>
      </c>
      <c r="S31" s="31" t="s">
        <v>47</v>
      </c>
      <c r="T31" s="32"/>
      <c r="U31" s="32"/>
      <c r="V31" s="33" t="s">
        <v>301</v>
      </c>
      <c r="W31" s="33"/>
      <c r="X31" s="33"/>
      <c r="Y31" s="33"/>
      <c r="Z31" s="33"/>
      <c r="AA31" s="33"/>
      <c r="AB31" s="33"/>
      <c r="AC31" s="33"/>
      <c r="AD31" s="33"/>
      <c r="AE31" s="33"/>
      <c r="AF31" s="33"/>
    </row>
    <row r="32" ht="22.5" customHeight="1">
      <c r="A32" s="23" t="s">
        <v>302</v>
      </c>
      <c r="B32" s="24"/>
      <c r="C32" s="24" t="s">
        <v>34</v>
      </c>
      <c r="D32" s="34" t="s">
        <v>303</v>
      </c>
      <c r="E32" s="27" t="s">
        <v>85</v>
      </c>
      <c r="F32" s="27" t="s">
        <v>86</v>
      </c>
      <c r="G32" s="28" t="s">
        <v>304</v>
      </c>
      <c r="H32" s="29"/>
      <c r="I32" s="29"/>
      <c r="J32" s="27" t="s">
        <v>39</v>
      </c>
      <c r="K32" s="27" t="s">
        <v>305</v>
      </c>
      <c r="L32" s="27" t="s">
        <v>93</v>
      </c>
      <c r="M32" s="27" t="s">
        <v>94</v>
      </c>
      <c r="N32" s="27" t="s">
        <v>91</v>
      </c>
      <c r="O32" s="43">
        <v>45602.0</v>
      </c>
      <c r="P32" s="44" t="s">
        <v>306</v>
      </c>
      <c r="Q32" s="36" t="s">
        <v>307</v>
      </c>
      <c r="R32" s="35" t="s">
        <v>308</v>
      </c>
      <c r="S32" s="31" t="s">
        <v>47</v>
      </c>
      <c r="T32" s="32"/>
      <c r="U32" s="32"/>
      <c r="V32" s="33" t="s">
        <v>309</v>
      </c>
      <c r="W32" s="33"/>
      <c r="X32" s="33"/>
      <c r="Y32" s="33"/>
      <c r="Z32" s="33"/>
      <c r="AA32" s="33"/>
      <c r="AB32" s="33"/>
      <c r="AC32" s="33"/>
      <c r="AD32" s="33"/>
      <c r="AE32" s="33"/>
      <c r="AF32" s="33"/>
    </row>
    <row r="33" ht="22.5" customHeight="1">
      <c r="A33" s="23" t="s">
        <v>310</v>
      </c>
      <c r="B33" s="24"/>
      <c r="C33" s="24" t="s">
        <v>34</v>
      </c>
      <c r="D33" s="34" t="s">
        <v>84</v>
      </c>
      <c r="E33" s="27" t="s">
        <v>311</v>
      </c>
      <c r="F33" s="27" t="s">
        <v>86</v>
      </c>
      <c r="G33" s="28" t="s">
        <v>312</v>
      </c>
      <c r="H33" s="29"/>
      <c r="I33" s="29"/>
      <c r="J33" s="27" t="s">
        <v>39</v>
      </c>
      <c r="K33" s="27" t="s">
        <v>313</v>
      </c>
      <c r="L33" s="27" t="s">
        <v>41</v>
      </c>
      <c r="M33" s="27" t="s">
        <v>42</v>
      </c>
      <c r="N33" s="27" t="s">
        <v>91</v>
      </c>
      <c r="O33" s="43">
        <v>45607.0</v>
      </c>
      <c r="P33" s="44" t="s">
        <v>262</v>
      </c>
      <c r="Q33" s="36" t="s">
        <v>124</v>
      </c>
      <c r="R33" s="35" t="s">
        <v>314</v>
      </c>
      <c r="S33" s="31" t="s">
        <v>47</v>
      </c>
      <c r="T33" s="32"/>
      <c r="U33" s="32"/>
      <c r="V33" s="33" t="s">
        <v>315</v>
      </c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34" ht="22.5" customHeight="1">
      <c r="A34" s="23" t="s">
        <v>316</v>
      </c>
      <c r="B34" s="24"/>
      <c r="C34" s="24" t="s">
        <v>34</v>
      </c>
      <c r="D34" s="34" t="s">
        <v>317</v>
      </c>
      <c r="E34" s="27" t="s">
        <v>65</v>
      </c>
      <c r="F34" s="27" t="s">
        <v>318</v>
      </c>
      <c r="G34" s="28" t="s">
        <v>319</v>
      </c>
      <c r="H34" s="29"/>
      <c r="I34" s="29"/>
      <c r="J34" s="27" t="s">
        <v>228</v>
      </c>
      <c r="K34" s="27" t="s">
        <v>122</v>
      </c>
      <c r="L34" s="27" t="s">
        <v>320</v>
      </c>
      <c r="M34" s="27" t="s">
        <v>321</v>
      </c>
      <c r="N34" s="27" t="s">
        <v>91</v>
      </c>
      <c r="O34" s="45">
        <v>45610.0</v>
      </c>
      <c r="P34" s="44" t="s">
        <v>93</v>
      </c>
      <c r="Q34" s="36" t="s">
        <v>94</v>
      </c>
      <c r="R34" s="35" t="s">
        <v>322</v>
      </c>
      <c r="S34" s="31" t="s">
        <v>47</v>
      </c>
      <c r="T34" s="32"/>
      <c r="U34" s="32"/>
      <c r="V34" s="33" t="s">
        <v>323</v>
      </c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35" ht="22.5" customHeight="1">
      <c r="A35" s="23" t="s">
        <v>324</v>
      </c>
      <c r="B35" s="24"/>
      <c r="C35" s="24" t="s">
        <v>34</v>
      </c>
      <c r="D35" s="34" t="s">
        <v>177</v>
      </c>
      <c r="E35" s="27" t="s">
        <v>51</v>
      </c>
      <c r="F35" s="27" t="s">
        <v>52</v>
      </c>
      <c r="G35" s="28" t="s">
        <v>325</v>
      </c>
      <c r="H35" s="29"/>
      <c r="I35" s="29"/>
      <c r="J35" s="27" t="s">
        <v>39</v>
      </c>
      <c r="K35" s="27" t="s">
        <v>326</v>
      </c>
      <c r="L35" s="27" t="s">
        <v>327</v>
      </c>
      <c r="M35" s="27" t="s">
        <v>278</v>
      </c>
      <c r="N35" s="27" t="s">
        <v>91</v>
      </c>
      <c r="O35" s="43">
        <v>45602.0</v>
      </c>
      <c r="P35" s="44" t="s">
        <v>262</v>
      </c>
      <c r="Q35" s="36" t="s">
        <v>124</v>
      </c>
      <c r="R35" s="35" t="s">
        <v>328</v>
      </c>
      <c r="S35" s="31" t="s">
        <v>47</v>
      </c>
      <c r="T35" s="32"/>
      <c r="U35" s="32"/>
      <c r="V35" s="33" t="s">
        <v>329</v>
      </c>
      <c r="W35" s="33"/>
      <c r="X35" s="33"/>
      <c r="Y35" s="33"/>
      <c r="Z35" s="33"/>
      <c r="AA35" s="33"/>
      <c r="AB35" s="33"/>
      <c r="AC35" s="33"/>
      <c r="AD35" s="33"/>
      <c r="AE35" s="33"/>
      <c r="AF35" s="33"/>
    </row>
    <row r="36" ht="22.5" customHeight="1">
      <c r="A36" s="23" t="s">
        <v>330</v>
      </c>
      <c r="B36" s="24"/>
      <c r="C36" s="24" t="s">
        <v>34</v>
      </c>
      <c r="D36" s="34" t="s">
        <v>303</v>
      </c>
      <c r="E36" s="27" t="s">
        <v>65</v>
      </c>
      <c r="F36" s="27" t="s">
        <v>86</v>
      </c>
      <c r="G36" s="28" t="s">
        <v>331</v>
      </c>
      <c r="H36" s="29"/>
      <c r="I36" s="29"/>
      <c r="J36" s="27" t="s">
        <v>39</v>
      </c>
      <c r="K36" s="27" t="s">
        <v>332</v>
      </c>
      <c r="L36" s="27" t="s">
        <v>333</v>
      </c>
      <c r="M36" s="27" t="s">
        <v>254</v>
      </c>
      <c r="N36" s="27" t="s">
        <v>91</v>
      </c>
      <c r="O36" s="45">
        <v>45614.0</v>
      </c>
      <c r="P36" s="44" t="s">
        <v>334</v>
      </c>
      <c r="Q36" s="36" t="s">
        <v>286</v>
      </c>
      <c r="R36" s="35" t="s">
        <v>335</v>
      </c>
      <c r="S36" s="31" t="s">
        <v>47</v>
      </c>
      <c r="T36" s="32"/>
      <c r="U36" s="32"/>
      <c r="V36" s="33" t="s">
        <v>336</v>
      </c>
      <c r="W36" s="33"/>
      <c r="X36" s="33"/>
      <c r="Y36" s="33"/>
      <c r="Z36" s="33"/>
      <c r="AA36" s="33"/>
      <c r="AB36" s="33"/>
      <c r="AC36" s="33"/>
      <c r="AD36" s="33"/>
      <c r="AE36" s="33"/>
      <c r="AF36" s="33"/>
    </row>
    <row r="37" ht="22.5" customHeight="1">
      <c r="A37" s="23" t="s">
        <v>337</v>
      </c>
      <c r="B37" s="24"/>
      <c r="C37" s="24" t="s">
        <v>34</v>
      </c>
      <c r="D37" s="34" t="s">
        <v>50</v>
      </c>
      <c r="E37" s="27" t="s">
        <v>160</v>
      </c>
      <c r="F37" s="27" t="s">
        <v>338</v>
      </c>
      <c r="G37" s="28" t="s">
        <v>339</v>
      </c>
      <c r="H37" s="29"/>
      <c r="I37" s="29"/>
      <c r="J37" s="27" t="s">
        <v>39</v>
      </c>
      <c r="K37" s="27" t="s">
        <v>340</v>
      </c>
      <c r="L37" s="27" t="s">
        <v>341</v>
      </c>
      <c r="M37" s="27" t="s">
        <v>342</v>
      </c>
      <c r="N37" s="27" t="s">
        <v>43</v>
      </c>
      <c r="O37" s="45">
        <v>45614.0</v>
      </c>
      <c r="P37" s="46" t="s">
        <v>343</v>
      </c>
      <c r="Q37" s="47" t="s">
        <v>344</v>
      </c>
      <c r="R37" s="35" t="s">
        <v>345</v>
      </c>
      <c r="S37" s="31" t="s">
        <v>47</v>
      </c>
      <c r="T37" s="32"/>
      <c r="U37" s="32"/>
      <c r="V37" s="33" t="s">
        <v>346</v>
      </c>
      <c r="W37" s="33"/>
      <c r="X37" s="33"/>
      <c r="Y37" s="33"/>
      <c r="Z37" s="33"/>
      <c r="AA37" s="33"/>
      <c r="AB37" s="33"/>
      <c r="AC37" s="33"/>
      <c r="AD37" s="33"/>
      <c r="AE37" s="33"/>
      <c r="AF37" s="33"/>
    </row>
    <row r="38" ht="22.5" customHeight="1">
      <c r="A38" s="23" t="s">
        <v>347</v>
      </c>
      <c r="B38" s="24"/>
      <c r="C38" s="24" t="s">
        <v>34</v>
      </c>
      <c r="D38" s="34" t="s">
        <v>348</v>
      </c>
      <c r="E38" s="27" t="s">
        <v>169</v>
      </c>
      <c r="F38" s="27" t="s">
        <v>52</v>
      </c>
      <c r="G38" s="28" t="s">
        <v>349</v>
      </c>
      <c r="H38" s="29"/>
      <c r="I38" s="29"/>
      <c r="J38" s="27" t="s">
        <v>39</v>
      </c>
      <c r="K38" s="27" t="s">
        <v>326</v>
      </c>
      <c r="L38" s="27" t="s">
        <v>350</v>
      </c>
      <c r="M38" s="27" t="s">
        <v>101</v>
      </c>
      <c r="N38" s="27" t="s">
        <v>43</v>
      </c>
      <c r="O38" s="45">
        <v>45615.0</v>
      </c>
      <c r="P38" s="44" t="s">
        <v>351</v>
      </c>
      <c r="Q38" s="36" t="s">
        <v>352</v>
      </c>
      <c r="R38" s="35"/>
      <c r="S38" s="31" t="s">
        <v>353</v>
      </c>
      <c r="T38" s="32"/>
      <c r="U38" s="32"/>
      <c r="V38" s="33" t="s">
        <v>354</v>
      </c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ht="22.5" customHeight="1">
      <c r="A39" s="23" t="s">
        <v>355</v>
      </c>
      <c r="B39" s="24"/>
      <c r="C39" s="24" t="s">
        <v>34</v>
      </c>
      <c r="D39" s="34" t="s">
        <v>356</v>
      </c>
      <c r="E39" s="27" t="s">
        <v>283</v>
      </c>
      <c r="F39" s="27" t="s">
        <v>52</v>
      </c>
      <c r="G39" s="28" t="s">
        <v>357</v>
      </c>
      <c r="H39" s="29"/>
      <c r="I39" s="29"/>
      <c r="J39" s="27" t="s">
        <v>39</v>
      </c>
      <c r="K39" s="27" t="s">
        <v>358</v>
      </c>
      <c r="L39" s="27" t="s">
        <v>350</v>
      </c>
      <c r="M39" s="27" t="s">
        <v>101</v>
      </c>
      <c r="N39" s="27" t="s">
        <v>43</v>
      </c>
      <c r="O39" s="45">
        <v>45615.0</v>
      </c>
      <c r="P39" s="44" t="s">
        <v>45</v>
      </c>
      <c r="Q39" s="27" t="s">
        <v>46</v>
      </c>
      <c r="R39" s="35" t="s">
        <v>335</v>
      </c>
      <c r="S39" s="31" t="s">
        <v>359</v>
      </c>
      <c r="T39" s="32"/>
      <c r="U39" s="32"/>
      <c r="V39" s="33" t="s">
        <v>360</v>
      </c>
      <c r="W39" s="33"/>
      <c r="X39" s="33"/>
      <c r="Y39" s="33"/>
      <c r="Z39" s="33"/>
      <c r="AA39" s="33"/>
      <c r="AB39" s="33"/>
      <c r="AC39" s="33"/>
      <c r="AD39" s="33"/>
      <c r="AE39" s="33"/>
      <c r="AF39" s="33"/>
    </row>
    <row r="40" ht="22.5" customHeight="1">
      <c r="A40" s="23" t="s">
        <v>361</v>
      </c>
      <c r="B40" s="24"/>
      <c r="C40" s="24" t="s">
        <v>34</v>
      </c>
      <c r="D40" s="34" t="s">
        <v>362</v>
      </c>
      <c r="E40" s="27" t="s">
        <v>65</v>
      </c>
      <c r="F40" s="27" t="s">
        <v>52</v>
      </c>
      <c r="G40" s="28" t="s">
        <v>363</v>
      </c>
      <c r="H40" s="29"/>
      <c r="I40" s="29"/>
      <c r="J40" s="27" t="s">
        <v>39</v>
      </c>
      <c r="K40" s="27" t="s">
        <v>358</v>
      </c>
      <c r="L40" s="27" t="s">
        <v>172</v>
      </c>
      <c r="M40" s="27" t="s">
        <v>46</v>
      </c>
      <c r="N40" s="27" t="s">
        <v>43</v>
      </c>
      <c r="O40" s="45">
        <v>45615.0</v>
      </c>
      <c r="P40" s="44" t="s">
        <v>364</v>
      </c>
      <c r="Q40" s="36" t="s">
        <v>365</v>
      </c>
      <c r="R40" s="34" t="s">
        <v>366</v>
      </c>
      <c r="S40" s="48" t="s">
        <v>47</v>
      </c>
      <c r="T40" s="32"/>
      <c r="U40" s="32"/>
      <c r="V40" s="33" t="s">
        <v>367</v>
      </c>
      <c r="W40" s="33"/>
      <c r="X40" s="33"/>
      <c r="Y40" s="33"/>
      <c r="Z40" s="33"/>
      <c r="AA40" s="33"/>
      <c r="AB40" s="33"/>
      <c r="AC40" s="33"/>
      <c r="AD40" s="33"/>
      <c r="AE40" s="33"/>
      <c r="AF40" s="33"/>
    </row>
    <row r="41" ht="22.5" customHeight="1">
      <c r="A41" s="23" t="s">
        <v>368</v>
      </c>
      <c r="B41" s="24"/>
      <c r="C41" s="24" t="s">
        <v>34</v>
      </c>
      <c r="D41" s="34" t="s">
        <v>369</v>
      </c>
      <c r="E41" s="27" t="s">
        <v>370</v>
      </c>
      <c r="F41" s="27" t="s">
        <v>37</v>
      </c>
      <c r="G41" s="28" t="s">
        <v>371</v>
      </c>
      <c r="H41" s="29"/>
      <c r="I41" s="29"/>
      <c r="J41" s="27" t="s">
        <v>39</v>
      </c>
      <c r="K41" s="27" t="s">
        <v>358</v>
      </c>
      <c r="L41" s="27" t="s">
        <v>372</v>
      </c>
      <c r="M41" s="49" t="s">
        <v>373</v>
      </c>
      <c r="N41" s="27" t="s">
        <v>43</v>
      </c>
      <c r="O41" s="45">
        <v>45616.0</v>
      </c>
      <c r="P41" s="44" t="s">
        <v>134</v>
      </c>
      <c r="Q41" s="36" t="s">
        <v>112</v>
      </c>
      <c r="R41" s="34" t="s">
        <v>374</v>
      </c>
      <c r="S41" s="48" t="s">
        <v>375</v>
      </c>
      <c r="T41" s="32"/>
      <c r="U41" s="32"/>
      <c r="V41" s="33" t="s">
        <v>376</v>
      </c>
      <c r="W41" s="33"/>
      <c r="X41" s="33"/>
      <c r="Y41" s="33"/>
      <c r="Z41" s="33"/>
      <c r="AA41" s="33"/>
      <c r="AB41" s="33"/>
      <c r="AC41" s="33"/>
      <c r="AD41" s="33"/>
      <c r="AE41" s="33"/>
      <c r="AF41" s="33"/>
    </row>
    <row r="42" ht="22.5" customHeight="1">
      <c r="A42" s="23" t="s">
        <v>377</v>
      </c>
      <c r="B42" s="24"/>
      <c r="C42" s="24" t="s">
        <v>34</v>
      </c>
      <c r="D42" s="34" t="s">
        <v>369</v>
      </c>
      <c r="E42" s="27" t="s">
        <v>378</v>
      </c>
      <c r="F42" s="27" t="s">
        <v>52</v>
      </c>
      <c r="G42" s="28" t="s">
        <v>379</v>
      </c>
      <c r="H42" s="29"/>
      <c r="I42" s="29"/>
      <c r="J42" s="27" t="s">
        <v>39</v>
      </c>
      <c r="K42" s="27" t="s">
        <v>358</v>
      </c>
      <c r="L42" s="27" t="s">
        <v>372</v>
      </c>
      <c r="M42" s="50" t="s">
        <v>373</v>
      </c>
      <c r="N42" s="27" t="s">
        <v>43</v>
      </c>
      <c r="O42" s="45">
        <v>45616.0</v>
      </c>
      <c r="P42" s="44" t="s">
        <v>334</v>
      </c>
      <c r="Q42" s="36" t="s">
        <v>286</v>
      </c>
      <c r="R42" s="35" t="s">
        <v>345</v>
      </c>
      <c r="S42" s="51"/>
      <c r="T42" s="52"/>
      <c r="U42" s="52"/>
      <c r="V42" s="33" t="s">
        <v>380</v>
      </c>
      <c r="W42" s="33"/>
      <c r="X42" s="33"/>
      <c r="Y42" s="33"/>
      <c r="Z42" s="33"/>
      <c r="AA42" s="33"/>
      <c r="AB42" s="33"/>
      <c r="AC42" s="33"/>
      <c r="AD42" s="33"/>
      <c r="AE42" s="33"/>
      <c r="AF42" s="33"/>
    </row>
    <row r="43" ht="22.5" customHeight="1">
      <c r="A43" s="23" t="s">
        <v>381</v>
      </c>
      <c r="B43" s="24"/>
      <c r="C43" s="24" t="s">
        <v>34</v>
      </c>
      <c r="D43" s="34" t="s">
        <v>382</v>
      </c>
      <c r="E43" s="27" t="s">
        <v>85</v>
      </c>
      <c r="F43" s="27" t="s">
        <v>52</v>
      </c>
      <c r="G43" s="53"/>
      <c r="H43" s="54"/>
      <c r="I43" s="54"/>
      <c r="J43" s="27" t="s">
        <v>39</v>
      </c>
      <c r="K43" s="27" t="s">
        <v>383</v>
      </c>
      <c r="L43" s="27" t="s">
        <v>384</v>
      </c>
      <c r="M43" s="27" t="s">
        <v>385</v>
      </c>
      <c r="N43" s="27" t="s">
        <v>91</v>
      </c>
      <c r="O43" s="45">
        <v>45611.0</v>
      </c>
      <c r="P43" s="44" t="s">
        <v>386</v>
      </c>
      <c r="Q43" s="36" t="s">
        <v>387</v>
      </c>
      <c r="R43" s="35" t="s">
        <v>388</v>
      </c>
      <c r="S43" s="31" t="s">
        <v>47</v>
      </c>
      <c r="T43" s="32"/>
      <c r="U43" s="32"/>
      <c r="V43" s="33" t="s">
        <v>389</v>
      </c>
      <c r="W43" s="33"/>
      <c r="X43" s="33"/>
      <c r="Y43" s="33"/>
      <c r="Z43" s="33"/>
      <c r="AA43" s="33"/>
      <c r="AB43" s="33"/>
      <c r="AC43" s="33"/>
      <c r="AD43" s="33"/>
      <c r="AE43" s="33"/>
      <c r="AF43" s="33"/>
    </row>
    <row r="44" ht="22.5" customHeight="1">
      <c r="A44" s="23" t="s">
        <v>390</v>
      </c>
      <c r="B44" s="24"/>
      <c r="C44" s="24" t="s">
        <v>34</v>
      </c>
      <c r="D44" s="34" t="s">
        <v>391</v>
      </c>
      <c r="E44" s="27" t="s">
        <v>392</v>
      </c>
      <c r="F44" s="27" t="s">
        <v>52</v>
      </c>
      <c r="G44" s="28" t="s">
        <v>393</v>
      </c>
      <c r="H44" s="29"/>
      <c r="I44" s="29"/>
      <c r="J44" s="27" t="s">
        <v>39</v>
      </c>
      <c r="K44" s="27" t="s">
        <v>358</v>
      </c>
      <c r="L44" s="27" t="s">
        <v>394</v>
      </c>
      <c r="M44" s="27" t="s">
        <v>395</v>
      </c>
      <c r="N44" s="27" t="s">
        <v>43</v>
      </c>
      <c r="O44" s="45">
        <v>45611.0</v>
      </c>
      <c r="P44" s="44" t="s">
        <v>193</v>
      </c>
      <c r="Q44" s="36" t="s">
        <v>194</v>
      </c>
      <c r="R44" s="35" t="s">
        <v>328</v>
      </c>
      <c r="S44" s="31" t="s">
        <v>47</v>
      </c>
      <c r="T44" s="32"/>
      <c r="U44" s="32"/>
      <c r="V44" s="33" t="s">
        <v>396</v>
      </c>
      <c r="W44" s="33"/>
      <c r="X44" s="33"/>
      <c r="Y44" s="33"/>
      <c r="Z44" s="33"/>
      <c r="AA44" s="33"/>
      <c r="AB44" s="33"/>
      <c r="AC44" s="33"/>
      <c r="AD44" s="33"/>
      <c r="AE44" s="33"/>
      <c r="AF44" s="33"/>
    </row>
    <row r="45" ht="22.5" customHeight="1">
      <c r="A45" s="23" t="s">
        <v>397</v>
      </c>
      <c r="B45" s="24"/>
      <c r="C45" s="24" t="s">
        <v>34</v>
      </c>
      <c r="D45" s="34" t="s">
        <v>398</v>
      </c>
      <c r="E45" s="27" t="s">
        <v>399</v>
      </c>
      <c r="F45" s="27" t="s">
        <v>37</v>
      </c>
      <c r="G45" s="28" t="s">
        <v>400</v>
      </c>
      <c r="H45" s="29"/>
      <c r="I45" s="29"/>
      <c r="J45" s="27" t="s">
        <v>39</v>
      </c>
      <c r="K45" s="27" t="s">
        <v>401</v>
      </c>
      <c r="L45" s="27" t="s">
        <v>402</v>
      </c>
      <c r="M45" s="27" t="s">
        <v>352</v>
      </c>
      <c r="N45" s="27" t="s">
        <v>91</v>
      </c>
      <c r="O45" s="45">
        <v>45615.0</v>
      </c>
      <c r="P45" s="44" t="s">
        <v>334</v>
      </c>
      <c r="Q45" s="36" t="s">
        <v>286</v>
      </c>
      <c r="R45" s="35" t="s">
        <v>403</v>
      </c>
      <c r="S45" s="48" t="s">
        <v>47</v>
      </c>
      <c r="T45" s="32"/>
      <c r="U45" s="32"/>
      <c r="V45" s="33" t="s">
        <v>404</v>
      </c>
      <c r="W45" s="33"/>
      <c r="X45" s="33"/>
      <c r="Y45" s="33"/>
      <c r="Z45" s="33"/>
      <c r="AA45" s="33"/>
      <c r="AB45" s="33"/>
      <c r="AC45" s="33"/>
      <c r="AD45" s="33"/>
      <c r="AE45" s="33"/>
      <c r="AF45" s="33"/>
    </row>
    <row r="46" ht="22.5" customHeight="1">
      <c r="A46" s="23" t="s">
        <v>405</v>
      </c>
      <c r="B46" s="24"/>
      <c r="C46" s="24" t="s">
        <v>34</v>
      </c>
      <c r="D46" s="34" t="s">
        <v>406</v>
      </c>
      <c r="E46" s="27" t="s">
        <v>407</v>
      </c>
      <c r="F46" s="27" t="s">
        <v>86</v>
      </c>
      <c r="G46" s="28" t="s">
        <v>408</v>
      </c>
      <c r="H46" s="29"/>
      <c r="I46" s="29"/>
      <c r="J46" s="27" t="s">
        <v>39</v>
      </c>
      <c r="K46" s="27" t="s">
        <v>409</v>
      </c>
      <c r="L46" s="27" t="s">
        <v>172</v>
      </c>
      <c r="M46" s="27" t="s">
        <v>46</v>
      </c>
      <c r="N46" s="27" t="s">
        <v>43</v>
      </c>
      <c r="O46" s="45">
        <v>45615.0</v>
      </c>
      <c r="P46" s="44" t="s">
        <v>410</v>
      </c>
      <c r="Q46" s="55" t="s">
        <v>411</v>
      </c>
      <c r="R46" s="38"/>
      <c r="S46" s="51"/>
      <c r="T46" s="52"/>
      <c r="U46" s="52"/>
      <c r="V46" s="33" t="s">
        <v>412</v>
      </c>
      <c r="W46" s="33"/>
      <c r="X46" s="33"/>
      <c r="Y46" s="33"/>
      <c r="Z46" s="33"/>
      <c r="AA46" s="33"/>
      <c r="AB46" s="33"/>
      <c r="AC46" s="33"/>
      <c r="AD46" s="33"/>
      <c r="AE46" s="33"/>
      <c r="AF46" s="33"/>
    </row>
    <row r="47" ht="22.5" customHeight="1">
      <c r="A47" s="23" t="s">
        <v>413</v>
      </c>
      <c r="B47" s="24"/>
      <c r="C47" s="24" t="s">
        <v>34</v>
      </c>
      <c r="D47" s="34" t="s">
        <v>97</v>
      </c>
      <c r="E47" s="27" t="s">
        <v>51</v>
      </c>
      <c r="F47" s="27" t="s">
        <v>414</v>
      </c>
      <c r="G47" s="28" t="s">
        <v>415</v>
      </c>
      <c r="H47" s="29"/>
      <c r="I47" s="29"/>
      <c r="J47" s="27" t="s">
        <v>39</v>
      </c>
      <c r="K47" s="27" t="s">
        <v>416</v>
      </c>
      <c r="L47" s="27" t="s">
        <v>123</v>
      </c>
      <c r="M47" s="27" t="s">
        <v>124</v>
      </c>
      <c r="N47" s="27" t="s">
        <v>91</v>
      </c>
      <c r="O47" s="45">
        <v>45616.0</v>
      </c>
      <c r="P47" s="44" t="s">
        <v>417</v>
      </c>
      <c r="Q47" s="27" t="s">
        <v>418</v>
      </c>
      <c r="R47" s="35" t="s">
        <v>388</v>
      </c>
      <c r="S47" s="31" t="s">
        <v>419</v>
      </c>
      <c r="T47" s="32"/>
      <c r="U47" s="32"/>
      <c r="V47" s="33" t="s">
        <v>420</v>
      </c>
      <c r="W47" s="33"/>
      <c r="X47" s="33"/>
      <c r="Y47" s="33"/>
      <c r="Z47" s="33"/>
      <c r="AA47" s="33"/>
      <c r="AB47" s="33"/>
      <c r="AC47" s="33"/>
      <c r="AD47" s="33"/>
      <c r="AE47" s="33"/>
      <c r="AF47" s="33"/>
    </row>
    <row r="48" ht="22.5" customHeight="1">
      <c r="A48" s="23" t="s">
        <v>421</v>
      </c>
      <c r="B48" s="24"/>
      <c r="C48" s="24" t="s">
        <v>34</v>
      </c>
      <c r="D48" s="34" t="s">
        <v>266</v>
      </c>
      <c r="E48" s="27" t="s">
        <v>51</v>
      </c>
      <c r="F48" s="27" t="s">
        <v>37</v>
      </c>
      <c r="G48" s="28" t="s">
        <v>422</v>
      </c>
      <c r="H48" s="29"/>
      <c r="I48" s="29"/>
      <c r="J48" s="27" t="s">
        <v>39</v>
      </c>
      <c r="K48" s="27" t="s">
        <v>383</v>
      </c>
      <c r="L48" s="27" t="s">
        <v>423</v>
      </c>
      <c r="M48" s="27" t="s">
        <v>418</v>
      </c>
      <c r="N48" s="27" t="s">
        <v>91</v>
      </c>
      <c r="O48" s="45">
        <v>45616.0</v>
      </c>
      <c r="P48" s="44" t="s">
        <v>424</v>
      </c>
      <c r="Q48" s="36" t="s">
        <v>425</v>
      </c>
      <c r="R48" s="34" t="s">
        <v>426</v>
      </c>
      <c r="S48" s="48">
        <v>485000.0</v>
      </c>
      <c r="T48" s="32"/>
      <c r="U48" s="32"/>
      <c r="V48" s="33" t="s">
        <v>427</v>
      </c>
      <c r="W48" s="33"/>
      <c r="X48" s="33"/>
      <c r="Y48" s="33"/>
      <c r="Z48" s="33"/>
      <c r="AA48" s="33"/>
      <c r="AB48" s="33"/>
      <c r="AC48" s="33"/>
      <c r="AD48" s="33"/>
      <c r="AE48" s="33"/>
      <c r="AF48" s="33"/>
    </row>
    <row r="49" ht="22.5" customHeight="1">
      <c r="A49" s="23" t="s">
        <v>428</v>
      </c>
      <c r="B49" s="24"/>
      <c r="C49" s="24" t="s">
        <v>34</v>
      </c>
      <c r="D49" s="34" t="s">
        <v>177</v>
      </c>
      <c r="E49" s="27" t="s">
        <v>188</v>
      </c>
      <c r="F49" s="27" t="s">
        <v>52</v>
      </c>
      <c r="G49" s="28" t="s">
        <v>429</v>
      </c>
      <c r="H49" s="29"/>
      <c r="I49" s="29"/>
      <c r="J49" s="27" t="s">
        <v>39</v>
      </c>
      <c r="K49" s="27" t="s">
        <v>430</v>
      </c>
      <c r="L49" s="27" t="s">
        <v>431</v>
      </c>
      <c r="M49" s="27" t="s">
        <v>432</v>
      </c>
      <c r="N49" s="27" t="s">
        <v>43</v>
      </c>
      <c r="O49" s="45">
        <v>45615.0</v>
      </c>
      <c r="P49" s="44" t="s">
        <v>45</v>
      </c>
      <c r="Q49" s="27" t="s">
        <v>46</v>
      </c>
      <c r="R49" s="34" t="s">
        <v>426</v>
      </c>
      <c r="S49" s="48">
        <v>700000.0</v>
      </c>
      <c r="T49" s="32"/>
      <c r="U49" s="32"/>
      <c r="V49" s="33" t="s">
        <v>433</v>
      </c>
      <c r="W49" s="33"/>
      <c r="X49" s="33"/>
      <c r="Y49" s="33"/>
      <c r="Z49" s="33"/>
      <c r="AA49" s="33"/>
      <c r="AB49" s="33"/>
      <c r="AC49" s="33"/>
      <c r="AD49" s="33"/>
      <c r="AE49" s="33"/>
      <c r="AF49" s="33"/>
    </row>
    <row r="50" ht="22.5" customHeight="1">
      <c r="A50" s="23" t="s">
        <v>434</v>
      </c>
      <c r="B50" s="24"/>
      <c r="C50" s="24" t="s">
        <v>34</v>
      </c>
      <c r="D50" s="34" t="s">
        <v>177</v>
      </c>
      <c r="E50" s="27" t="s">
        <v>188</v>
      </c>
      <c r="F50" s="27" t="s">
        <v>37</v>
      </c>
      <c r="G50" s="28" t="s">
        <v>435</v>
      </c>
      <c r="H50" s="29"/>
      <c r="I50" s="29"/>
      <c r="J50" s="27" t="s">
        <v>39</v>
      </c>
      <c r="K50" s="27" t="s">
        <v>436</v>
      </c>
      <c r="L50" s="27" t="s">
        <v>180</v>
      </c>
      <c r="M50" s="27" t="s">
        <v>181</v>
      </c>
      <c r="N50" s="27" t="s">
        <v>276</v>
      </c>
      <c r="O50" s="45">
        <v>45616.0</v>
      </c>
      <c r="P50" s="44" t="s">
        <v>437</v>
      </c>
      <c r="Q50" s="36" t="s">
        <v>438</v>
      </c>
      <c r="R50" s="35" t="s">
        <v>439</v>
      </c>
      <c r="S50" s="48">
        <v>1150000.0</v>
      </c>
      <c r="T50" s="32"/>
      <c r="U50" s="32"/>
      <c r="V50" s="33" t="s">
        <v>440</v>
      </c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ht="22.5" customHeight="1">
      <c r="A51" s="23" t="s">
        <v>441</v>
      </c>
      <c r="B51" s="24"/>
      <c r="C51" s="24" t="s">
        <v>34</v>
      </c>
      <c r="D51" s="34" t="s">
        <v>382</v>
      </c>
      <c r="E51" s="27" t="s">
        <v>311</v>
      </c>
      <c r="F51" s="27" t="s">
        <v>52</v>
      </c>
      <c r="G51" s="28" t="s">
        <v>442</v>
      </c>
      <c r="H51" s="29"/>
      <c r="I51" s="29"/>
      <c r="J51" s="27" t="s">
        <v>39</v>
      </c>
      <c r="K51" s="27" t="s">
        <v>443</v>
      </c>
      <c r="L51" s="27" t="s">
        <v>444</v>
      </c>
      <c r="M51" s="27" t="s">
        <v>344</v>
      </c>
      <c r="N51" s="27" t="s">
        <v>43</v>
      </c>
      <c r="O51" s="45">
        <v>45618.0</v>
      </c>
      <c r="P51" s="44" t="s">
        <v>445</v>
      </c>
      <c r="Q51" s="36" t="s">
        <v>446</v>
      </c>
      <c r="R51" s="35" t="s">
        <v>447</v>
      </c>
      <c r="S51" s="48">
        <v>465000.0</v>
      </c>
      <c r="T51" s="32"/>
      <c r="U51" s="32"/>
      <c r="V51" s="33" t="s">
        <v>448</v>
      </c>
      <c r="W51" s="33"/>
      <c r="X51" s="33"/>
      <c r="Y51" s="33"/>
      <c r="Z51" s="33"/>
      <c r="AA51" s="33"/>
      <c r="AB51" s="33"/>
      <c r="AC51" s="33"/>
      <c r="AD51" s="33"/>
      <c r="AE51" s="33"/>
      <c r="AF51" s="33"/>
    </row>
    <row r="52" ht="22.5" customHeight="1">
      <c r="A52" s="23" t="s">
        <v>449</v>
      </c>
      <c r="B52" s="24"/>
      <c r="C52" s="24" t="s">
        <v>34</v>
      </c>
      <c r="D52" s="34" t="s">
        <v>177</v>
      </c>
      <c r="E52" s="27" t="s">
        <v>188</v>
      </c>
      <c r="F52" s="27" t="s">
        <v>37</v>
      </c>
      <c r="G52" s="28" t="s">
        <v>450</v>
      </c>
      <c r="H52" s="29"/>
      <c r="I52" s="29"/>
      <c r="J52" s="27" t="s">
        <v>39</v>
      </c>
      <c r="K52" s="27" t="s">
        <v>340</v>
      </c>
      <c r="L52" s="27" t="s">
        <v>253</v>
      </c>
      <c r="M52" s="27" t="s">
        <v>254</v>
      </c>
      <c r="N52" s="27" t="s">
        <v>43</v>
      </c>
      <c r="O52" s="45">
        <v>45623.0</v>
      </c>
      <c r="P52" s="44" t="s">
        <v>451</v>
      </c>
      <c r="Q52" s="36" t="s">
        <v>452</v>
      </c>
      <c r="R52" s="27" t="s">
        <v>453</v>
      </c>
      <c r="S52" s="48">
        <v>770000.0</v>
      </c>
      <c r="T52" s="32"/>
      <c r="U52" s="32"/>
      <c r="V52" s="33" t="s">
        <v>454</v>
      </c>
      <c r="W52" s="33"/>
      <c r="X52" s="33"/>
      <c r="Y52" s="33"/>
      <c r="Z52" s="33"/>
      <c r="AA52" s="33"/>
      <c r="AB52" s="33"/>
      <c r="AC52" s="33"/>
      <c r="AD52" s="33"/>
      <c r="AE52" s="33"/>
      <c r="AF52" s="33"/>
    </row>
    <row r="53" ht="22.5" customHeight="1">
      <c r="A53" s="23" t="s">
        <v>455</v>
      </c>
      <c r="B53" s="24"/>
      <c r="C53" s="24" t="s">
        <v>34</v>
      </c>
      <c r="D53" s="34" t="s">
        <v>177</v>
      </c>
      <c r="E53" s="27" t="s">
        <v>188</v>
      </c>
      <c r="F53" s="27" t="s">
        <v>37</v>
      </c>
      <c r="G53" s="28" t="s">
        <v>456</v>
      </c>
      <c r="H53" s="29"/>
      <c r="I53" s="29"/>
      <c r="J53" s="27" t="s">
        <v>39</v>
      </c>
      <c r="K53" s="27" t="s">
        <v>457</v>
      </c>
      <c r="L53" s="27" t="s">
        <v>431</v>
      </c>
      <c r="M53" s="27" t="s">
        <v>458</v>
      </c>
      <c r="N53" s="27" t="s">
        <v>91</v>
      </c>
      <c r="O53" s="45">
        <v>45622.0</v>
      </c>
      <c r="P53" s="44" t="s">
        <v>253</v>
      </c>
      <c r="Q53" s="36" t="s">
        <v>254</v>
      </c>
      <c r="R53" s="27" t="s">
        <v>459</v>
      </c>
      <c r="S53" s="48">
        <v>1150000.0</v>
      </c>
      <c r="T53" s="32"/>
      <c r="U53" s="32"/>
      <c r="V53" s="33" t="s">
        <v>460</v>
      </c>
      <c r="W53" s="33"/>
      <c r="X53" s="33"/>
      <c r="Y53" s="33"/>
      <c r="Z53" s="33"/>
      <c r="AA53" s="33"/>
      <c r="AB53" s="33"/>
      <c r="AC53" s="33"/>
      <c r="AD53" s="33"/>
      <c r="AE53" s="33"/>
      <c r="AF53" s="33"/>
    </row>
    <row r="54" ht="22.5" customHeight="1">
      <c r="A54" s="23" t="s">
        <v>461</v>
      </c>
      <c r="B54" s="24"/>
      <c r="C54" s="24" t="s">
        <v>34</v>
      </c>
      <c r="D54" s="34" t="s">
        <v>462</v>
      </c>
      <c r="E54" s="27" t="s">
        <v>188</v>
      </c>
      <c r="F54" s="27" t="s">
        <v>37</v>
      </c>
      <c r="G54" s="28" t="s">
        <v>463</v>
      </c>
      <c r="H54" s="29"/>
      <c r="I54" s="29"/>
      <c r="J54" s="27" t="s">
        <v>39</v>
      </c>
      <c r="K54" s="27" t="s">
        <v>436</v>
      </c>
      <c r="L54" s="27" t="s">
        <v>100</v>
      </c>
      <c r="M54" s="27" t="s">
        <v>101</v>
      </c>
      <c r="N54" s="27" t="s">
        <v>43</v>
      </c>
      <c r="O54" s="45">
        <v>45623.0</v>
      </c>
      <c r="P54" s="44" t="s">
        <v>464</v>
      </c>
      <c r="Q54" s="36" t="s">
        <v>465</v>
      </c>
      <c r="R54" s="27" t="s">
        <v>466</v>
      </c>
      <c r="S54" s="48">
        <v>975000.0</v>
      </c>
      <c r="T54" s="32"/>
      <c r="U54" s="32"/>
      <c r="V54" s="33" t="s">
        <v>467</v>
      </c>
      <c r="W54" s="33"/>
      <c r="X54" s="33"/>
      <c r="Y54" s="33"/>
      <c r="Z54" s="33"/>
      <c r="AA54" s="33"/>
      <c r="AB54" s="33"/>
      <c r="AC54" s="33"/>
      <c r="AD54" s="33"/>
      <c r="AE54" s="33"/>
      <c r="AF54" s="33"/>
    </row>
    <row r="55" ht="22.5" customHeight="1">
      <c r="A55" s="23" t="s">
        <v>468</v>
      </c>
      <c r="B55" s="24"/>
      <c r="C55" s="24" t="s">
        <v>34</v>
      </c>
      <c r="D55" s="34" t="s">
        <v>469</v>
      </c>
      <c r="E55" s="27" t="s">
        <v>370</v>
      </c>
      <c r="F55" s="27" t="s">
        <v>37</v>
      </c>
      <c r="G55" s="28" t="s">
        <v>470</v>
      </c>
      <c r="H55" s="29"/>
      <c r="I55" s="29"/>
      <c r="J55" s="27" t="s">
        <v>39</v>
      </c>
      <c r="K55" s="27" t="s">
        <v>471</v>
      </c>
      <c r="L55" s="27" t="s">
        <v>100</v>
      </c>
      <c r="M55" s="27" t="s">
        <v>101</v>
      </c>
      <c r="N55" s="27" t="s">
        <v>276</v>
      </c>
      <c r="O55" s="45">
        <v>45623.0</v>
      </c>
      <c r="P55" s="44" t="s">
        <v>472</v>
      </c>
      <c r="Q55" s="36" t="s">
        <v>473</v>
      </c>
      <c r="R55" s="27" t="s">
        <v>426</v>
      </c>
      <c r="S55" s="48">
        <v>1400000.0</v>
      </c>
      <c r="T55" s="32"/>
      <c r="U55" s="32"/>
      <c r="V55" s="33" t="s">
        <v>474</v>
      </c>
      <c r="W55" s="33"/>
      <c r="X55" s="33"/>
      <c r="Y55" s="33"/>
      <c r="Z55" s="33"/>
      <c r="AA55" s="33"/>
      <c r="AB55" s="33"/>
      <c r="AC55" s="33"/>
      <c r="AD55" s="33"/>
      <c r="AE55" s="33"/>
      <c r="AF55" s="33"/>
    </row>
    <row r="56" ht="22.5" customHeight="1">
      <c r="A56" s="23" t="s">
        <v>475</v>
      </c>
      <c r="B56" s="24"/>
      <c r="C56" s="24" t="s">
        <v>34</v>
      </c>
      <c r="D56" s="34" t="s">
        <v>177</v>
      </c>
      <c r="E56" s="27" t="s">
        <v>188</v>
      </c>
      <c r="F56" s="27" t="s">
        <v>52</v>
      </c>
      <c r="G56" s="28" t="s">
        <v>476</v>
      </c>
      <c r="H56" s="29"/>
      <c r="I56" s="29"/>
      <c r="J56" s="27" t="s">
        <v>39</v>
      </c>
      <c r="K56" s="27" t="s">
        <v>477</v>
      </c>
      <c r="L56" s="27" t="s">
        <v>100</v>
      </c>
      <c r="M56" s="27" t="s">
        <v>101</v>
      </c>
      <c r="N56" s="27" t="s">
        <v>276</v>
      </c>
      <c r="O56" s="45">
        <v>45623.0</v>
      </c>
      <c r="P56" s="44" t="s">
        <v>89</v>
      </c>
      <c r="Q56" s="36" t="s">
        <v>90</v>
      </c>
      <c r="R56" s="39"/>
      <c r="S56" s="51"/>
      <c r="T56" s="52"/>
      <c r="U56" s="52"/>
      <c r="V56" s="33" t="s">
        <v>478</v>
      </c>
      <c r="W56" s="33"/>
      <c r="X56" s="33"/>
      <c r="Y56" s="33"/>
      <c r="Z56" s="33"/>
      <c r="AA56" s="33"/>
      <c r="AB56" s="33"/>
      <c r="AC56" s="33"/>
      <c r="AD56" s="33"/>
      <c r="AE56" s="33"/>
      <c r="AF56" s="33"/>
    </row>
    <row r="57" ht="22.5" customHeight="1">
      <c r="A57" s="23" t="s">
        <v>479</v>
      </c>
      <c r="B57" s="24"/>
      <c r="C57" s="24" t="s">
        <v>34</v>
      </c>
      <c r="D57" s="34" t="s">
        <v>382</v>
      </c>
      <c r="E57" s="27" t="s">
        <v>169</v>
      </c>
      <c r="F57" s="27" t="s">
        <v>52</v>
      </c>
      <c r="G57" s="28" t="s">
        <v>480</v>
      </c>
      <c r="H57" s="29"/>
      <c r="I57" s="29"/>
      <c r="J57" s="27" t="s">
        <v>39</v>
      </c>
      <c r="K57" s="27" t="s">
        <v>481</v>
      </c>
      <c r="L57" s="27" t="s">
        <v>482</v>
      </c>
      <c r="M57" s="27" t="s">
        <v>483</v>
      </c>
      <c r="N57" s="27" t="s">
        <v>91</v>
      </c>
      <c r="O57" s="45">
        <v>45625.0</v>
      </c>
      <c r="P57" s="44" t="s">
        <v>464</v>
      </c>
      <c r="Q57" s="36" t="s">
        <v>465</v>
      </c>
      <c r="R57" s="39"/>
      <c r="S57" s="48">
        <v>600000.0</v>
      </c>
      <c r="T57" s="32"/>
      <c r="U57" s="32"/>
      <c r="V57" s="33" t="s">
        <v>484</v>
      </c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ht="22.5" customHeight="1">
      <c r="A58" s="23" t="s">
        <v>485</v>
      </c>
      <c r="B58" s="24"/>
      <c r="C58" s="24" t="s">
        <v>34</v>
      </c>
      <c r="D58" s="34" t="s">
        <v>462</v>
      </c>
      <c r="E58" s="27" t="s">
        <v>51</v>
      </c>
      <c r="F58" s="27" t="s">
        <v>52</v>
      </c>
      <c r="G58" s="28" t="s">
        <v>486</v>
      </c>
      <c r="H58" s="29"/>
      <c r="I58" s="29"/>
      <c r="J58" s="27" t="s">
        <v>39</v>
      </c>
      <c r="K58" s="27" t="s">
        <v>477</v>
      </c>
      <c r="L58" s="27" t="s">
        <v>172</v>
      </c>
      <c r="M58" s="27" t="s">
        <v>46</v>
      </c>
      <c r="N58" s="27" t="s">
        <v>43</v>
      </c>
      <c r="O58" s="45">
        <v>45626.0</v>
      </c>
      <c r="P58" s="44" t="s">
        <v>487</v>
      </c>
      <c r="Q58" s="27" t="s">
        <v>488</v>
      </c>
      <c r="R58" s="27" t="s">
        <v>489</v>
      </c>
      <c r="S58" s="48">
        <v>685000.0</v>
      </c>
      <c r="T58" s="32"/>
      <c r="U58" s="32"/>
      <c r="V58" s="33" t="s">
        <v>490</v>
      </c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ht="22.5" customHeight="1">
      <c r="A59" s="23" t="s">
        <v>491</v>
      </c>
      <c r="B59" s="24"/>
      <c r="C59" s="24" t="s">
        <v>34</v>
      </c>
      <c r="D59" s="34" t="s">
        <v>348</v>
      </c>
      <c r="E59" s="27" t="s">
        <v>85</v>
      </c>
      <c r="F59" s="27" t="s">
        <v>52</v>
      </c>
      <c r="G59" s="28" t="s">
        <v>492</v>
      </c>
      <c r="H59" s="29"/>
      <c r="I59" s="29"/>
      <c r="J59" s="27" t="s">
        <v>39</v>
      </c>
      <c r="K59" s="27" t="s">
        <v>326</v>
      </c>
      <c r="L59" s="27" t="s">
        <v>493</v>
      </c>
      <c r="M59" s="27" t="s">
        <v>494</v>
      </c>
      <c r="N59" s="27" t="s">
        <v>91</v>
      </c>
      <c r="O59" s="45">
        <v>45626.0</v>
      </c>
      <c r="P59" s="44" t="s">
        <v>495</v>
      </c>
      <c r="Q59" s="27" t="s">
        <v>496</v>
      </c>
      <c r="R59" s="27" t="s">
        <v>489</v>
      </c>
      <c r="S59" s="48">
        <v>630000.0</v>
      </c>
      <c r="T59" s="32"/>
      <c r="U59" s="32"/>
      <c r="V59" s="33" t="s">
        <v>497</v>
      </c>
      <c r="W59" s="33"/>
      <c r="X59" s="33"/>
      <c r="Y59" s="33"/>
      <c r="Z59" s="33"/>
      <c r="AA59" s="33"/>
      <c r="AB59" s="33"/>
      <c r="AC59" s="33"/>
      <c r="AD59" s="33"/>
      <c r="AE59" s="33"/>
      <c r="AF59" s="33"/>
    </row>
    <row r="60" ht="22.5" customHeight="1">
      <c r="A60" s="23" t="s">
        <v>498</v>
      </c>
      <c r="B60" s="24"/>
      <c r="C60" s="24" t="s">
        <v>34</v>
      </c>
      <c r="D60" s="34" t="s">
        <v>128</v>
      </c>
      <c r="E60" s="27" t="s">
        <v>218</v>
      </c>
      <c r="F60" s="27" t="s">
        <v>37</v>
      </c>
      <c r="G60" s="28" t="s">
        <v>499</v>
      </c>
      <c r="H60" s="29"/>
      <c r="I60" s="29"/>
      <c r="J60" s="27" t="s">
        <v>39</v>
      </c>
      <c r="K60" s="27" t="s">
        <v>326</v>
      </c>
      <c r="L60" s="27" t="s">
        <v>111</v>
      </c>
      <c r="M60" s="27" t="s">
        <v>112</v>
      </c>
      <c r="N60" s="27" t="s">
        <v>276</v>
      </c>
      <c r="O60" s="45">
        <v>45629.0</v>
      </c>
      <c r="P60" s="44" t="s">
        <v>500</v>
      </c>
      <c r="Q60" s="27" t="s">
        <v>501</v>
      </c>
      <c r="R60" s="27" t="s">
        <v>502</v>
      </c>
      <c r="S60" s="48">
        <v>1280000.0</v>
      </c>
      <c r="T60" s="32"/>
      <c r="U60" s="32"/>
      <c r="V60" s="33" t="s">
        <v>503</v>
      </c>
      <c r="W60" s="33"/>
      <c r="X60" s="33"/>
      <c r="Y60" s="33"/>
      <c r="Z60" s="33"/>
      <c r="AA60" s="33"/>
      <c r="AB60" s="33"/>
      <c r="AC60" s="33"/>
      <c r="AD60" s="33"/>
      <c r="AE60" s="33"/>
      <c r="AF60" s="33"/>
    </row>
    <row r="61" ht="22.5" customHeight="1">
      <c r="A61" s="23" t="s">
        <v>504</v>
      </c>
      <c r="B61" s="24"/>
      <c r="C61" s="24" t="s">
        <v>34</v>
      </c>
      <c r="D61" s="34" t="s">
        <v>505</v>
      </c>
      <c r="E61" s="27" t="s">
        <v>65</v>
      </c>
      <c r="F61" s="27" t="s">
        <v>52</v>
      </c>
      <c r="G61" s="28"/>
      <c r="H61" s="29"/>
      <c r="I61" s="29"/>
      <c r="J61" s="27" t="s">
        <v>228</v>
      </c>
      <c r="K61" s="27" t="s">
        <v>122</v>
      </c>
      <c r="L61" s="27" t="s">
        <v>123</v>
      </c>
      <c r="M61" s="27" t="s">
        <v>124</v>
      </c>
      <c r="N61" s="27" t="s">
        <v>91</v>
      </c>
      <c r="O61" s="45">
        <v>45632.0</v>
      </c>
      <c r="P61" s="44" t="s">
        <v>506</v>
      </c>
      <c r="Q61" s="27" t="s">
        <v>507</v>
      </c>
      <c r="R61" s="27" t="s">
        <v>508</v>
      </c>
      <c r="S61" s="48">
        <v>175000.0</v>
      </c>
      <c r="T61" s="32"/>
      <c r="U61" s="32"/>
      <c r="V61" s="33" t="s">
        <v>509</v>
      </c>
      <c r="W61" s="33"/>
      <c r="X61" s="33"/>
      <c r="Y61" s="33"/>
      <c r="Z61" s="33"/>
      <c r="AA61" s="33"/>
      <c r="AB61" s="33"/>
      <c r="AC61" s="33"/>
      <c r="AD61" s="33"/>
      <c r="AE61" s="33"/>
      <c r="AF61" s="33"/>
    </row>
    <row r="62" ht="22.5" customHeight="1">
      <c r="A62" s="23" t="s">
        <v>510</v>
      </c>
      <c r="B62" s="24"/>
      <c r="C62" s="24" t="s">
        <v>34</v>
      </c>
      <c r="D62" s="34" t="s">
        <v>505</v>
      </c>
      <c r="E62" s="27" t="s">
        <v>511</v>
      </c>
      <c r="F62" s="27" t="s">
        <v>52</v>
      </c>
      <c r="G62" s="28"/>
      <c r="H62" s="29"/>
      <c r="I62" s="29"/>
      <c r="J62" s="27" t="s">
        <v>228</v>
      </c>
      <c r="K62" s="27" t="s">
        <v>122</v>
      </c>
      <c r="L62" s="27" t="s">
        <v>123</v>
      </c>
      <c r="M62" s="27" t="s">
        <v>124</v>
      </c>
      <c r="N62" s="27" t="s">
        <v>91</v>
      </c>
      <c r="O62" s="45">
        <v>45632.0</v>
      </c>
      <c r="P62" s="44" t="s">
        <v>506</v>
      </c>
      <c r="Q62" s="27" t="s">
        <v>507</v>
      </c>
      <c r="R62" s="27" t="s">
        <v>508</v>
      </c>
      <c r="S62" s="48">
        <v>175000.0</v>
      </c>
      <c r="T62" s="32"/>
      <c r="U62" s="32"/>
      <c r="V62" s="33" t="s">
        <v>512</v>
      </c>
      <c r="W62" s="33"/>
      <c r="X62" s="33"/>
      <c r="Y62" s="33"/>
      <c r="Z62" s="33"/>
      <c r="AA62" s="33"/>
      <c r="AB62" s="33"/>
      <c r="AC62" s="33"/>
      <c r="AD62" s="33"/>
      <c r="AE62" s="33"/>
      <c r="AF62" s="33"/>
    </row>
    <row r="63" ht="22.5" customHeight="1">
      <c r="A63" s="23" t="s">
        <v>513</v>
      </c>
      <c r="B63" s="24"/>
      <c r="C63" s="24" t="s">
        <v>34</v>
      </c>
      <c r="D63" s="34" t="s">
        <v>35</v>
      </c>
      <c r="E63" s="55" t="s">
        <v>370</v>
      </c>
      <c r="F63" s="55" t="s">
        <v>37</v>
      </c>
      <c r="G63" s="28" t="s">
        <v>514</v>
      </c>
      <c r="H63" s="29"/>
      <c r="I63" s="29"/>
      <c r="J63" s="55" t="s">
        <v>39</v>
      </c>
      <c r="K63" s="55" t="s">
        <v>326</v>
      </c>
      <c r="L63" s="55" t="s">
        <v>100</v>
      </c>
      <c r="M63" s="55" t="s">
        <v>101</v>
      </c>
      <c r="N63" s="27" t="s">
        <v>276</v>
      </c>
      <c r="O63" s="56">
        <v>45631.0</v>
      </c>
      <c r="P63" s="57" t="s">
        <v>515</v>
      </c>
      <c r="Q63" s="55" t="s">
        <v>516</v>
      </c>
      <c r="R63" s="55" t="s">
        <v>517</v>
      </c>
      <c r="S63" s="58">
        <v>1390000.0</v>
      </c>
      <c r="T63" s="32"/>
      <c r="U63" s="32"/>
      <c r="V63" s="33" t="s">
        <v>518</v>
      </c>
      <c r="W63" s="33"/>
      <c r="X63" s="33"/>
      <c r="Y63" s="33"/>
      <c r="Z63" s="33"/>
      <c r="AA63" s="33"/>
      <c r="AB63" s="33"/>
      <c r="AC63" s="33"/>
      <c r="AD63" s="33"/>
      <c r="AE63" s="33"/>
      <c r="AF63" s="33"/>
    </row>
    <row r="64" ht="22.5" customHeight="1">
      <c r="A64" s="23" t="s">
        <v>519</v>
      </c>
      <c r="B64" s="24"/>
      <c r="C64" s="24" t="s">
        <v>34</v>
      </c>
      <c r="D64" s="34" t="s">
        <v>35</v>
      </c>
      <c r="E64" s="27" t="s">
        <v>36</v>
      </c>
      <c r="F64" s="27" t="s">
        <v>37</v>
      </c>
      <c r="G64" s="28" t="s">
        <v>38</v>
      </c>
      <c r="H64" s="29"/>
      <c r="I64" s="29"/>
      <c r="J64" s="27" t="s">
        <v>39</v>
      </c>
      <c r="K64" s="27" t="s">
        <v>40</v>
      </c>
      <c r="L64" s="55" t="s">
        <v>163</v>
      </c>
      <c r="M64" s="27" t="s">
        <v>164</v>
      </c>
      <c r="N64" s="59" t="s">
        <v>276</v>
      </c>
      <c r="O64" s="56">
        <v>45631.0</v>
      </c>
      <c r="P64" s="57" t="s">
        <v>520</v>
      </c>
      <c r="Q64" s="55" t="s">
        <v>521</v>
      </c>
      <c r="R64" s="55" t="s">
        <v>522</v>
      </c>
      <c r="S64" s="58"/>
      <c r="T64" s="32"/>
      <c r="U64" s="32"/>
      <c r="V64" s="33" t="s">
        <v>523</v>
      </c>
      <c r="W64" s="33"/>
      <c r="X64" s="33"/>
      <c r="Y64" s="33"/>
      <c r="Z64" s="33"/>
      <c r="AA64" s="33"/>
      <c r="AB64" s="33"/>
      <c r="AC64" s="33"/>
      <c r="AD64" s="33"/>
      <c r="AE64" s="33"/>
      <c r="AF64" s="33"/>
    </row>
    <row r="65" ht="22.5" customHeight="1">
      <c r="A65" s="23" t="s">
        <v>524</v>
      </c>
      <c r="B65" s="24"/>
      <c r="C65" s="24" t="s">
        <v>34</v>
      </c>
      <c r="D65" s="34" t="s">
        <v>525</v>
      </c>
      <c r="E65" s="55" t="s">
        <v>65</v>
      </c>
      <c r="F65" s="55" t="s">
        <v>122</v>
      </c>
      <c r="G65" s="28" t="s">
        <v>526</v>
      </c>
      <c r="H65" s="29"/>
      <c r="I65" s="29"/>
      <c r="J65" s="55" t="s">
        <v>68</v>
      </c>
      <c r="K65" s="55" t="s">
        <v>122</v>
      </c>
      <c r="L65" s="55" t="s">
        <v>253</v>
      </c>
      <c r="M65" s="55" t="s">
        <v>254</v>
      </c>
      <c r="N65" s="59" t="s">
        <v>91</v>
      </c>
      <c r="O65" s="56">
        <v>45622.0</v>
      </c>
      <c r="P65" s="57" t="s">
        <v>527</v>
      </c>
      <c r="Q65" s="55" t="s">
        <v>528</v>
      </c>
      <c r="R65" s="55" t="s">
        <v>529</v>
      </c>
      <c r="S65" s="58">
        <v>240000.0</v>
      </c>
      <c r="T65" s="32"/>
      <c r="U65" s="32"/>
      <c r="V65" s="33" t="s">
        <v>530</v>
      </c>
      <c r="W65" s="33"/>
      <c r="X65" s="33"/>
      <c r="Y65" s="33"/>
      <c r="Z65" s="33"/>
      <c r="AA65" s="33"/>
      <c r="AB65" s="33"/>
      <c r="AC65" s="33"/>
      <c r="AD65" s="33"/>
      <c r="AE65" s="33"/>
      <c r="AF65" s="33"/>
    </row>
    <row r="66" ht="22.5" customHeight="1">
      <c r="A66" s="23" t="s">
        <v>531</v>
      </c>
      <c r="B66" s="24"/>
      <c r="C66" s="24" t="s">
        <v>34</v>
      </c>
      <c r="D66" s="34" t="s">
        <v>258</v>
      </c>
      <c r="E66" s="55" t="s">
        <v>283</v>
      </c>
      <c r="F66" s="55" t="s">
        <v>52</v>
      </c>
      <c r="G66" s="28" t="s">
        <v>532</v>
      </c>
      <c r="H66" s="29"/>
      <c r="I66" s="29"/>
      <c r="J66" s="55" t="s">
        <v>39</v>
      </c>
      <c r="K66" s="55" t="s">
        <v>533</v>
      </c>
      <c r="L66" s="55" t="s">
        <v>394</v>
      </c>
      <c r="M66" s="55" t="s">
        <v>395</v>
      </c>
      <c r="N66" s="59" t="s">
        <v>43</v>
      </c>
      <c r="O66" s="56">
        <v>45643.0</v>
      </c>
      <c r="P66" s="57" t="s">
        <v>534</v>
      </c>
      <c r="Q66" s="55" t="s">
        <v>535</v>
      </c>
      <c r="R66" s="55" t="s">
        <v>536</v>
      </c>
      <c r="S66" s="58">
        <v>750000.0</v>
      </c>
      <c r="T66" s="32"/>
      <c r="U66" s="32"/>
      <c r="V66" s="33" t="s">
        <v>537</v>
      </c>
      <c r="W66" s="33"/>
      <c r="X66" s="33"/>
      <c r="Y66" s="33"/>
      <c r="Z66" s="33"/>
      <c r="AA66" s="33"/>
      <c r="AB66" s="33"/>
      <c r="AC66" s="33"/>
      <c r="AD66" s="33"/>
      <c r="AE66" s="33"/>
      <c r="AF66" s="33"/>
    </row>
    <row r="67" ht="22.5" customHeight="1">
      <c r="A67" s="23" t="s">
        <v>538</v>
      </c>
      <c r="B67" s="24"/>
      <c r="C67" s="24" t="s">
        <v>34</v>
      </c>
      <c r="D67" s="34" t="s">
        <v>356</v>
      </c>
      <c r="E67" s="55" t="s">
        <v>65</v>
      </c>
      <c r="F67" s="55" t="s">
        <v>52</v>
      </c>
      <c r="G67" s="28" t="s">
        <v>539</v>
      </c>
      <c r="H67" s="29"/>
      <c r="I67" s="29"/>
      <c r="J67" s="55" t="s">
        <v>39</v>
      </c>
      <c r="K67" s="55" t="s">
        <v>77</v>
      </c>
      <c r="L67" s="55" t="s">
        <v>540</v>
      </c>
      <c r="M67" s="27" t="s">
        <v>42</v>
      </c>
      <c r="N67" s="59" t="s">
        <v>43</v>
      </c>
      <c r="O67" s="56">
        <v>45646.0</v>
      </c>
      <c r="P67" s="57" t="s">
        <v>134</v>
      </c>
      <c r="Q67" s="55" t="s">
        <v>112</v>
      </c>
      <c r="R67" s="55" t="s">
        <v>541</v>
      </c>
      <c r="S67" s="58">
        <v>910000.0</v>
      </c>
      <c r="T67" s="32"/>
      <c r="U67" s="32"/>
      <c r="V67" s="33" t="s">
        <v>542</v>
      </c>
      <c r="W67" s="33"/>
      <c r="X67" s="33"/>
      <c r="Y67" s="33"/>
      <c r="Z67" s="33"/>
      <c r="AA67" s="33"/>
      <c r="AB67" s="33"/>
      <c r="AC67" s="33"/>
      <c r="AD67" s="33"/>
      <c r="AE67" s="33"/>
      <c r="AF67" s="33"/>
    </row>
    <row r="68" ht="22.5" customHeight="1">
      <c r="A68" s="23" t="s">
        <v>543</v>
      </c>
      <c r="B68" s="24"/>
      <c r="C68" s="24" t="s">
        <v>34</v>
      </c>
      <c r="D68" s="34" t="s">
        <v>356</v>
      </c>
      <c r="E68" s="55" t="s">
        <v>65</v>
      </c>
      <c r="F68" s="55" t="s">
        <v>52</v>
      </c>
      <c r="G68" s="28" t="s">
        <v>544</v>
      </c>
      <c r="H68" s="29"/>
      <c r="I68" s="29"/>
      <c r="J68" s="55" t="s">
        <v>39</v>
      </c>
      <c r="K68" s="55" t="s">
        <v>77</v>
      </c>
      <c r="L68" s="55" t="s">
        <v>540</v>
      </c>
      <c r="M68" s="27" t="s">
        <v>545</v>
      </c>
      <c r="N68" s="59" t="s">
        <v>43</v>
      </c>
      <c r="O68" s="56">
        <v>45647.0</v>
      </c>
      <c r="P68" s="57" t="s">
        <v>546</v>
      </c>
      <c r="Q68" s="55" t="s">
        <v>546</v>
      </c>
      <c r="R68" s="55"/>
      <c r="S68" s="58"/>
      <c r="T68" s="32"/>
      <c r="U68" s="32"/>
      <c r="V68" s="33" t="s">
        <v>547</v>
      </c>
      <c r="W68" s="33"/>
      <c r="X68" s="33"/>
      <c r="Y68" s="33"/>
      <c r="Z68" s="33"/>
      <c r="AA68" s="33"/>
      <c r="AB68" s="33"/>
      <c r="AC68" s="33"/>
      <c r="AD68" s="33"/>
      <c r="AE68" s="33"/>
      <c r="AF68" s="33"/>
    </row>
    <row r="69" ht="22.5" customHeight="1">
      <c r="A69" s="23" t="s">
        <v>548</v>
      </c>
      <c r="B69" s="24"/>
      <c r="C69" s="24" t="s">
        <v>34</v>
      </c>
      <c r="D69" s="34" t="s">
        <v>356</v>
      </c>
      <c r="E69" s="55" t="s">
        <v>65</v>
      </c>
      <c r="F69" s="55" t="s">
        <v>52</v>
      </c>
      <c r="G69" s="28" t="s">
        <v>549</v>
      </c>
      <c r="H69" s="29"/>
      <c r="I69" s="29"/>
      <c r="J69" s="55" t="s">
        <v>39</v>
      </c>
      <c r="K69" s="55" t="s">
        <v>77</v>
      </c>
      <c r="L69" s="55" t="s">
        <v>540</v>
      </c>
      <c r="M69" s="27" t="s">
        <v>550</v>
      </c>
      <c r="N69" s="59" t="s">
        <v>43</v>
      </c>
      <c r="O69" s="56">
        <v>45648.0</v>
      </c>
      <c r="P69" s="57" t="s">
        <v>551</v>
      </c>
      <c r="Q69" s="27" t="s">
        <v>46</v>
      </c>
      <c r="R69" s="55" t="s">
        <v>552</v>
      </c>
      <c r="S69" s="58">
        <v>985000.0</v>
      </c>
      <c r="T69" s="32"/>
      <c r="U69" s="32"/>
      <c r="V69" s="33" t="s">
        <v>553</v>
      </c>
      <c r="W69" s="33"/>
      <c r="X69" s="33"/>
      <c r="Y69" s="33"/>
      <c r="Z69" s="33"/>
      <c r="AA69" s="33"/>
      <c r="AB69" s="33"/>
      <c r="AC69" s="33"/>
      <c r="AD69" s="33"/>
      <c r="AE69" s="33"/>
      <c r="AF69" s="33"/>
    </row>
    <row r="70" ht="22.5" customHeight="1">
      <c r="A70" s="23" t="s">
        <v>554</v>
      </c>
      <c r="B70" s="60"/>
      <c r="C70" s="61" t="s">
        <v>34</v>
      </c>
      <c r="D70" s="62" t="s">
        <v>266</v>
      </c>
      <c r="E70" s="63" t="s">
        <v>407</v>
      </c>
      <c r="F70" s="55" t="s">
        <v>37</v>
      </c>
      <c r="G70" s="28" t="s">
        <v>555</v>
      </c>
      <c r="H70" s="29"/>
      <c r="I70" s="29"/>
      <c r="J70" s="55" t="s">
        <v>39</v>
      </c>
      <c r="K70" s="55" t="s">
        <v>326</v>
      </c>
      <c r="L70" s="55" t="s">
        <v>556</v>
      </c>
      <c r="M70" s="55" t="s">
        <v>557</v>
      </c>
      <c r="N70" s="59" t="s">
        <v>91</v>
      </c>
      <c r="O70" s="56">
        <v>45642.0</v>
      </c>
      <c r="P70" s="57" t="s">
        <v>558</v>
      </c>
      <c r="Q70" s="55" t="s">
        <v>559</v>
      </c>
      <c r="R70" s="55" t="s">
        <v>560</v>
      </c>
      <c r="S70" s="58">
        <v>480000.0</v>
      </c>
      <c r="T70" s="32"/>
      <c r="U70" s="32"/>
      <c r="V70" s="33" t="s">
        <v>561</v>
      </c>
      <c r="W70" s="33"/>
      <c r="X70" s="33"/>
      <c r="Y70" s="33"/>
      <c r="Z70" s="33"/>
      <c r="AA70" s="33"/>
      <c r="AB70" s="33"/>
      <c r="AC70" s="33"/>
      <c r="AD70" s="33"/>
      <c r="AE70" s="33"/>
      <c r="AF70" s="33"/>
    </row>
    <row r="71" ht="22.5" customHeight="1">
      <c r="A71" s="23" t="s">
        <v>562</v>
      </c>
      <c r="B71" s="64"/>
      <c r="C71" s="64" t="s">
        <v>34</v>
      </c>
      <c r="D71" s="65" t="s">
        <v>128</v>
      </c>
      <c r="E71" s="55" t="s">
        <v>36</v>
      </c>
      <c r="F71" s="55" t="s">
        <v>52</v>
      </c>
      <c r="G71" s="28" t="s">
        <v>563</v>
      </c>
      <c r="H71" s="29"/>
      <c r="I71" s="29"/>
      <c r="J71" s="55" t="s">
        <v>39</v>
      </c>
      <c r="K71" s="55" t="s">
        <v>533</v>
      </c>
      <c r="L71" s="55" t="s">
        <v>262</v>
      </c>
      <c r="M71" s="55" t="s">
        <v>124</v>
      </c>
      <c r="N71" s="59" t="s">
        <v>91</v>
      </c>
      <c r="O71" s="56">
        <v>45645.0</v>
      </c>
      <c r="P71" s="66" t="s">
        <v>564</v>
      </c>
      <c r="Q71" s="67" t="s">
        <v>565</v>
      </c>
      <c r="R71" s="55"/>
      <c r="S71" s="58"/>
      <c r="T71" s="32"/>
      <c r="U71" s="32"/>
      <c r="V71" s="33" t="s">
        <v>566</v>
      </c>
      <c r="W71" s="33"/>
      <c r="X71" s="33"/>
      <c r="Y71" s="33"/>
      <c r="Z71" s="33"/>
      <c r="AA71" s="33"/>
      <c r="AB71" s="33"/>
      <c r="AC71" s="33"/>
      <c r="AD71" s="33"/>
      <c r="AE71" s="33"/>
      <c r="AF71" s="33"/>
    </row>
    <row r="72" ht="22.5" customHeight="1">
      <c r="A72" s="23" t="s">
        <v>567</v>
      </c>
      <c r="B72" s="24"/>
      <c r="C72" s="24" t="s">
        <v>34</v>
      </c>
      <c r="D72" s="34" t="s">
        <v>50</v>
      </c>
      <c r="E72" s="55" t="s">
        <v>160</v>
      </c>
      <c r="F72" s="55" t="s">
        <v>52</v>
      </c>
      <c r="G72" s="28"/>
      <c r="H72" s="29"/>
      <c r="I72" s="29"/>
      <c r="J72" s="55" t="s">
        <v>39</v>
      </c>
      <c r="K72" s="55" t="s">
        <v>326</v>
      </c>
      <c r="L72" s="55" t="s">
        <v>520</v>
      </c>
      <c r="M72" s="55" t="s">
        <v>521</v>
      </c>
      <c r="N72" s="59" t="s">
        <v>91</v>
      </c>
      <c r="O72" s="56">
        <v>45644.0</v>
      </c>
      <c r="P72" s="57" t="s">
        <v>568</v>
      </c>
      <c r="Q72" s="68"/>
      <c r="R72" s="55"/>
      <c r="S72" s="58"/>
      <c r="T72" s="32"/>
      <c r="U72" s="32"/>
      <c r="V72" s="33" t="s">
        <v>569</v>
      </c>
      <c r="W72" s="33"/>
      <c r="X72" s="33"/>
      <c r="Y72" s="33"/>
      <c r="Z72" s="33"/>
      <c r="AA72" s="33"/>
      <c r="AB72" s="33"/>
      <c r="AC72" s="33"/>
      <c r="AD72" s="33"/>
      <c r="AE72" s="33"/>
      <c r="AF72" s="33"/>
    </row>
    <row r="73" ht="22.5" customHeight="1">
      <c r="A73" s="23" t="s">
        <v>570</v>
      </c>
      <c r="B73" s="24"/>
      <c r="C73" s="24" t="s">
        <v>34</v>
      </c>
      <c r="D73" s="34" t="s">
        <v>97</v>
      </c>
      <c r="E73" s="55" t="s">
        <v>571</v>
      </c>
      <c r="F73" s="55" t="s">
        <v>37</v>
      </c>
      <c r="G73" s="28" t="s">
        <v>572</v>
      </c>
      <c r="H73" s="29"/>
      <c r="I73" s="29"/>
      <c r="J73" s="55" t="s">
        <v>39</v>
      </c>
      <c r="K73" s="55" t="s">
        <v>358</v>
      </c>
      <c r="L73" s="55" t="s">
        <v>262</v>
      </c>
      <c r="M73" s="55" t="s">
        <v>124</v>
      </c>
      <c r="N73" s="59" t="s">
        <v>91</v>
      </c>
      <c r="O73" s="56">
        <v>45642.0</v>
      </c>
      <c r="P73" s="57" t="s">
        <v>573</v>
      </c>
      <c r="Q73" s="55" t="s">
        <v>557</v>
      </c>
      <c r="R73" s="55" t="s">
        <v>574</v>
      </c>
      <c r="S73" s="58"/>
      <c r="T73" s="32"/>
      <c r="U73" s="32"/>
      <c r="V73" s="33" t="s">
        <v>575</v>
      </c>
      <c r="W73" s="33"/>
      <c r="X73" s="33"/>
      <c r="Y73" s="33"/>
      <c r="Z73" s="33"/>
      <c r="AA73" s="33"/>
      <c r="AB73" s="33"/>
      <c r="AC73" s="33"/>
      <c r="AD73" s="33"/>
      <c r="AE73" s="33"/>
      <c r="AF73" s="33"/>
    </row>
    <row r="74" ht="22.5" customHeight="1">
      <c r="A74" s="23" t="s">
        <v>576</v>
      </c>
      <c r="B74" s="24"/>
      <c r="C74" s="24" t="s">
        <v>34</v>
      </c>
      <c r="D74" s="34" t="s">
        <v>369</v>
      </c>
      <c r="E74" s="55" t="s">
        <v>577</v>
      </c>
      <c r="F74" s="55" t="s">
        <v>52</v>
      </c>
      <c r="G74" s="28" t="s">
        <v>578</v>
      </c>
      <c r="H74" s="29"/>
      <c r="I74" s="29"/>
      <c r="J74" s="55" t="s">
        <v>39</v>
      </c>
      <c r="K74" s="55" t="s">
        <v>358</v>
      </c>
      <c r="L74" s="55" t="s">
        <v>262</v>
      </c>
      <c r="M74" s="55" t="s">
        <v>124</v>
      </c>
      <c r="N74" s="59" t="s">
        <v>579</v>
      </c>
      <c r="O74" s="56">
        <v>45629.0</v>
      </c>
      <c r="P74" s="57" t="s">
        <v>520</v>
      </c>
      <c r="Q74" s="55" t="s">
        <v>521</v>
      </c>
      <c r="R74" s="55" t="s">
        <v>580</v>
      </c>
      <c r="S74" s="58">
        <v>1600000.0</v>
      </c>
      <c r="T74" s="32"/>
      <c r="U74" s="32"/>
      <c r="V74" s="33" t="s">
        <v>581</v>
      </c>
      <c r="W74" s="33"/>
      <c r="X74" s="33"/>
      <c r="Y74" s="33"/>
      <c r="Z74" s="33"/>
      <c r="AA74" s="33"/>
      <c r="AB74" s="33"/>
      <c r="AC74" s="33"/>
      <c r="AD74" s="33"/>
      <c r="AE74" s="33"/>
      <c r="AF74" s="33"/>
    </row>
    <row r="75" ht="22.5" customHeight="1">
      <c r="A75" s="23" t="s">
        <v>582</v>
      </c>
      <c r="B75" s="24"/>
      <c r="C75" s="24" t="s">
        <v>34</v>
      </c>
      <c r="D75" s="34" t="s">
        <v>303</v>
      </c>
      <c r="E75" s="55" t="s">
        <v>65</v>
      </c>
      <c r="F75" s="55" t="s">
        <v>86</v>
      </c>
      <c r="G75" s="28" t="s">
        <v>583</v>
      </c>
      <c r="H75" s="29"/>
      <c r="I75" s="29"/>
      <c r="J75" s="55" t="s">
        <v>39</v>
      </c>
      <c r="K75" s="55" t="s">
        <v>584</v>
      </c>
      <c r="L75" s="55" t="s">
        <v>585</v>
      </c>
      <c r="M75" s="55" t="s">
        <v>411</v>
      </c>
      <c r="N75" s="59" t="s">
        <v>91</v>
      </c>
      <c r="O75" s="56">
        <v>45646.0</v>
      </c>
      <c r="P75" s="57" t="s">
        <v>586</v>
      </c>
      <c r="Q75" s="55" t="s">
        <v>587</v>
      </c>
      <c r="R75" s="55" t="s">
        <v>588</v>
      </c>
      <c r="S75" s="58">
        <v>230000.0</v>
      </c>
      <c r="T75" s="32"/>
      <c r="U75" s="32"/>
      <c r="V75" s="33" t="s">
        <v>589</v>
      </c>
      <c r="W75" s="33"/>
      <c r="X75" s="33"/>
      <c r="Y75" s="33"/>
      <c r="Z75" s="33"/>
      <c r="AA75" s="33"/>
      <c r="AB75" s="33"/>
      <c r="AC75" s="33"/>
      <c r="AD75" s="33"/>
      <c r="AE75" s="33"/>
      <c r="AF75" s="33"/>
    </row>
    <row r="76" ht="22.5" customHeight="1">
      <c r="A76" s="23" t="s">
        <v>590</v>
      </c>
      <c r="B76" s="24"/>
      <c r="C76" s="24" t="s">
        <v>34</v>
      </c>
      <c r="D76" s="34" t="s">
        <v>187</v>
      </c>
      <c r="E76" s="55" t="s">
        <v>591</v>
      </c>
      <c r="F76" s="55" t="s">
        <v>86</v>
      </c>
      <c r="G76" s="28"/>
      <c r="H76" s="29"/>
      <c r="I76" s="29"/>
      <c r="J76" s="55" t="s">
        <v>39</v>
      </c>
      <c r="K76" s="55" t="s">
        <v>592</v>
      </c>
      <c r="L76" s="55" t="s">
        <v>593</v>
      </c>
      <c r="M76" s="55" t="s">
        <v>594</v>
      </c>
      <c r="N76" s="59" t="s">
        <v>91</v>
      </c>
      <c r="O76" s="56">
        <v>45637.0</v>
      </c>
      <c r="P76" s="57" t="s">
        <v>93</v>
      </c>
      <c r="Q76" s="36" t="s">
        <v>94</v>
      </c>
      <c r="R76" s="55" t="s">
        <v>595</v>
      </c>
      <c r="S76" s="58">
        <v>450000.0</v>
      </c>
      <c r="T76" s="32"/>
      <c r="U76" s="32"/>
      <c r="V76" s="33" t="s">
        <v>596</v>
      </c>
      <c r="W76" s="33"/>
      <c r="X76" s="33"/>
      <c r="Y76" s="33"/>
      <c r="Z76" s="33"/>
      <c r="AA76" s="33"/>
      <c r="AB76" s="33"/>
      <c r="AC76" s="33"/>
      <c r="AD76" s="33"/>
      <c r="AE76" s="33"/>
      <c r="AF76" s="33"/>
    </row>
    <row r="77" ht="22.5" customHeight="1">
      <c r="A77" s="23" t="s">
        <v>597</v>
      </c>
      <c r="B77" s="24"/>
      <c r="C77" s="24" t="s">
        <v>34</v>
      </c>
      <c r="D77" s="34" t="s">
        <v>598</v>
      </c>
      <c r="E77" s="55" t="s">
        <v>65</v>
      </c>
      <c r="F77" s="55" t="s">
        <v>86</v>
      </c>
      <c r="G77" s="28" t="s">
        <v>319</v>
      </c>
      <c r="H77" s="29"/>
      <c r="I77" s="29"/>
      <c r="J77" s="27" t="s">
        <v>228</v>
      </c>
      <c r="K77" s="27" t="s">
        <v>122</v>
      </c>
      <c r="L77" s="55" t="s">
        <v>93</v>
      </c>
      <c r="M77" s="36" t="s">
        <v>94</v>
      </c>
      <c r="N77" s="59" t="s">
        <v>91</v>
      </c>
      <c r="O77" s="56">
        <v>45637.0</v>
      </c>
      <c r="P77" s="57" t="s">
        <v>134</v>
      </c>
      <c r="Q77" s="55" t="s">
        <v>112</v>
      </c>
      <c r="R77" s="55" t="s">
        <v>599</v>
      </c>
      <c r="S77" s="58">
        <v>345000.0</v>
      </c>
      <c r="T77" s="32"/>
      <c r="U77" s="32"/>
      <c r="V77" s="33" t="s">
        <v>600</v>
      </c>
      <c r="W77" s="33"/>
      <c r="X77" s="33"/>
      <c r="Y77" s="33"/>
      <c r="Z77" s="33"/>
      <c r="AA77" s="33"/>
      <c r="AB77" s="33"/>
      <c r="AC77" s="33"/>
      <c r="AD77" s="33"/>
      <c r="AE77" s="33"/>
      <c r="AF77" s="33"/>
    </row>
    <row r="78" ht="22.5" customHeight="1">
      <c r="A78" s="23" t="s">
        <v>601</v>
      </c>
      <c r="B78" s="24"/>
      <c r="C78" s="24" t="s">
        <v>34</v>
      </c>
      <c r="D78" s="34" t="s">
        <v>602</v>
      </c>
      <c r="E78" s="69" t="s">
        <v>603</v>
      </c>
      <c r="F78" s="55" t="s">
        <v>414</v>
      </c>
      <c r="G78" s="28" t="s">
        <v>604</v>
      </c>
      <c r="H78" s="29">
        <v>1550000.0</v>
      </c>
      <c r="I78" s="29"/>
      <c r="J78" s="55" t="s">
        <v>39</v>
      </c>
      <c r="K78" s="55" t="s">
        <v>358</v>
      </c>
      <c r="L78" s="55" t="s">
        <v>262</v>
      </c>
      <c r="M78" s="55" t="s">
        <v>124</v>
      </c>
      <c r="N78" s="59" t="s">
        <v>43</v>
      </c>
      <c r="O78" s="56">
        <v>45657.0</v>
      </c>
      <c r="P78" s="57" t="s">
        <v>605</v>
      </c>
      <c r="Q78" s="55" t="s">
        <v>606</v>
      </c>
      <c r="R78" s="55" t="s">
        <v>607</v>
      </c>
      <c r="S78" s="58">
        <v>1550000.0</v>
      </c>
      <c r="T78" s="32"/>
      <c r="U78" s="32"/>
      <c r="V78" s="33" t="s">
        <v>608</v>
      </c>
      <c r="W78" s="33"/>
      <c r="X78" s="33"/>
      <c r="Y78" s="33"/>
      <c r="Z78" s="33"/>
      <c r="AA78" s="33"/>
      <c r="AB78" s="33"/>
      <c r="AC78" s="33"/>
      <c r="AD78" s="33"/>
      <c r="AE78" s="33"/>
      <c r="AF78" s="33"/>
    </row>
    <row r="79" ht="22.5" customHeight="1">
      <c r="A79" s="23" t="s">
        <v>609</v>
      </c>
      <c r="B79" s="24"/>
      <c r="C79" s="24" t="s">
        <v>34</v>
      </c>
      <c r="D79" s="34" t="s">
        <v>258</v>
      </c>
      <c r="E79" s="69" t="s">
        <v>218</v>
      </c>
      <c r="F79" s="55" t="s">
        <v>52</v>
      </c>
      <c r="G79" s="28" t="s">
        <v>610</v>
      </c>
      <c r="H79" s="29"/>
      <c r="I79" s="29"/>
      <c r="J79" s="55" t="s">
        <v>39</v>
      </c>
      <c r="K79" s="55" t="s">
        <v>611</v>
      </c>
      <c r="L79" s="55" t="s">
        <v>612</v>
      </c>
      <c r="M79" s="55" t="s">
        <v>606</v>
      </c>
      <c r="N79" s="59" t="s">
        <v>91</v>
      </c>
      <c r="O79" s="56">
        <v>45657.0</v>
      </c>
      <c r="P79" s="57" t="s">
        <v>534</v>
      </c>
      <c r="Q79" s="55" t="s">
        <v>613</v>
      </c>
      <c r="R79" s="55" t="s">
        <v>614</v>
      </c>
      <c r="S79" s="58">
        <v>980000.0</v>
      </c>
      <c r="T79" s="32"/>
      <c r="U79" s="32"/>
      <c r="V79" s="33" t="s">
        <v>615</v>
      </c>
      <c r="W79" s="33"/>
      <c r="X79" s="33"/>
      <c r="Y79" s="33"/>
      <c r="Z79" s="33"/>
      <c r="AA79" s="33"/>
      <c r="AB79" s="33"/>
      <c r="AC79" s="33"/>
      <c r="AD79" s="33"/>
      <c r="AE79" s="33"/>
      <c r="AF79" s="33"/>
    </row>
    <row r="80" ht="22.5" customHeight="1">
      <c r="A80" s="23" t="s">
        <v>616</v>
      </c>
      <c r="B80" s="24"/>
      <c r="C80" s="24" t="s">
        <v>34</v>
      </c>
      <c r="D80" s="34" t="s">
        <v>617</v>
      </c>
      <c r="E80" s="70" t="s">
        <v>51</v>
      </c>
      <c r="F80" s="55" t="s">
        <v>37</v>
      </c>
      <c r="G80" s="28" t="s">
        <v>618</v>
      </c>
      <c r="H80" s="29"/>
      <c r="I80" s="29"/>
      <c r="J80" s="55" t="s">
        <v>39</v>
      </c>
      <c r="K80" s="55" t="s">
        <v>619</v>
      </c>
      <c r="L80" s="55" t="s">
        <v>620</v>
      </c>
      <c r="M80" s="55" t="s">
        <v>621</v>
      </c>
      <c r="N80" s="59" t="s">
        <v>43</v>
      </c>
      <c r="O80" s="56">
        <v>45656.0</v>
      </c>
      <c r="P80" s="57" t="s">
        <v>558</v>
      </c>
      <c r="Q80" s="55" t="s">
        <v>559</v>
      </c>
      <c r="R80" s="55"/>
      <c r="S80" s="58"/>
      <c r="T80" s="32"/>
      <c r="U80" s="32"/>
      <c r="V80" s="33" t="s">
        <v>622</v>
      </c>
      <c r="W80" s="33"/>
      <c r="X80" s="33"/>
      <c r="Y80" s="33"/>
      <c r="Z80" s="33"/>
      <c r="AA80" s="33"/>
      <c r="AB80" s="33"/>
      <c r="AC80" s="33"/>
      <c r="AD80" s="33"/>
      <c r="AE80" s="33"/>
      <c r="AF80" s="33"/>
    </row>
    <row r="81" ht="22.5" customHeight="1">
      <c r="A81" s="23" t="s">
        <v>623</v>
      </c>
      <c r="B81" s="24"/>
      <c r="C81" s="24" t="s">
        <v>34</v>
      </c>
      <c r="D81" s="34" t="s">
        <v>624</v>
      </c>
      <c r="E81" s="70" t="s">
        <v>188</v>
      </c>
      <c r="F81" s="55" t="s">
        <v>86</v>
      </c>
      <c r="G81" s="28"/>
      <c r="H81" s="29"/>
      <c r="I81" s="29"/>
      <c r="J81" s="55" t="s">
        <v>39</v>
      </c>
      <c r="K81" s="55" t="s">
        <v>625</v>
      </c>
      <c r="L81" s="55" t="s">
        <v>626</v>
      </c>
      <c r="M81" s="55" t="s">
        <v>627</v>
      </c>
      <c r="N81" s="59" t="s">
        <v>91</v>
      </c>
      <c r="O81" s="56">
        <v>45662.0</v>
      </c>
      <c r="P81" s="57" t="s">
        <v>289</v>
      </c>
      <c r="Q81" s="55" t="s">
        <v>290</v>
      </c>
      <c r="R81" s="55" t="s">
        <v>628</v>
      </c>
      <c r="S81" s="58">
        <v>280000.0</v>
      </c>
      <c r="T81" s="32"/>
      <c r="U81" s="32"/>
      <c r="V81" s="33" t="s">
        <v>629</v>
      </c>
      <c r="W81" s="33"/>
      <c r="X81" s="33"/>
      <c r="Y81" s="33"/>
      <c r="Z81" s="33"/>
      <c r="AA81" s="33"/>
      <c r="AB81" s="33"/>
      <c r="AC81" s="33"/>
      <c r="AD81" s="33"/>
      <c r="AE81" s="33"/>
      <c r="AF81" s="33"/>
    </row>
    <row r="82" ht="22.5" customHeight="1">
      <c r="A82" s="23" t="s">
        <v>630</v>
      </c>
      <c r="B82" s="24"/>
      <c r="C82" s="24" t="s">
        <v>34</v>
      </c>
      <c r="D82" s="34" t="s">
        <v>631</v>
      </c>
      <c r="E82" s="70" t="s">
        <v>51</v>
      </c>
      <c r="F82" s="55" t="s">
        <v>52</v>
      </c>
      <c r="G82" s="28" t="s">
        <v>632</v>
      </c>
      <c r="H82" s="29"/>
      <c r="I82" s="29"/>
      <c r="J82" s="55" t="s">
        <v>39</v>
      </c>
      <c r="K82" s="55" t="s">
        <v>326</v>
      </c>
      <c r="L82" s="55" t="s">
        <v>520</v>
      </c>
      <c r="M82" s="55"/>
      <c r="N82" s="59" t="s">
        <v>91</v>
      </c>
      <c r="O82" s="56">
        <v>45660.0</v>
      </c>
      <c r="P82" s="57" t="s">
        <v>633</v>
      </c>
      <c r="Q82" s="55" t="s">
        <v>307</v>
      </c>
      <c r="R82" s="55" t="s">
        <v>634</v>
      </c>
      <c r="S82" s="58">
        <v>940000.0</v>
      </c>
      <c r="T82" s="32"/>
      <c r="U82" s="32"/>
      <c r="V82" s="33" t="s">
        <v>635</v>
      </c>
      <c r="W82" s="33"/>
      <c r="X82" s="33"/>
      <c r="Y82" s="33"/>
      <c r="Z82" s="33"/>
      <c r="AA82" s="33"/>
      <c r="AB82" s="33"/>
      <c r="AC82" s="33"/>
      <c r="AD82" s="33"/>
      <c r="AE82" s="33"/>
      <c r="AF82" s="33"/>
    </row>
    <row r="83" ht="22.5" customHeight="1">
      <c r="A83" s="23" t="s">
        <v>313</v>
      </c>
      <c r="B83" s="24"/>
      <c r="C83" s="24" t="s">
        <v>34</v>
      </c>
      <c r="D83" s="34" t="s">
        <v>64</v>
      </c>
      <c r="E83" s="70" t="s">
        <v>65</v>
      </c>
      <c r="F83" s="55" t="s">
        <v>122</v>
      </c>
      <c r="G83" s="28" t="s">
        <v>636</v>
      </c>
      <c r="H83" s="29"/>
      <c r="I83" s="29"/>
      <c r="J83" s="55" t="s">
        <v>68</v>
      </c>
      <c r="K83" s="55" t="s">
        <v>122</v>
      </c>
      <c r="L83" s="55" t="s">
        <v>253</v>
      </c>
      <c r="M83" s="55"/>
      <c r="N83" s="59" t="s">
        <v>91</v>
      </c>
      <c r="O83" s="56">
        <v>45663.0</v>
      </c>
      <c r="P83" s="57" t="s">
        <v>253</v>
      </c>
      <c r="Q83" s="27" t="s">
        <v>254</v>
      </c>
      <c r="R83" s="55" t="s">
        <v>637</v>
      </c>
      <c r="S83" s="58" t="s">
        <v>546</v>
      </c>
      <c r="T83" s="32"/>
      <c r="U83" s="32"/>
      <c r="V83" s="33" t="s">
        <v>638</v>
      </c>
      <c r="W83" s="33"/>
      <c r="X83" s="33"/>
      <c r="Y83" s="33"/>
      <c r="Z83" s="33"/>
      <c r="AA83" s="33"/>
      <c r="AB83" s="33"/>
      <c r="AC83" s="33"/>
      <c r="AD83" s="33"/>
      <c r="AE83" s="33"/>
      <c r="AF83" s="33"/>
    </row>
    <row r="84" ht="22.5" customHeight="1">
      <c r="A84" s="23" t="s">
        <v>639</v>
      </c>
      <c r="B84" s="24"/>
      <c r="C84" s="24" t="s">
        <v>34</v>
      </c>
      <c r="D84" s="34" t="s">
        <v>398</v>
      </c>
      <c r="E84" s="70" t="s">
        <v>160</v>
      </c>
      <c r="F84" s="55" t="s">
        <v>37</v>
      </c>
      <c r="G84" s="28" t="s">
        <v>640</v>
      </c>
      <c r="H84" s="29"/>
      <c r="I84" s="29"/>
      <c r="J84" s="55" t="s">
        <v>39</v>
      </c>
      <c r="K84" s="55" t="s">
        <v>641</v>
      </c>
      <c r="L84" s="55" t="s">
        <v>231</v>
      </c>
      <c r="M84" s="55" t="s">
        <v>232</v>
      </c>
      <c r="N84" s="59" t="s">
        <v>91</v>
      </c>
      <c r="O84" s="56">
        <v>45673.0</v>
      </c>
      <c r="P84" s="57" t="s">
        <v>642</v>
      </c>
      <c r="Q84" s="55" t="s">
        <v>643</v>
      </c>
      <c r="R84" s="55" t="s">
        <v>644</v>
      </c>
      <c r="S84" s="58">
        <v>720000.0</v>
      </c>
      <c r="T84" s="32"/>
      <c r="U84" s="32"/>
      <c r="V84" s="33" t="s">
        <v>645</v>
      </c>
      <c r="W84" s="33"/>
      <c r="X84" s="33"/>
      <c r="Y84" s="33"/>
      <c r="Z84" s="33"/>
      <c r="AA84" s="33"/>
      <c r="AB84" s="33"/>
      <c r="AC84" s="33"/>
      <c r="AD84" s="33"/>
      <c r="AE84" s="33"/>
      <c r="AF84" s="33"/>
    </row>
    <row r="85" ht="22.5" customHeight="1">
      <c r="A85" s="23" t="s">
        <v>646</v>
      </c>
      <c r="B85" s="24"/>
      <c r="C85" s="24" t="s">
        <v>34</v>
      </c>
      <c r="D85" s="34" t="s">
        <v>50</v>
      </c>
      <c r="E85" s="70" t="s">
        <v>51</v>
      </c>
      <c r="F85" s="55" t="s">
        <v>52</v>
      </c>
      <c r="G85" s="28" t="s">
        <v>647</v>
      </c>
      <c r="H85" s="29"/>
      <c r="I85" s="29"/>
      <c r="J85" s="55" t="s">
        <v>39</v>
      </c>
      <c r="K85" s="55" t="s">
        <v>436</v>
      </c>
      <c r="L85" s="55" t="s">
        <v>648</v>
      </c>
      <c r="M85" s="55" t="s">
        <v>649</v>
      </c>
      <c r="N85" s="59" t="s">
        <v>91</v>
      </c>
      <c r="O85" s="56">
        <v>45670.0</v>
      </c>
      <c r="P85" s="71" t="s">
        <v>173</v>
      </c>
      <c r="Q85" s="55" t="s">
        <v>174</v>
      </c>
      <c r="R85" s="55" t="s">
        <v>650</v>
      </c>
      <c r="S85" s="58">
        <v>800000.0</v>
      </c>
      <c r="T85" s="32"/>
      <c r="U85" s="32"/>
      <c r="V85" s="33" t="s">
        <v>651</v>
      </c>
      <c r="W85" s="33"/>
      <c r="X85" s="33"/>
      <c r="Y85" s="33"/>
      <c r="Z85" s="33"/>
      <c r="AA85" s="33"/>
      <c r="AB85" s="33"/>
      <c r="AC85" s="33"/>
      <c r="AD85" s="33"/>
      <c r="AE85" s="33"/>
      <c r="AF85" s="33"/>
    </row>
    <row r="86" ht="22.5" customHeight="1">
      <c r="A86" s="23" t="s">
        <v>305</v>
      </c>
      <c r="B86" s="24"/>
      <c r="C86" s="24" t="s">
        <v>34</v>
      </c>
      <c r="D86" s="34" t="s">
        <v>50</v>
      </c>
      <c r="E86" s="70" t="s">
        <v>160</v>
      </c>
      <c r="F86" s="55" t="s">
        <v>52</v>
      </c>
      <c r="G86" s="28" t="s">
        <v>652</v>
      </c>
      <c r="H86" s="29"/>
      <c r="I86" s="29"/>
      <c r="J86" s="55" t="s">
        <v>39</v>
      </c>
      <c r="K86" s="55" t="s">
        <v>443</v>
      </c>
      <c r="L86" s="55" t="s">
        <v>431</v>
      </c>
      <c r="M86" s="55" t="s">
        <v>458</v>
      </c>
      <c r="N86" s="59" t="s">
        <v>43</v>
      </c>
      <c r="O86" s="56">
        <v>45678.0</v>
      </c>
      <c r="P86" s="71" t="s">
        <v>431</v>
      </c>
      <c r="Q86" s="55" t="s">
        <v>458</v>
      </c>
      <c r="R86" s="55" t="s">
        <v>653</v>
      </c>
      <c r="S86" s="58">
        <v>700000.0</v>
      </c>
      <c r="T86" s="32"/>
      <c r="U86" s="32"/>
      <c r="V86" s="33" t="s">
        <v>654</v>
      </c>
      <c r="W86" s="33"/>
      <c r="X86" s="33"/>
      <c r="Y86" s="33"/>
      <c r="Z86" s="33"/>
      <c r="AA86" s="33"/>
      <c r="AB86" s="33"/>
      <c r="AC86" s="33"/>
      <c r="AD86" s="33"/>
      <c r="AE86" s="33"/>
      <c r="AF86" s="33"/>
    </row>
    <row r="87" ht="22.5" customHeight="1">
      <c r="A87" s="23" t="s">
        <v>655</v>
      </c>
      <c r="B87" s="24"/>
      <c r="C87" s="24" t="s">
        <v>34</v>
      </c>
      <c r="D87" s="34" t="s">
        <v>656</v>
      </c>
      <c r="E87" s="70" t="s">
        <v>218</v>
      </c>
      <c r="F87" s="55" t="s">
        <v>52</v>
      </c>
      <c r="G87" s="28" t="s">
        <v>657</v>
      </c>
      <c r="H87" s="29"/>
      <c r="I87" s="29"/>
      <c r="J87" s="55" t="s">
        <v>39</v>
      </c>
      <c r="K87" s="55" t="s">
        <v>658</v>
      </c>
      <c r="L87" s="55" t="s">
        <v>394</v>
      </c>
      <c r="M87" s="55" t="s">
        <v>395</v>
      </c>
      <c r="N87" s="59" t="s">
        <v>43</v>
      </c>
      <c r="O87" s="56">
        <v>45675.0</v>
      </c>
      <c r="P87" s="57" t="s">
        <v>659</v>
      </c>
      <c r="Q87" s="55" t="s">
        <v>660</v>
      </c>
      <c r="R87" s="55"/>
      <c r="S87" s="58"/>
      <c r="T87" s="32"/>
      <c r="U87" s="32"/>
      <c r="V87" s="33" t="s">
        <v>661</v>
      </c>
      <c r="W87" s="33"/>
      <c r="X87" s="33"/>
      <c r="Y87" s="33"/>
      <c r="Z87" s="33"/>
      <c r="AA87" s="33"/>
      <c r="AB87" s="33"/>
      <c r="AC87" s="33"/>
      <c r="AD87" s="33"/>
      <c r="AE87" s="33"/>
      <c r="AF87" s="33"/>
    </row>
    <row r="88" ht="22.5" customHeight="1">
      <c r="A88" s="23" t="s">
        <v>662</v>
      </c>
      <c r="B88" s="24"/>
      <c r="C88" s="24" t="s">
        <v>34</v>
      </c>
      <c r="D88" s="34" t="s">
        <v>177</v>
      </c>
      <c r="E88" s="70" t="s">
        <v>188</v>
      </c>
      <c r="F88" s="55" t="s">
        <v>52</v>
      </c>
      <c r="G88" s="28" t="s">
        <v>429</v>
      </c>
      <c r="H88" s="29"/>
      <c r="I88" s="29"/>
      <c r="J88" s="55" t="s">
        <v>39</v>
      </c>
      <c r="K88" s="55" t="s">
        <v>663</v>
      </c>
      <c r="L88" s="72" t="s">
        <v>172</v>
      </c>
      <c r="M88" s="27" t="s">
        <v>46</v>
      </c>
      <c r="N88" s="73" t="s">
        <v>43</v>
      </c>
      <c r="O88" s="56">
        <v>45676.0</v>
      </c>
      <c r="P88" s="57" t="s">
        <v>364</v>
      </c>
      <c r="Q88" s="55" t="s">
        <v>365</v>
      </c>
      <c r="R88" s="55" t="s">
        <v>664</v>
      </c>
      <c r="S88" s="58">
        <v>680000.0</v>
      </c>
      <c r="T88" s="32"/>
      <c r="U88" s="32"/>
      <c r="V88" s="33" t="s">
        <v>665</v>
      </c>
      <c r="W88" s="33"/>
      <c r="X88" s="33"/>
      <c r="Y88" s="33"/>
      <c r="Z88" s="33"/>
      <c r="AA88" s="33"/>
      <c r="AB88" s="33"/>
      <c r="AC88" s="33"/>
      <c r="AD88" s="33"/>
      <c r="AE88" s="33"/>
      <c r="AF88" s="33"/>
    </row>
    <row r="89" ht="22.5" customHeight="1">
      <c r="A89" s="23" t="s">
        <v>88</v>
      </c>
      <c r="B89" s="24"/>
      <c r="C89" s="24" t="s">
        <v>34</v>
      </c>
      <c r="D89" s="34" t="s">
        <v>356</v>
      </c>
      <c r="E89" s="70" t="s">
        <v>65</v>
      </c>
      <c r="F89" s="55" t="s">
        <v>37</v>
      </c>
      <c r="G89" s="28" t="s">
        <v>666</v>
      </c>
      <c r="H89" s="29"/>
      <c r="I89" s="29"/>
      <c r="J89" s="55" t="s">
        <v>39</v>
      </c>
      <c r="K89" s="55" t="s">
        <v>358</v>
      </c>
      <c r="L89" s="27" t="s">
        <v>100</v>
      </c>
      <c r="M89" s="27" t="s">
        <v>101</v>
      </c>
      <c r="N89" s="59" t="s">
        <v>579</v>
      </c>
      <c r="O89" s="56">
        <v>45677.0</v>
      </c>
      <c r="P89" s="57" t="s">
        <v>163</v>
      </c>
      <c r="Q89" s="55" t="s">
        <v>667</v>
      </c>
      <c r="R89" s="55" t="s">
        <v>668</v>
      </c>
      <c r="S89" s="58">
        <v>1280000.0</v>
      </c>
      <c r="T89" s="32"/>
      <c r="U89" s="32"/>
      <c r="V89" s="33" t="s">
        <v>669</v>
      </c>
      <c r="W89" s="33"/>
      <c r="X89" s="33"/>
      <c r="Y89" s="33"/>
      <c r="Z89" s="33"/>
      <c r="AA89" s="33"/>
      <c r="AB89" s="33"/>
      <c r="AC89" s="33"/>
      <c r="AD89" s="33"/>
      <c r="AE89" s="33"/>
      <c r="AF89" s="33"/>
    </row>
    <row r="90" ht="22.5" customHeight="1">
      <c r="A90" s="23" t="s">
        <v>179</v>
      </c>
      <c r="B90" s="24"/>
      <c r="C90" s="24" t="s">
        <v>34</v>
      </c>
      <c r="D90" s="34" t="s">
        <v>356</v>
      </c>
      <c r="E90" s="70" t="s">
        <v>65</v>
      </c>
      <c r="F90" s="55" t="s">
        <v>37</v>
      </c>
      <c r="G90" s="28" t="s">
        <v>670</v>
      </c>
      <c r="H90" s="29"/>
      <c r="I90" s="29"/>
      <c r="J90" s="55" t="s">
        <v>39</v>
      </c>
      <c r="K90" s="55" t="s">
        <v>358</v>
      </c>
      <c r="L90" s="27" t="s">
        <v>100</v>
      </c>
      <c r="M90" s="27" t="s">
        <v>101</v>
      </c>
      <c r="N90" s="59" t="s">
        <v>43</v>
      </c>
      <c r="O90" s="56">
        <v>45681.0</v>
      </c>
      <c r="P90" s="57" t="s">
        <v>671</v>
      </c>
      <c r="Q90" s="55" t="s">
        <v>71</v>
      </c>
      <c r="R90" s="55" t="s">
        <v>672</v>
      </c>
      <c r="S90" s="58">
        <v>950000.0</v>
      </c>
      <c r="T90" s="32"/>
      <c r="U90" s="32"/>
      <c r="V90" s="33" t="s">
        <v>673</v>
      </c>
      <c r="W90" s="33"/>
      <c r="X90" s="33"/>
      <c r="Y90" s="33"/>
      <c r="Z90" s="33"/>
      <c r="AA90" s="33"/>
      <c r="AB90" s="33"/>
      <c r="AC90" s="33"/>
      <c r="AD90" s="33"/>
      <c r="AE90" s="33"/>
      <c r="AF90" s="33"/>
    </row>
    <row r="91" ht="22.5" customHeight="1">
      <c r="A91" s="23" t="s">
        <v>674</v>
      </c>
      <c r="B91" s="24"/>
      <c r="C91" s="24" t="s">
        <v>34</v>
      </c>
      <c r="D91" s="34" t="s">
        <v>675</v>
      </c>
      <c r="E91" s="70" t="s">
        <v>399</v>
      </c>
      <c r="F91" s="55" t="s">
        <v>676</v>
      </c>
      <c r="G91" s="28" t="s">
        <v>677</v>
      </c>
      <c r="H91" s="29"/>
      <c r="I91" s="29"/>
      <c r="J91" s="55" t="s">
        <v>228</v>
      </c>
      <c r="K91" s="55" t="s">
        <v>122</v>
      </c>
      <c r="L91" s="55" t="s">
        <v>262</v>
      </c>
      <c r="M91" s="55" t="s">
        <v>124</v>
      </c>
      <c r="N91" s="59" t="s">
        <v>91</v>
      </c>
      <c r="O91" s="56">
        <v>45681.0</v>
      </c>
      <c r="P91" s="57" t="s">
        <v>678</v>
      </c>
      <c r="Q91" s="55" t="s">
        <v>679</v>
      </c>
      <c r="R91" s="55"/>
      <c r="S91" s="58"/>
      <c r="T91" s="32"/>
      <c r="U91" s="32"/>
      <c r="V91" s="33" t="s">
        <v>680</v>
      </c>
      <c r="W91" s="33"/>
      <c r="X91" s="33"/>
      <c r="Y91" s="33"/>
      <c r="Z91" s="33"/>
      <c r="AA91" s="33"/>
      <c r="AB91" s="33"/>
      <c r="AC91" s="33"/>
      <c r="AD91" s="33"/>
      <c r="AE91" s="33"/>
      <c r="AF91" s="33"/>
    </row>
    <row r="92" ht="22.5" customHeight="1">
      <c r="A92" s="74" t="s">
        <v>40</v>
      </c>
      <c r="B92" s="75"/>
      <c r="C92" s="75" t="s">
        <v>34</v>
      </c>
      <c r="D92" s="76" t="s">
        <v>177</v>
      </c>
      <c r="E92" s="70" t="s">
        <v>370</v>
      </c>
      <c r="F92" s="55" t="s">
        <v>37</v>
      </c>
      <c r="G92" s="28" t="s">
        <v>681</v>
      </c>
      <c r="H92" s="29"/>
      <c r="I92" s="29"/>
      <c r="J92" s="55" t="s">
        <v>39</v>
      </c>
      <c r="K92" s="55" t="s">
        <v>326</v>
      </c>
      <c r="L92" s="55" t="s">
        <v>682</v>
      </c>
      <c r="M92" s="55" t="s">
        <v>271</v>
      </c>
      <c r="N92" s="59" t="s">
        <v>91</v>
      </c>
      <c r="O92" s="56">
        <v>45682.0</v>
      </c>
      <c r="P92" s="57" t="s">
        <v>472</v>
      </c>
      <c r="Q92" s="55" t="s">
        <v>473</v>
      </c>
      <c r="R92" s="55" t="s">
        <v>683</v>
      </c>
      <c r="S92" s="58">
        <v>1180000.0</v>
      </c>
      <c r="T92" s="32"/>
      <c r="U92" s="32"/>
      <c r="V92" s="33" t="s">
        <v>684</v>
      </c>
      <c r="W92" s="33"/>
      <c r="X92" s="33"/>
      <c r="Y92" s="33"/>
      <c r="Z92" s="33"/>
      <c r="AA92" s="33"/>
      <c r="AB92" s="33"/>
      <c r="AC92" s="33"/>
      <c r="AD92" s="33"/>
      <c r="AE92" s="33"/>
      <c r="AF92" s="33"/>
    </row>
    <row r="93" ht="22.5" customHeight="1">
      <c r="A93" s="74" t="s">
        <v>54</v>
      </c>
      <c r="B93" s="75"/>
      <c r="C93" s="75" t="s">
        <v>34</v>
      </c>
      <c r="D93" s="76" t="s">
        <v>685</v>
      </c>
      <c r="E93" s="70" t="s">
        <v>65</v>
      </c>
      <c r="F93" s="55" t="s">
        <v>37</v>
      </c>
      <c r="G93" s="28" t="s">
        <v>686</v>
      </c>
      <c r="H93" s="29"/>
      <c r="I93" s="29"/>
      <c r="J93" s="55" t="s">
        <v>39</v>
      </c>
      <c r="K93" s="55" t="s">
        <v>663</v>
      </c>
      <c r="L93" s="55" t="s">
        <v>163</v>
      </c>
      <c r="M93" s="55" t="s">
        <v>667</v>
      </c>
      <c r="N93" s="59" t="s">
        <v>91</v>
      </c>
      <c r="O93" s="56">
        <v>45687.0</v>
      </c>
      <c r="P93" s="57" t="s">
        <v>687</v>
      </c>
      <c r="Q93" s="55" t="s">
        <v>688</v>
      </c>
      <c r="R93" s="55" t="s">
        <v>668</v>
      </c>
      <c r="S93" s="58">
        <v>980000.0</v>
      </c>
      <c r="T93" s="32"/>
      <c r="U93" s="32"/>
      <c r="V93" s="33" t="s">
        <v>689</v>
      </c>
      <c r="W93" s="33"/>
      <c r="X93" s="33"/>
      <c r="Y93" s="33"/>
      <c r="Z93" s="33"/>
      <c r="AA93" s="33"/>
      <c r="AB93" s="33"/>
      <c r="AC93" s="33"/>
      <c r="AD93" s="33"/>
      <c r="AE93" s="33"/>
      <c r="AF93" s="33"/>
    </row>
    <row r="94" ht="22.5" customHeight="1">
      <c r="A94" s="74" t="s">
        <v>690</v>
      </c>
      <c r="B94" s="75"/>
      <c r="C94" s="75" t="s">
        <v>34</v>
      </c>
      <c r="D94" s="76" t="s">
        <v>398</v>
      </c>
      <c r="E94" s="70" t="s">
        <v>160</v>
      </c>
      <c r="F94" s="55" t="s">
        <v>52</v>
      </c>
      <c r="G94" s="28" t="s">
        <v>691</v>
      </c>
      <c r="H94" s="29"/>
      <c r="I94" s="29"/>
      <c r="J94" s="55" t="s">
        <v>39</v>
      </c>
      <c r="K94" s="55" t="s">
        <v>430</v>
      </c>
      <c r="L94" s="55" t="s">
        <v>692</v>
      </c>
      <c r="M94" s="55" t="s">
        <v>688</v>
      </c>
      <c r="N94" s="59" t="s">
        <v>91</v>
      </c>
      <c r="O94" s="56">
        <v>45687.0</v>
      </c>
      <c r="P94" s="57" t="s">
        <v>445</v>
      </c>
      <c r="Q94" s="36" t="s">
        <v>446</v>
      </c>
      <c r="R94" s="55" t="s">
        <v>693</v>
      </c>
      <c r="S94" s="58">
        <v>730000.0</v>
      </c>
      <c r="T94" s="32"/>
      <c r="U94" s="32"/>
      <c r="V94" s="33" t="s">
        <v>694</v>
      </c>
      <c r="W94" s="33"/>
      <c r="X94" s="33"/>
      <c r="Y94" s="33"/>
      <c r="Z94" s="33"/>
      <c r="AA94" s="33"/>
      <c r="AB94" s="33"/>
      <c r="AC94" s="33"/>
      <c r="AD94" s="33"/>
      <c r="AE94" s="33"/>
      <c r="AF94" s="33"/>
    </row>
    <row r="95" ht="22.5" customHeight="1">
      <c r="A95" s="74" t="s">
        <v>695</v>
      </c>
      <c r="B95" s="75"/>
      <c r="C95" s="75" t="s">
        <v>34</v>
      </c>
      <c r="D95" s="76" t="s">
        <v>696</v>
      </c>
      <c r="E95" s="70" t="s">
        <v>697</v>
      </c>
      <c r="F95" s="55" t="s">
        <v>414</v>
      </c>
      <c r="G95" s="28" t="s">
        <v>698</v>
      </c>
      <c r="H95" s="29"/>
      <c r="I95" s="29"/>
      <c r="J95" s="55" t="s">
        <v>39</v>
      </c>
      <c r="K95" s="55" t="s">
        <v>358</v>
      </c>
      <c r="L95" s="55" t="s">
        <v>540</v>
      </c>
      <c r="M95" s="27" t="s">
        <v>42</v>
      </c>
      <c r="N95" s="59" t="s">
        <v>91</v>
      </c>
      <c r="O95" s="57" t="s">
        <v>699</v>
      </c>
      <c r="P95" s="57" t="s">
        <v>700</v>
      </c>
      <c r="Q95" s="55" t="s">
        <v>385</v>
      </c>
      <c r="R95" s="57" t="s">
        <v>699</v>
      </c>
      <c r="S95" s="58">
        <v>1150000.0</v>
      </c>
      <c r="T95" s="32"/>
      <c r="U95" s="32"/>
      <c r="V95" s="33" t="s">
        <v>701</v>
      </c>
      <c r="W95" s="33"/>
      <c r="X95" s="33"/>
      <c r="Y95" s="33"/>
      <c r="Z95" s="33"/>
      <c r="AA95" s="33"/>
      <c r="AB95" s="33"/>
      <c r="AC95" s="33"/>
      <c r="AD95" s="33"/>
      <c r="AE95" s="33"/>
      <c r="AF95" s="33"/>
    </row>
    <row r="96" ht="22.5" customHeight="1">
      <c r="A96" s="74" t="s">
        <v>162</v>
      </c>
      <c r="B96" s="75"/>
      <c r="C96" s="75" t="s">
        <v>34</v>
      </c>
      <c r="D96" s="76" t="s">
        <v>702</v>
      </c>
      <c r="E96" s="70" t="s">
        <v>85</v>
      </c>
      <c r="F96" s="55" t="s">
        <v>703</v>
      </c>
      <c r="G96" s="28" t="s">
        <v>704</v>
      </c>
      <c r="H96" s="29"/>
      <c r="I96" s="29"/>
      <c r="J96" s="55" t="s">
        <v>228</v>
      </c>
      <c r="K96" s="55" t="s">
        <v>122</v>
      </c>
      <c r="L96" s="55" t="s">
        <v>262</v>
      </c>
      <c r="M96" s="55" t="s">
        <v>124</v>
      </c>
      <c r="N96" s="59" t="s">
        <v>91</v>
      </c>
      <c r="O96" s="56">
        <v>45689.0</v>
      </c>
      <c r="P96" s="77" t="s">
        <v>253</v>
      </c>
      <c r="Q96" s="55" t="s">
        <v>254</v>
      </c>
      <c r="R96" s="55" t="s">
        <v>693</v>
      </c>
      <c r="S96" s="58">
        <v>210000.0</v>
      </c>
      <c r="T96" s="32"/>
      <c r="U96" s="32"/>
      <c r="V96" s="33" t="s">
        <v>705</v>
      </c>
      <c r="W96" s="33"/>
      <c r="X96" s="33"/>
      <c r="Y96" s="33"/>
      <c r="Z96" s="33"/>
      <c r="AA96" s="33"/>
      <c r="AB96" s="33"/>
      <c r="AC96" s="33"/>
      <c r="AD96" s="33"/>
      <c r="AE96" s="33"/>
      <c r="AF96" s="33"/>
    </row>
    <row r="97" ht="22.5" customHeight="1">
      <c r="A97" s="74" t="s">
        <v>706</v>
      </c>
      <c r="B97" s="75"/>
      <c r="C97" s="75" t="s">
        <v>34</v>
      </c>
      <c r="D97" s="76" t="s">
        <v>707</v>
      </c>
      <c r="E97" s="70" t="s">
        <v>65</v>
      </c>
      <c r="F97" s="55" t="s">
        <v>708</v>
      </c>
      <c r="G97" s="28" t="s">
        <v>709</v>
      </c>
      <c r="H97" s="29"/>
      <c r="I97" s="29"/>
      <c r="J97" s="55" t="s">
        <v>228</v>
      </c>
      <c r="K97" s="55" t="s">
        <v>122</v>
      </c>
      <c r="L97" s="55" t="s">
        <v>262</v>
      </c>
      <c r="M97" s="55" t="s">
        <v>124</v>
      </c>
      <c r="N97" s="59" t="s">
        <v>91</v>
      </c>
      <c r="O97" s="56">
        <v>45689.0</v>
      </c>
      <c r="P97" s="77" t="s">
        <v>253</v>
      </c>
      <c r="Q97" s="55" t="s">
        <v>254</v>
      </c>
      <c r="R97" s="55" t="s">
        <v>693</v>
      </c>
      <c r="S97" s="58">
        <v>170000.0</v>
      </c>
      <c r="T97" s="32"/>
      <c r="U97" s="32"/>
      <c r="V97" s="33" t="s">
        <v>710</v>
      </c>
      <c r="W97" s="33"/>
      <c r="X97" s="33"/>
      <c r="Y97" s="33"/>
      <c r="Z97" s="33"/>
      <c r="AA97" s="33"/>
      <c r="AB97" s="33"/>
      <c r="AC97" s="33"/>
      <c r="AD97" s="33"/>
      <c r="AE97" s="33"/>
      <c r="AF97" s="33"/>
    </row>
    <row r="98" ht="22.5" customHeight="1">
      <c r="A98" s="74" t="s">
        <v>533</v>
      </c>
      <c r="B98" s="75"/>
      <c r="C98" s="75" t="s">
        <v>34</v>
      </c>
      <c r="D98" s="76" t="s">
        <v>282</v>
      </c>
      <c r="E98" s="70" t="s">
        <v>591</v>
      </c>
      <c r="F98" s="55" t="s">
        <v>52</v>
      </c>
      <c r="G98" s="28" t="s">
        <v>711</v>
      </c>
      <c r="H98" s="29"/>
      <c r="I98" s="29"/>
      <c r="J98" s="55" t="s">
        <v>39</v>
      </c>
      <c r="K98" s="55" t="s">
        <v>77</v>
      </c>
      <c r="L98" s="77" t="s">
        <v>253</v>
      </c>
      <c r="M98" s="55" t="s">
        <v>254</v>
      </c>
      <c r="N98" s="59" t="s">
        <v>43</v>
      </c>
      <c r="O98" s="56">
        <v>45689.0</v>
      </c>
      <c r="P98" s="77" t="s">
        <v>253</v>
      </c>
      <c r="Q98" s="77" t="s">
        <v>254</v>
      </c>
      <c r="R98" s="55" t="s">
        <v>653</v>
      </c>
      <c r="S98" s="58">
        <v>480000.0</v>
      </c>
      <c r="T98" s="32"/>
      <c r="U98" s="32"/>
      <c r="V98" s="33" t="s">
        <v>712</v>
      </c>
      <c r="W98" s="33"/>
      <c r="X98" s="33"/>
      <c r="Y98" s="33"/>
      <c r="Z98" s="33"/>
      <c r="AA98" s="33"/>
      <c r="AB98" s="33"/>
      <c r="AC98" s="33"/>
      <c r="AD98" s="33"/>
      <c r="AE98" s="33"/>
      <c r="AF98" s="33"/>
    </row>
    <row r="99" ht="22.5" customHeight="1">
      <c r="A99" s="74" t="s">
        <v>713</v>
      </c>
      <c r="B99" s="78"/>
      <c r="C99" s="78" t="s">
        <v>34</v>
      </c>
      <c r="D99" s="79" t="s">
        <v>382</v>
      </c>
      <c r="E99" s="70" t="s">
        <v>169</v>
      </c>
      <c r="F99" s="70" t="s">
        <v>52</v>
      </c>
      <c r="G99" s="80" t="s">
        <v>714</v>
      </c>
      <c r="H99" s="81"/>
      <c r="I99" s="81"/>
      <c r="J99" s="70" t="s">
        <v>39</v>
      </c>
      <c r="K99" s="70" t="s">
        <v>416</v>
      </c>
      <c r="L99" s="82" t="s">
        <v>540</v>
      </c>
      <c r="M99" s="27" t="s">
        <v>42</v>
      </c>
      <c r="N99" s="83" t="s">
        <v>43</v>
      </c>
      <c r="O99" s="84">
        <v>45691.0</v>
      </c>
      <c r="P99" s="85" t="s">
        <v>715</v>
      </c>
      <c r="Q99" s="70" t="s">
        <v>716</v>
      </c>
      <c r="R99" s="70" t="s">
        <v>717</v>
      </c>
      <c r="S99" s="58"/>
      <c r="T99" s="32"/>
      <c r="U99" s="32"/>
      <c r="V99" s="33" t="s">
        <v>718</v>
      </c>
      <c r="W99" s="33"/>
      <c r="X99" s="33"/>
      <c r="Y99" s="33"/>
      <c r="Z99" s="33"/>
      <c r="AA99" s="33"/>
      <c r="AB99" s="33"/>
      <c r="AC99" s="33"/>
      <c r="AD99" s="33"/>
      <c r="AE99" s="33"/>
      <c r="AF99" s="33"/>
    </row>
    <row r="100" ht="22.5" customHeight="1">
      <c r="A100" s="74" t="s">
        <v>69</v>
      </c>
      <c r="B100" s="78"/>
      <c r="C100" s="78" t="s">
        <v>34</v>
      </c>
      <c r="D100" s="79" t="s">
        <v>398</v>
      </c>
      <c r="E100" s="70" t="s">
        <v>160</v>
      </c>
      <c r="F100" s="70" t="s">
        <v>52</v>
      </c>
      <c r="G100" s="80" t="s">
        <v>719</v>
      </c>
      <c r="H100" s="81"/>
      <c r="I100" s="81"/>
      <c r="J100" s="70" t="s">
        <v>39</v>
      </c>
      <c r="K100" s="70" t="s">
        <v>720</v>
      </c>
      <c r="L100" s="82" t="s">
        <v>431</v>
      </c>
      <c r="M100" s="70" t="s">
        <v>458</v>
      </c>
      <c r="N100" s="83" t="s">
        <v>91</v>
      </c>
      <c r="O100" s="84">
        <v>45699.0</v>
      </c>
      <c r="P100" s="85" t="s">
        <v>721</v>
      </c>
      <c r="Q100" s="70" t="s">
        <v>722</v>
      </c>
      <c r="R100" s="70" t="s">
        <v>723</v>
      </c>
      <c r="S100" s="86">
        <v>650000.0</v>
      </c>
      <c r="T100" s="87"/>
      <c r="U100" s="87"/>
      <c r="V100" s="87" t="s">
        <v>724</v>
      </c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</row>
    <row r="101">
      <c r="A101" s="88" t="s">
        <v>171</v>
      </c>
      <c r="B101" s="89"/>
      <c r="C101" s="89" t="s">
        <v>34</v>
      </c>
      <c r="D101" s="90" t="s">
        <v>177</v>
      </c>
      <c r="E101" s="91" t="s">
        <v>188</v>
      </c>
      <c r="F101" s="91" t="s">
        <v>52</v>
      </c>
      <c r="G101" s="92" t="s">
        <v>725</v>
      </c>
      <c r="H101" s="93"/>
      <c r="I101" s="93"/>
      <c r="J101" s="91" t="s">
        <v>39</v>
      </c>
      <c r="K101" s="91" t="s">
        <v>658</v>
      </c>
      <c r="L101" s="91" t="s">
        <v>726</v>
      </c>
      <c r="M101" s="91" t="s">
        <v>727</v>
      </c>
      <c r="N101" s="91" t="s">
        <v>43</v>
      </c>
      <c r="O101" s="94">
        <v>45703.0</v>
      </c>
      <c r="P101" s="91" t="s">
        <v>728</v>
      </c>
      <c r="Q101" s="91" t="s">
        <v>729</v>
      </c>
      <c r="R101" s="91" t="s">
        <v>730</v>
      </c>
      <c r="S101" s="95"/>
      <c r="T101" s="96"/>
      <c r="U101" s="96"/>
      <c r="V101" s="91" t="s">
        <v>731</v>
      </c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</row>
    <row r="102">
      <c r="A102" s="88" t="s">
        <v>732</v>
      </c>
      <c r="B102" s="89"/>
      <c r="C102" s="89" t="s">
        <v>34</v>
      </c>
      <c r="D102" s="90" t="s">
        <v>733</v>
      </c>
      <c r="E102" s="91" t="s">
        <v>283</v>
      </c>
      <c r="F102" s="91" t="s">
        <v>52</v>
      </c>
      <c r="G102" s="92" t="s">
        <v>734</v>
      </c>
      <c r="H102" s="93"/>
      <c r="I102" s="93"/>
      <c r="J102" s="97" t="s">
        <v>39</v>
      </c>
      <c r="K102" s="91" t="s">
        <v>358</v>
      </c>
      <c r="L102" s="91" t="s">
        <v>735</v>
      </c>
      <c r="M102" s="91" t="s">
        <v>153</v>
      </c>
      <c r="N102" s="91" t="s">
        <v>43</v>
      </c>
      <c r="O102" s="94">
        <v>45700.0</v>
      </c>
      <c r="P102" s="91" t="s">
        <v>736</v>
      </c>
      <c r="Q102" s="91" t="s">
        <v>737</v>
      </c>
      <c r="R102" s="94">
        <v>45700.0</v>
      </c>
      <c r="S102" s="98" t="s">
        <v>738</v>
      </c>
      <c r="T102" s="96"/>
      <c r="U102" s="96"/>
      <c r="V102" s="91" t="s">
        <v>739</v>
      </c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</row>
    <row r="103">
      <c r="A103" s="88" t="s">
        <v>77</v>
      </c>
      <c r="B103" s="89"/>
      <c r="C103" s="89" t="s">
        <v>34</v>
      </c>
      <c r="D103" s="90" t="s">
        <v>469</v>
      </c>
      <c r="E103" s="91" t="s">
        <v>218</v>
      </c>
      <c r="F103" s="91" t="s">
        <v>37</v>
      </c>
      <c r="G103" s="92" t="s">
        <v>740</v>
      </c>
      <c r="H103" s="93"/>
      <c r="I103" s="93"/>
      <c r="J103" s="91" t="s">
        <v>39</v>
      </c>
      <c r="K103" s="91" t="s">
        <v>663</v>
      </c>
      <c r="L103" s="91" t="s">
        <v>736</v>
      </c>
      <c r="M103" s="91" t="s">
        <v>737</v>
      </c>
      <c r="N103" s="91" t="s">
        <v>43</v>
      </c>
      <c r="O103" s="94">
        <v>45700.0</v>
      </c>
      <c r="P103" s="91" t="s">
        <v>741</v>
      </c>
      <c r="Q103" s="91" t="s">
        <v>742</v>
      </c>
      <c r="R103" s="91" t="s">
        <v>743</v>
      </c>
      <c r="S103" s="98" t="s">
        <v>744</v>
      </c>
      <c r="T103" s="96"/>
      <c r="U103" s="96"/>
      <c r="V103" s="91" t="s">
        <v>745</v>
      </c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</row>
    <row r="104">
      <c r="A104" s="88" t="s">
        <v>746</v>
      </c>
      <c r="B104" s="89"/>
      <c r="C104" s="89" t="s">
        <v>34</v>
      </c>
      <c r="D104" s="90" t="s">
        <v>747</v>
      </c>
      <c r="E104" s="91" t="s">
        <v>43</v>
      </c>
      <c r="F104" s="91" t="s">
        <v>86</v>
      </c>
      <c r="G104" s="92" t="s">
        <v>748</v>
      </c>
      <c r="H104" s="93"/>
      <c r="I104" s="93"/>
      <c r="J104" s="91" t="s">
        <v>39</v>
      </c>
      <c r="K104" s="91" t="s">
        <v>477</v>
      </c>
      <c r="L104" s="91" t="s">
        <v>749</v>
      </c>
      <c r="M104" s="91" t="s">
        <v>344</v>
      </c>
      <c r="N104" s="91" t="s">
        <v>43</v>
      </c>
      <c r="O104" s="94">
        <v>45703.0</v>
      </c>
      <c r="P104" s="91" t="s">
        <v>750</v>
      </c>
      <c r="Q104" s="91" t="s">
        <v>395</v>
      </c>
      <c r="R104" s="94">
        <v>45707.0</v>
      </c>
      <c r="S104" s="98" t="s">
        <v>751</v>
      </c>
      <c r="T104" s="96"/>
      <c r="U104" s="96"/>
      <c r="V104" s="91" t="s">
        <v>752</v>
      </c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</row>
    <row r="105">
      <c r="A105" s="88" t="s">
        <v>753</v>
      </c>
      <c r="B105" s="89"/>
      <c r="C105" s="89" t="s">
        <v>34</v>
      </c>
      <c r="D105" s="90" t="s">
        <v>50</v>
      </c>
      <c r="E105" s="91" t="s">
        <v>51</v>
      </c>
      <c r="F105" s="91" t="s">
        <v>37</v>
      </c>
      <c r="G105" s="92" t="s">
        <v>754</v>
      </c>
      <c r="H105" s="93"/>
      <c r="I105" s="93"/>
      <c r="J105" s="91" t="s">
        <v>39</v>
      </c>
      <c r="K105" s="91" t="s">
        <v>358</v>
      </c>
      <c r="L105" s="91" t="s">
        <v>755</v>
      </c>
      <c r="M105" s="91" t="s">
        <v>452</v>
      </c>
      <c r="N105" s="91" t="s">
        <v>43</v>
      </c>
      <c r="O105" s="94">
        <v>45696.0</v>
      </c>
      <c r="P105" s="91" t="s">
        <v>749</v>
      </c>
      <c r="Q105" s="91" t="s">
        <v>344</v>
      </c>
      <c r="R105" s="94">
        <v>45703.0</v>
      </c>
      <c r="S105" s="95"/>
      <c r="T105" s="96"/>
      <c r="U105" s="96"/>
      <c r="V105" s="91" t="s">
        <v>756</v>
      </c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</row>
    <row r="106">
      <c r="A106" s="88" t="s">
        <v>757</v>
      </c>
      <c r="B106" s="89"/>
      <c r="C106" s="89" t="s">
        <v>34</v>
      </c>
      <c r="D106" s="90" t="s">
        <v>64</v>
      </c>
      <c r="E106" s="91" t="s">
        <v>65</v>
      </c>
      <c r="F106" s="91" t="s">
        <v>122</v>
      </c>
      <c r="G106" s="92" t="s">
        <v>758</v>
      </c>
      <c r="H106" s="93"/>
      <c r="I106" s="93"/>
      <c r="J106" s="91" t="s">
        <v>68</v>
      </c>
      <c r="K106" s="91" t="s">
        <v>122</v>
      </c>
      <c r="L106" s="91" t="s">
        <v>671</v>
      </c>
      <c r="M106" s="91" t="s">
        <v>71</v>
      </c>
      <c r="N106" s="91" t="s">
        <v>91</v>
      </c>
      <c r="O106" s="94">
        <v>45702.0</v>
      </c>
      <c r="P106" s="91" t="s">
        <v>671</v>
      </c>
      <c r="Q106" s="91" t="s">
        <v>71</v>
      </c>
      <c r="R106" s="91" t="s">
        <v>91</v>
      </c>
      <c r="S106" s="95"/>
      <c r="T106" s="96"/>
      <c r="U106" s="96"/>
      <c r="V106" s="91" t="s">
        <v>759</v>
      </c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</row>
    <row r="107">
      <c r="A107" s="88" t="s">
        <v>760</v>
      </c>
      <c r="B107" s="89"/>
      <c r="C107" s="89" t="s">
        <v>34</v>
      </c>
      <c r="D107" s="90" t="s">
        <v>382</v>
      </c>
      <c r="E107" s="91" t="s">
        <v>169</v>
      </c>
      <c r="F107" s="91" t="s">
        <v>52</v>
      </c>
      <c r="G107" s="92" t="s">
        <v>761</v>
      </c>
      <c r="H107" s="93"/>
      <c r="I107" s="93"/>
      <c r="J107" s="91" t="s">
        <v>39</v>
      </c>
      <c r="K107" s="91" t="s">
        <v>436</v>
      </c>
      <c r="L107" s="91" t="s">
        <v>445</v>
      </c>
      <c r="M107" s="91" t="s">
        <v>446</v>
      </c>
      <c r="N107" s="91" t="s">
        <v>43</v>
      </c>
      <c r="O107" s="94">
        <v>45681.0</v>
      </c>
      <c r="P107" s="96"/>
      <c r="Q107" s="96"/>
      <c r="R107" s="96"/>
      <c r="S107" s="95"/>
      <c r="T107" s="96"/>
      <c r="U107" s="96"/>
      <c r="V107" s="91" t="s">
        <v>762</v>
      </c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</row>
    <row r="108">
      <c r="A108" s="88" t="s">
        <v>763</v>
      </c>
      <c r="B108" s="89"/>
      <c r="C108" s="89" t="s">
        <v>34</v>
      </c>
      <c r="D108" s="90" t="s">
        <v>764</v>
      </c>
      <c r="E108" s="91" t="s">
        <v>51</v>
      </c>
      <c r="F108" s="91" t="s">
        <v>37</v>
      </c>
      <c r="G108" s="99"/>
      <c r="H108" s="100"/>
      <c r="I108" s="100"/>
      <c r="J108" s="91" t="s">
        <v>228</v>
      </c>
      <c r="K108" s="91" t="s">
        <v>122</v>
      </c>
      <c r="L108" s="91" t="s">
        <v>678</v>
      </c>
      <c r="M108" s="91" t="s">
        <v>679</v>
      </c>
      <c r="N108" s="91" t="s">
        <v>91</v>
      </c>
      <c r="O108" s="94">
        <v>45669.0</v>
      </c>
      <c r="P108" s="91" t="s">
        <v>320</v>
      </c>
      <c r="Q108" s="91" t="s">
        <v>321</v>
      </c>
      <c r="R108" s="94">
        <v>45714.0</v>
      </c>
      <c r="S108" s="95"/>
      <c r="T108" s="96"/>
      <c r="U108" s="96"/>
      <c r="V108" s="91" t="s">
        <v>765</v>
      </c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</row>
    <row r="109">
      <c r="A109" s="88" t="s">
        <v>766</v>
      </c>
      <c r="B109" s="89"/>
      <c r="C109" s="89" t="s">
        <v>34</v>
      </c>
      <c r="D109" s="90" t="s">
        <v>767</v>
      </c>
      <c r="E109" s="91" t="s">
        <v>139</v>
      </c>
      <c r="F109" s="91" t="s">
        <v>52</v>
      </c>
      <c r="G109" s="92" t="s">
        <v>768</v>
      </c>
      <c r="H109" s="93"/>
      <c r="I109" s="93"/>
      <c r="J109" s="91" t="s">
        <v>39</v>
      </c>
      <c r="K109" s="91" t="s">
        <v>769</v>
      </c>
      <c r="L109" s="91" t="s">
        <v>111</v>
      </c>
      <c r="M109" s="91" t="s">
        <v>112</v>
      </c>
      <c r="N109" s="91" t="s">
        <v>91</v>
      </c>
      <c r="O109" s="94">
        <v>45710.0</v>
      </c>
      <c r="P109" s="91" t="s">
        <v>770</v>
      </c>
      <c r="Q109" s="91" t="s">
        <v>771</v>
      </c>
      <c r="R109" s="94">
        <v>45717.0</v>
      </c>
      <c r="S109" s="98" t="s">
        <v>772</v>
      </c>
      <c r="T109" s="96"/>
      <c r="U109" s="96"/>
      <c r="V109" s="91" t="s">
        <v>773</v>
      </c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</row>
    <row r="110">
      <c r="A110" s="88" t="s">
        <v>774</v>
      </c>
      <c r="B110" s="89"/>
      <c r="C110" s="89" t="s">
        <v>34</v>
      </c>
      <c r="D110" s="90" t="s">
        <v>398</v>
      </c>
      <c r="E110" s="91" t="s">
        <v>51</v>
      </c>
      <c r="F110" s="91" t="s">
        <v>37</v>
      </c>
      <c r="G110" s="101" t="s">
        <v>775</v>
      </c>
      <c r="H110" s="102"/>
      <c r="I110" s="102"/>
      <c r="J110" s="91" t="s">
        <v>39</v>
      </c>
      <c r="K110" s="91" t="s">
        <v>776</v>
      </c>
      <c r="L110" s="91" t="s">
        <v>520</v>
      </c>
      <c r="M110" s="91" t="s">
        <v>521</v>
      </c>
      <c r="N110" s="91" t="s">
        <v>287</v>
      </c>
      <c r="O110" s="94">
        <v>45720.0</v>
      </c>
      <c r="P110" s="96"/>
      <c r="Q110" s="96"/>
      <c r="R110" s="96"/>
      <c r="S110" s="95"/>
      <c r="T110" s="91" t="s">
        <v>777</v>
      </c>
      <c r="U110" s="91"/>
      <c r="V110" s="91" t="s">
        <v>778</v>
      </c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</row>
    <row r="111">
      <c r="A111" s="88" t="s">
        <v>779</v>
      </c>
      <c r="B111" s="89"/>
      <c r="C111" s="89" t="s">
        <v>34</v>
      </c>
      <c r="D111" s="90" t="s">
        <v>356</v>
      </c>
      <c r="E111" s="91" t="s">
        <v>65</v>
      </c>
      <c r="F111" s="91" t="s">
        <v>52</v>
      </c>
      <c r="G111" s="101" t="s">
        <v>780</v>
      </c>
      <c r="H111" s="102"/>
      <c r="I111" s="102"/>
      <c r="J111" s="91" t="s">
        <v>39</v>
      </c>
      <c r="K111" s="91" t="s">
        <v>781</v>
      </c>
      <c r="L111" s="91" t="s">
        <v>306</v>
      </c>
      <c r="M111" s="91" t="s">
        <v>307</v>
      </c>
      <c r="N111" s="91" t="s">
        <v>43</v>
      </c>
      <c r="O111" s="91" t="s">
        <v>782</v>
      </c>
      <c r="P111" s="91" t="s">
        <v>783</v>
      </c>
      <c r="Q111" s="91" t="s">
        <v>660</v>
      </c>
      <c r="R111" s="91" t="s">
        <v>784</v>
      </c>
      <c r="S111" s="95"/>
      <c r="T111" s="96"/>
      <c r="U111" s="96"/>
      <c r="V111" s="91" t="s">
        <v>785</v>
      </c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</row>
    <row r="112">
      <c r="A112" s="88" t="s">
        <v>786</v>
      </c>
      <c r="B112" s="89"/>
      <c r="C112" s="89" t="s">
        <v>34</v>
      </c>
      <c r="D112" s="90" t="s">
        <v>787</v>
      </c>
      <c r="E112" s="91" t="s">
        <v>188</v>
      </c>
      <c r="F112" s="91" t="s">
        <v>52</v>
      </c>
      <c r="G112" s="92" t="s">
        <v>788</v>
      </c>
      <c r="H112" s="93"/>
      <c r="I112" s="93"/>
      <c r="J112" s="91" t="s">
        <v>39</v>
      </c>
      <c r="K112" s="91" t="s">
        <v>789</v>
      </c>
      <c r="L112" s="91" t="s">
        <v>111</v>
      </c>
      <c r="M112" s="91" t="s">
        <v>112</v>
      </c>
      <c r="N112" s="91" t="s">
        <v>91</v>
      </c>
      <c r="O112" s="94">
        <v>45723.0</v>
      </c>
      <c r="P112" s="91" t="s">
        <v>790</v>
      </c>
      <c r="Q112" s="91" t="s">
        <v>791</v>
      </c>
      <c r="R112" s="94">
        <v>45723.0</v>
      </c>
      <c r="S112" s="98" t="s">
        <v>792</v>
      </c>
      <c r="T112" s="96"/>
      <c r="U112" s="96"/>
      <c r="V112" s="91" t="s">
        <v>793</v>
      </c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</row>
    <row r="113">
      <c r="A113" s="88" t="s">
        <v>794</v>
      </c>
      <c r="B113" s="89"/>
      <c r="C113" s="89" t="s">
        <v>34</v>
      </c>
      <c r="D113" s="90" t="s">
        <v>624</v>
      </c>
      <c r="E113" s="91" t="s">
        <v>109</v>
      </c>
      <c r="F113" s="91" t="s">
        <v>86</v>
      </c>
      <c r="G113" s="99"/>
      <c r="H113" s="100"/>
      <c r="I113" s="100"/>
      <c r="J113" s="91" t="s">
        <v>39</v>
      </c>
      <c r="K113" s="91" t="s">
        <v>795</v>
      </c>
      <c r="L113" s="91" t="s">
        <v>715</v>
      </c>
      <c r="M113" s="96"/>
      <c r="N113" s="96"/>
      <c r="O113" s="96"/>
      <c r="P113" s="96"/>
      <c r="Q113" s="96"/>
      <c r="R113" s="96"/>
      <c r="S113" s="95"/>
      <c r="T113" s="96"/>
      <c r="U113" s="96"/>
      <c r="V113" s="91" t="s">
        <v>796</v>
      </c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</row>
    <row r="114">
      <c r="A114" s="88" t="s">
        <v>797</v>
      </c>
      <c r="B114" s="89"/>
      <c r="C114" s="89" t="s">
        <v>34</v>
      </c>
      <c r="D114" s="90" t="s">
        <v>798</v>
      </c>
      <c r="E114" s="91" t="s">
        <v>188</v>
      </c>
      <c r="F114" s="91" t="s">
        <v>52</v>
      </c>
      <c r="G114" s="92" t="s">
        <v>799</v>
      </c>
      <c r="H114" s="93"/>
      <c r="I114" s="93"/>
      <c r="J114" s="91" t="s">
        <v>39</v>
      </c>
      <c r="K114" s="96"/>
      <c r="L114" s="96"/>
      <c r="M114" s="96"/>
      <c r="N114" s="96"/>
      <c r="O114" s="96"/>
      <c r="P114" s="96"/>
      <c r="Q114" s="96"/>
      <c r="R114" s="96"/>
      <c r="S114" s="95"/>
      <c r="T114" s="96"/>
      <c r="U114" s="96"/>
      <c r="V114" s="91" t="s">
        <v>800</v>
      </c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</row>
    <row r="115">
      <c r="A115" s="88" t="s">
        <v>801</v>
      </c>
      <c r="B115" s="89"/>
      <c r="C115" s="89" t="s">
        <v>34</v>
      </c>
      <c r="D115" s="90" t="s">
        <v>266</v>
      </c>
      <c r="E115" s="103" t="s">
        <v>407</v>
      </c>
      <c r="F115" s="103" t="s">
        <v>37</v>
      </c>
      <c r="G115" s="92" t="s">
        <v>802</v>
      </c>
      <c r="H115" s="93"/>
      <c r="I115" s="93"/>
      <c r="J115" s="103" t="s">
        <v>39</v>
      </c>
      <c r="K115" s="103" t="s">
        <v>326</v>
      </c>
      <c r="L115" s="103" t="s">
        <v>262</v>
      </c>
      <c r="M115" s="103" t="s">
        <v>124</v>
      </c>
      <c r="N115" s="103" t="s">
        <v>91</v>
      </c>
      <c r="O115" s="94">
        <v>45775.0</v>
      </c>
      <c r="P115" s="91" t="s">
        <v>803</v>
      </c>
      <c r="Q115" s="91" t="s">
        <v>804</v>
      </c>
      <c r="R115" s="94">
        <v>45775.0</v>
      </c>
      <c r="S115" s="95"/>
      <c r="T115" s="96"/>
      <c r="U115" s="96"/>
      <c r="V115" s="91" t="s">
        <v>805</v>
      </c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</row>
    <row r="116">
      <c r="A116" s="88" t="s">
        <v>806</v>
      </c>
      <c r="B116" s="89"/>
      <c r="C116" s="89" t="s">
        <v>34</v>
      </c>
      <c r="D116" s="90" t="s">
        <v>807</v>
      </c>
      <c r="E116" s="91" t="s">
        <v>188</v>
      </c>
      <c r="F116" s="91" t="s">
        <v>808</v>
      </c>
      <c r="G116" s="92" t="s">
        <v>809</v>
      </c>
      <c r="H116" s="93"/>
      <c r="I116" s="93"/>
      <c r="J116" s="91" t="s">
        <v>228</v>
      </c>
      <c r="K116" s="91" t="s">
        <v>122</v>
      </c>
      <c r="L116" s="96"/>
      <c r="M116" s="96"/>
      <c r="N116" s="96"/>
      <c r="O116" s="96"/>
      <c r="P116" s="96"/>
      <c r="Q116" s="96"/>
      <c r="R116" s="96"/>
      <c r="S116" s="95"/>
      <c r="T116" s="96"/>
      <c r="U116" s="96"/>
      <c r="V116" s="91" t="s">
        <v>810</v>
      </c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</row>
    <row r="117">
      <c r="A117" s="88" t="s">
        <v>811</v>
      </c>
      <c r="B117" s="89"/>
      <c r="C117" s="89" t="s">
        <v>34</v>
      </c>
      <c r="D117" s="90" t="s">
        <v>812</v>
      </c>
      <c r="E117" s="90" t="s">
        <v>51</v>
      </c>
      <c r="F117" s="90" t="s">
        <v>52</v>
      </c>
      <c r="G117" s="99"/>
      <c r="H117" s="100"/>
      <c r="I117" s="100"/>
      <c r="J117" s="90" t="s">
        <v>39</v>
      </c>
      <c r="K117" s="90" t="s">
        <v>457</v>
      </c>
      <c r="L117" s="104" t="s">
        <v>813</v>
      </c>
      <c r="M117" s="104" t="s">
        <v>814</v>
      </c>
      <c r="N117" s="104" t="s">
        <v>91</v>
      </c>
      <c r="O117" s="105">
        <v>45776.0</v>
      </c>
      <c r="P117" s="104" t="s">
        <v>803</v>
      </c>
      <c r="Q117" s="90" t="s">
        <v>804</v>
      </c>
      <c r="R117" s="106"/>
      <c r="S117" s="95"/>
      <c r="T117" s="96"/>
      <c r="U117" s="96"/>
      <c r="V117" s="91" t="s">
        <v>815</v>
      </c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</row>
    <row r="118">
      <c r="A118" s="88" t="s">
        <v>816</v>
      </c>
      <c r="B118" s="107"/>
      <c r="C118" s="107" t="s">
        <v>34</v>
      </c>
      <c r="D118" s="104" t="s">
        <v>303</v>
      </c>
      <c r="E118" s="108" t="s">
        <v>370</v>
      </c>
      <c r="F118" s="108" t="s">
        <v>86</v>
      </c>
      <c r="G118" s="109" t="s">
        <v>817</v>
      </c>
      <c r="H118" s="110"/>
      <c r="I118" s="110"/>
      <c r="J118" s="108" t="s">
        <v>39</v>
      </c>
      <c r="K118" s="108" t="s">
        <v>416</v>
      </c>
      <c r="L118" s="108" t="s">
        <v>183</v>
      </c>
      <c r="M118" s="96"/>
      <c r="N118" s="108" t="s">
        <v>91</v>
      </c>
      <c r="O118" s="108" t="s">
        <v>818</v>
      </c>
      <c r="P118" s="108" t="s">
        <v>819</v>
      </c>
      <c r="Q118" s="108" t="s">
        <v>643</v>
      </c>
      <c r="R118" s="94">
        <v>45777.0</v>
      </c>
      <c r="S118" s="95"/>
      <c r="T118" s="96"/>
      <c r="U118" s="96"/>
      <c r="V118" s="91" t="s">
        <v>820</v>
      </c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</row>
    <row r="119">
      <c r="A119" s="88" t="s">
        <v>821</v>
      </c>
      <c r="B119" s="107"/>
      <c r="C119" s="107" t="s">
        <v>34</v>
      </c>
      <c r="D119" s="104" t="s">
        <v>266</v>
      </c>
      <c r="E119" s="108" t="s">
        <v>407</v>
      </c>
      <c r="F119" s="108" t="s">
        <v>86</v>
      </c>
      <c r="G119" s="92" t="s">
        <v>822</v>
      </c>
      <c r="H119" s="93"/>
      <c r="I119" s="93"/>
      <c r="J119" s="108" t="s">
        <v>39</v>
      </c>
      <c r="K119" s="108" t="s">
        <v>430</v>
      </c>
      <c r="L119" s="108" t="s">
        <v>783</v>
      </c>
      <c r="M119" s="108" t="s">
        <v>660</v>
      </c>
      <c r="N119" s="108" t="s">
        <v>91</v>
      </c>
      <c r="O119" s="94">
        <v>45778.0</v>
      </c>
      <c r="P119" s="108" t="s">
        <v>823</v>
      </c>
      <c r="Q119" s="108" t="s">
        <v>824</v>
      </c>
      <c r="R119" s="94">
        <v>45778.0</v>
      </c>
      <c r="S119" s="111" t="s">
        <v>825</v>
      </c>
      <c r="T119" s="96"/>
      <c r="U119" s="96"/>
      <c r="V119" s="91" t="s">
        <v>826</v>
      </c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</row>
    <row r="120">
      <c r="A120" s="88" t="s">
        <v>827</v>
      </c>
      <c r="B120" s="107"/>
      <c r="C120" s="107" t="s">
        <v>34</v>
      </c>
      <c r="D120" s="104" t="s">
        <v>828</v>
      </c>
      <c r="E120" s="108" t="s">
        <v>85</v>
      </c>
      <c r="F120" s="108" t="s">
        <v>52</v>
      </c>
      <c r="G120" s="92" t="s">
        <v>829</v>
      </c>
      <c r="H120" s="93"/>
      <c r="I120" s="93"/>
      <c r="J120" s="108" t="s">
        <v>39</v>
      </c>
      <c r="K120" s="108" t="s">
        <v>471</v>
      </c>
      <c r="L120" s="108" t="s">
        <v>830</v>
      </c>
      <c r="M120" s="108" t="s">
        <v>824</v>
      </c>
      <c r="N120" s="108" t="s">
        <v>91</v>
      </c>
      <c r="O120" s="94">
        <v>45778.0</v>
      </c>
      <c r="P120" s="91" t="s">
        <v>803</v>
      </c>
      <c r="Q120" s="91" t="s">
        <v>804</v>
      </c>
      <c r="R120" s="94">
        <v>45778.0</v>
      </c>
      <c r="S120" s="98" t="s">
        <v>831</v>
      </c>
      <c r="T120" s="96"/>
      <c r="U120" s="96"/>
      <c r="V120" s="91" t="s">
        <v>832</v>
      </c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</row>
    <row r="121">
      <c r="A121" s="88" t="s">
        <v>833</v>
      </c>
      <c r="B121" s="107"/>
      <c r="C121" s="107" t="s">
        <v>34</v>
      </c>
      <c r="D121" s="104" t="s">
        <v>50</v>
      </c>
      <c r="E121" s="108" t="s">
        <v>399</v>
      </c>
      <c r="F121" s="108" t="s">
        <v>52</v>
      </c>
      <c r="G121" s="109" t="s">
        <v>834</v>
      </c>
      <c r="H121" s="110"/>
      <c r="I121" s="110"/>
      <c r="J121" s="108" t="s">
        <v>39</v>
      </c>
      <c r="K121" s="108" t="s">
        <v>835</v>
      </c>
      <c r="L121" s="108" t="s">
        <v>568</v>
      </c>
      <c r="M121" s="108" t="s">
        <v>836</v>
      </c>
      <c r="N121" s="108" t="s">
        <v>91</v>
      </c>
      <c r="O121" s="94">
        <v>45778.0</v>
      </c>
      <c r="P121" s="96"/>
      <c r="Q121" s="96"/>
      <c r="R121" s="96"/>
      <c r="S121" s="95"/>
      <c r="T121" s="96"/>
      <c r="U121" s="96"/>
      <c r="V121" s="91" t="s">
        <v>837</v>
      </c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</row>
    <row r="122">
      <c r="A122" s="88" t="s">
        <v>838</v>
      </c>
      <c r="B122" s="89"/>
      <c r="C122" s="89" t="s">
        <v>34</v>
      </c>
      <c r="D122" s="90" t="s">
        <v>177</v>
      </c>
      <c r="E122" s="91" t="s">
        <v>839</v>
      </c>
      <c r="F122" s="91" t="s">
        <v>52</v>
      </c>
      <c r="G122" s="92" t="s">
        <v>840</v>
      </c>
      <c r="H122" s="93"/>
      <c r="I122" s="93"/>
      <c r="J122" s="91" t="s">
        <v>39</v>
      </c>
      <c r="K122" s="91" t="s">
        <v>841</v>
      </c>
      <c r="L122" s="91" t="s">
        <v>842</v>
      </c>
      <c r="M122" s="91" t="s">
        <v>843</v>
      </c>
      <c r="N122" s="91" t="s">
        <v>91</v>
      </c>
      <c r="O122" s="94">
        <v>45779.0</v>
      </c>
      <c r="P122" s="91" t="s">
        <v>844</v>
      </c>
      <c r="Q122" s="91" t="s">
        <v>90</v>
      </c>
      <c r="R122" s="94">
        <v>45780.0</v>
      </c>
      <c r="S122" s="95"/>
      <c r="T122" s="96"/>
      <c r="U122" s="96"/>
      <c r="V122" s="91" t="s">
        <v>845</v>
      </c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</row>
    <row r="123">
      <c r="A123" s="88" t="s">
        <v>846</v>
      </c>
      <c r="B123" s="89"/>
      <c r="C123" s="89" t="s">
        <v>34</v>
      </c>
      <c r="D123" s="90" t="s">
        <v>177</v>
      </c>
      <c r="E123" s="91" t="s">
        <v>370</v>
      </c>
      <c r="F123" s="91" t="s">
        <v>52</v>
      </c>
      <c r="G123" s="92" t="s">
        <v>847</v>
      </c>
      <c r="H123" s="93"/>
      <c r="I123" s="93"/>
      <c r="J123" s="91" t="s">
        <v>39</v>
      </c>
      <c r="K123" s="91" t="s">
        <v>443</v>
      </c>
      <c r="L123" s="91" t="s">
        <v>100</v>
      </c>
      <c r="M123" s="91" t="s">
        <v>101</v>
      </c>
      <c r="N123" s="91" t="s">
        <v>91</v>
      </c>
      <c r="O123" s="94">
        <v>45780.0</v>
      </c>
      <c r="P123" s="91" t="s">
        <v>247</v>
      </c>
      <c r="Q123" s="91" t="s">
        <v>848</v>
      </c>
      <c r="R123" s="94">
        <v>45780.0</v>
      </c>
      <c r="S123" s="98" t="s">
        <v>849</v>
      </c>
      <c r="T123" s="96"/>
      <c r="U123" s="96"/>
      <c r="V123" s="91" t="s">
        <v>850</v>
      </c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</row>
    <row r="124">
      <c r="A124" s="88" t="s">
        <v>851</v>
      </c>
      <c r="B124" s="89"/>
      <c r="C124" s="89" t="s">
        <v>34</v>
      </c>
      <c r="D124" s="90" t="s">
        <v>852</v>
      </c>
      <c r="E124" s="91" t="s">
        <v>51</v>
      </c>
      <c r="F124" s="91" t="s">
        <v>52</v>
      </c>
      <c r="G124" s="92" t="s">
        <v>853</v>
      </c>
      <c r="H124" s="93"/>
      <c r="I124" s="93"/>
      <c r="J124" s="91" t="s">
        <v>39</v>
      </c>
      <c r="K124" s="91" t="s">
        <v>854</v>
      </c>
      <c r="L124" s="91" t="s">
        <v>247</v>
      </c>
      <c r="M124" s="91" t="s">
        <v>848</v>
      </c>
      <c r="N124" s="91" t="s">
        <v>91</v>
      </c>
      <c r="O124" s="94">
        <v>45780.0</v>
      </c>
      <c r="P124" s="91" t="s">
        <v>520</v>
      </c>
      <c r="Q124" s="91" t="s">
        <v>521</v>
      </c>
      <c r="R124" s="96"/>
      <c r="S124" s="95"/>
      <c r="T124" s="96"/>
      <c r="U124" s="96"/>
      <c r="V124" s="91" t="s">
        <v>855</v>
      </c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</row>
    <row r="125">
      <c r="A125" s="88" t="s">
        <v>856</v>
      </c>
      <c r="B125" s="89"/>
      <c r="C125" s="89" t="s">
        <v>34</v>
      </c>
      <c r="D125" s="90" t="s">
        <v>177</v>
      </c>
      <c r="E125" s="91" t="s">
        <v>370</v>
      </c>
      <c r="F125" s="91" t="s">
        <v>52</v>
      </c>
      <c r="G125" s="92" t="s">
        <v>857</v>
      </c>
      <c r="H125" s="93"/>
      <c r="I125" s="93"/>
      <c r="J125" s="91" t="s">
        <v>39</v>
      </c>
      <c r="K125" s="91" t="s">
        <v>326</v>
      </c>
      <c r="L125" s="91" t="s">
        <v>858</v>
      </c>
      <c r="M125" s="91" t="s">
        <v>859</v>
      </c>
      <c r="N125" s="91" t="s">
        <v>91</v>
      </c>
      <c r="O125" s="94">
        <v>45780.0</v>
      </c>
      <c r="P125" s="91" t="s">
        <v>860</v>
      </c>
      <c r="Q125" s="91" t="s">
        <v>861</v>
      </c>
      <c r="R125" s="91" t="s">
        <v>862</v>
      </c>
      <c r="S125" s="98" t="s">
        <v>863</v>
      </c>
      <c r="T125" s="96"/>
      <c r="U125" s="96"/>
      <c r="V125" s="91" t="s">
        <v>864</v>
      </c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</row>
    <row r="126">
      <c r="A126" s="88" t="s">
        <v>865</v>
      </c>
      <c r="B126" s="89"/>
      <c r="C126" s="89" t="s">
        <v>34</v>
      </c>
      <c r="D126" s="90" t="s">
        <v>108</v>
      </c>
      <c r="E126" s="91" t="s">
        <v>218</v>
      </c>
      <c r="F126" s="91" t="s">
        <v>52</v>
      </c>
      <c r="G126" s="92" t="s">
        <v>866</v>
      </c>
      <c r="H126" s="93"/>
      <c r="I126" s="93"/>
      <c r="J126" s="91" t="s">
        <v>39</v>
      </c>
      <c r="K126" s="91" t="s">
        <v>443</v>
      </c>
      <c r="L126" s="91" t="s">
        <v>320</v>
      </c>
      <c r="M126" s="112" t="s">
        <v>867</v>
      </c>
      <c r="N126" s="91" t="s">
        <v>91</v>
      </c>
      <c r="O126" s="94">
        <v>45786.0</v>
      </c>
      <c r="P126" s="91" t="s">
        <v>868</v>
      </c>
      <c r="Q126" s="113" t="s">
        <v>869</v>
      </c>
      <c r="R126" s="94">
        <v>45786.0</v>
      </c>
      <c r="S126" s="95"/>
      <c r="T126" s="96"/>
      <c r="U126" s="96"/>
      <c r="V126" s="91" t="s">
        <v>870</v>
      </c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</row>
    <row r="127">
      <c r="A127" s="88" t="s">
        <v>871</v>
      </c>
      <c r="B127" s="89"/>
      <c r="C127" s="89" t="s">
        <v>34</v>
      </c>
      <c r="D127" s="90" t="s">
        <v>798</v>
      </c>
      <c r="E127" s="91" t="s">
        <v>85</v>
      </c>
      <c r="F127" s="91" t="s">
        <v>37</v>
      </c>
      <c r="G127" s="92" t="s">
        <v>872</v>
      </c>
      <c r="H127" s="93"/>
      <c r="I127" s="93"/>
      <c r="J127" s="91" t="s">
        <v>39</v>
      </c>
      <c r="K127" s="91" t="s">
        <v>789</v>
      </c>
      <c r="L127" s="91" t="s">
        <v>868</v>
      </c>
      <c r="M127" s="112" t="s">
        <v>869</v>
      </c>
      <c r="N127" s="91" t="s">
        <v>43</v>
      </c>
      <c r="O127" s="94">
        <v>45786.0</v>
      </c>
      <c r="P127" s="91" t="s">
        <v>253</v>
      </c>
      <c r="Q127" s="114" t="s">
        <v>254</v>
      </c>
      <c r="R127" s="96"/>
      <c r="S127" s="95"/>
      <c r="T127" s="96"/>
      <c r="U127" s="96"/>
      <c r="V127" s="91" t="s">
        <v>873</v>
      </c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</row>
    <row r="128">
      <c r="A128" s="88" t="s">
        <v>874</v>
      </c>
      <c r="B128" s="89"/>
      <c r="C128" s="89" t="s">
        <v>34</v>
      </c>
      <c r="D128" s="90" t="s">
        <v>108</v>
      </c>
      <c r="E128" s="91" t="s">
        <v>218</v>
      </c>
      <c r="F128" s="91" t="s">
        <v>52</v>
      </c>
      <c r="G128" s="92" t="s">
        <v>875</v>
      </c>
      <c r="H128" s="93"/>
      <c r="I128" s="93"/>
      <c r="J128" s="91" t="s">
        <v>39</v>
      </c>
      <c r="K128" s="91" t="s">
        <v>358</v>
      </c>
      <c r="L128" s="96"/>
      <c r="M128" s="96"/>
      <c r="N128" s="96"/>
      <c r="O128" s="96"/>
      <c r="P128" s="96"/>
      <c r="Q128" s="96"/>
      <c r="R128" s="96"/>
      <c r="S128" s="95"/>
      <c r="T128" s="96"/>
      <c r="U128" s="96"/>
      <c r="V128" s="91" t="s">
        <v>876</v>
      </c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</row>
    <row r="129">
      <c r="A129" s="88" t="s">
        <v>877</v>
      </c>
      <c r="B129" s="107"/>
      <c r="C129" s="107" t="s">
        <v>34</v>
      </c>
      <c r="D129" s="104" t="s">
        <v>108</v>
      </c>
      <c r="E129" s="108" t="s">
        <v>218</v>
      </c>
      <c r="F129" s="108" t="s">
        <v>52</v>
      </c>
      <c r="G129" s="92" t="s">
        <v>875</v>
      </c>
      <c r="H129" s="93"/>
      <c r="I129" s="93"/>
      <c r="J129" s="91" t="s">
        <v>39</v>
      </c>
      <c r="K129" s="91" t="s">
        <v>358</v>
      </c>
      <c r="L129" s="91" t="s">
        <v>183</v>
      </c>
      <c r="M129" s="91" t="s">
        <v>42</v>
      </c>
      <c r="N129" s="91" t="s">
        <v>43</v>
      </c>
      <c r="O129" s="94">
        <v>45786.0</v>
      </c>
      <c r="P129" s="96"/>
      <c r="Q129" s="96"/>
      <c r="R129" s="96"/>
      <c r="S129" s="95"/>
      <c r="T129" s="96"/>
      <c r="U129" s="96"/>
      <c r="V129" s="91" t="s">
        <v>878</v>
      </c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</row>
    <row r="130">
      <c r="A130" s="88" t="s">
        <v>879</v>
      </c>
      <c r="B130" s="89"/>
      <c r="C130" s="89" t="s">
        <v>34</v>
      </c>
      <c r="D130" s="90" t="s">
        <v>187</v>
      </c>
      <c r="E130" s="91" t="s">
        <v>370</v>
      </c>
      <c r="F130" s="91" t="s">
        <v>86</v>
      </c>
      <c r="G130" s="92" t="s">
        <v>880</v>
      </c>
      <c r="H130" s="93"/>
      <c r="I130" s="93"/>
      <c r="J130" s="91" t="s">
        <v>39</v>
      </c>
      <c r="K130" s="91" t="s">
        <v>881</v>
      </c>
      <c r="L130" s="91" t="s">
        <v>568</v>
      </c>
      <c r="M130" s="91" t="s">
        <v>882</v>
      </c>
      <c r="N130" s="91" t="s">
        <v>91</v>
      </c>
      <c r="O130" s="91" t="s">
        <v>862</v>
      </c>
      <c r="P130" s="91" t="s">
        <v>883</v>
      </c>
      <c r="Q130" s="91" t="s">
        <v>613</v>
      </c>
      <c r="R130" s="94">
        <v>45790.0</v>
      </c>
      <c r="S130" s="98" t="s">
        <v>884</v>
      </c>
      <c r="T130" s="96"/>
      <c r="U130" s="96"/>
      <c r="V130" s="91" t="s">
        <v>885</v>
      </c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</row>
    <row r="131">
      <c r="A131" s="88" t="s">
        <v>338</v>
      </c>
      <c r="B131" s="89"/>
      <c r="C131" s="89" t="s">
        <v>34</v>
      </c>
      <c r="D131" s="90" t="s">
        <v>886</v>
      </c>
      <c r="E131" s="91" t="s">
        <v>283</v>
      </c>
      <c r="F131" s="91" t="s">
        <v>52</v>
      </c>
      <c r="G131" s="92" t="s">
        <v>887</v>
      </c>
      <c r="H131" s="93"/>
      <c r="I131" s="93"/>
      <c r="J131" s="91" t="s">
        <v>39</v>
      </c>
      <c r="K131" s="91" t="s">
        <v>611</v>
      </c>
      <c r="L131" s="91" t="s">
        <v>262</v>
      </c>
      <c r="M131" s="91" t="s">
        <v>124</v>
      </c>
      <c r="N131" s="91" t="s">
        <v>91</v>
      </c>
      <c r="O131" s="94">
        <v>45790.0</v>
      </c>
      <c r="P131" s="91" t="s">
        <v>888</v>
      </c>
      <c r="Q131" s="91" t="s">
        <v>889</v>
      </c>
      <c r="R131" s="94">
        <v>45790.0</v>
      </c>
      <c r="S131" s="95"/>
      <c r="T131" s="96"/>
      <c r="U131" s="96"/>
      <c r="V131" s="91" t="s">
        <v>890</v>
      </c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</row>
    <row r="132">
      <c r="A132" s="88" t="s">
        <v>891</v>
      </c>
      <c r="B132" s="89"/>
      <c r="C132" s="89" t="s">
        <v>34</v>
      </c>
      <c r="D132" s="90" t="s">
        <v>177</v>
      </c>
      <c r="E132" s="91" t="s">
        <v>51</v>
      </c>
      <c r="F132" s="91" t="s">
        <v>52</v>
      </c>
      <c r="G132" s="92" t="s">
        <v>892</v>
      </c>
      <c r="H132" s="93"/>
      <c r="I132" s="93"/>
      <c r="J132" s="91" t="s">
        <v>39</v>
      </c>
      <c r="K132" s="91" t="s">
        <v>326</v>
      </c>
      <c r="L132" s="91" t="s">
        <v>888</v>
      </c>
      <c r="M132" s="91" t="s">
        <v>889</v>
      </c>
      <c r="N132" s="91" t="s">
        <v>893</v>
      </c>
      <c r="O132" s="94">
        <v>45792.0</v>
      </c>
      <c r="P132" s="91" t="s">
        <v>190</v>
      </c>
      <c r="Q132" s="91" t="s">
        <v>191</v>
      </c>
      <c r="R132" s="96"/>
      <c r="S132" s="95"/>
      <c r="T132" s="96"/>
      <c r="U132" s="96"/>
      <c r="V132" s="91" t="s">
        <v>894</v>
      </c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</row>
    <row r="133">
      <c r="A133" s="88" t="s">
        <v>895</v>
      </c>
      <c r="B133" s="89"/>
      <c r="C133" s="89" t="s">
        <v>34</v>
      </c>
      <c r="D133" s="90" t="s">
        <v>462</v>
      </c>
      <c r="E133" s="91" t="s">
        <v>188</v>
      </c>
      <c r="F133" s="91" t="s">
        <v>37</v>
      </c>
      <c r="G133" s="92" t="s">
        <v>896</v>
      </c>
      <c r="H133" s="93"/>
      <c r="I133" s="93"/>
      <c r="J133" s="91" t="s">
        <v>39</v>
      </c>
      <c r="K133" s="91" t="s">
        <v>897</v>
      </c>
      <c r="L133" s="91" t="s">
        <v>898</v>
      </c>
      <c r="M133" s="91" t="s">
        <v>899</v>
      </c>
      <c r="N133" s="91" t="s">
        <v>43</v>
      </c>
      <c r="O133" s="94">
        <v>45792.0</v>
      </c>
      <c r="P133" s="96"/>
      <c r="Q133" s="96"/>
      <c r="R133" s="96"/>
      <c r="S133" s="95"/>
      <c r="T133" s="96"/>
      <c r="U133" s="96"/>
      <c r="V133" s="91" t="s">
        <v>900</v>
      </c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</row>
    <row r="134">
      <c r="A134" s="88" t="s">
        <v>901</v>
      </c>
      <c r="B134" s="89"/>
      <c r="C134" s="89" t="s">
        <v>34</v>
      </c>
      <c r="D134" s="90" t="s">
        <v>108</v>
      </c>
      <c r="E134" s="91" t="s">
        <v>218</v>
      </c>
      <c r="F134" s="91" t="s">
        <v>52</v>
      </c>
      <c r="G134" s="92" t="s">
        <v>902</v>
      </c>
      <c r="H134" s="93"/>
      <c r="I134" s="93"/>
      <c r="J134" s="91" t="s">
        <v>39</v>
      </c>
      <c r="K134" s="91" t="s">
        <v>77</v>
      </c>
      <c r="L134" s="91" t="s">
        <v>183</v>
      </c>
      <c r="M134" s="91" t="s">
        <v>42</v>
      </c>
      <c r="N134" s="91" t="s">
        <v>43</v>
      </c>
      <c r="O134" s="94">
        <v>45792.0</v>
      </c>
      <c r="P134" s="91" t="s">
        <v>898</v>
      </c>
      <c r="Q134" s="91" t="s">
        <v>899</v>
      </c>
      <c r="R134" s="94">
        <v>45792.0</v>
      </c>
      <c r="S134" s="98" t="s">
        <v>903</v>
      </c>
      <c r="T134" s="96"/>
      <c r="U134" s="96"/>
      <c r="V134" s="91" t="s">
        <v>904</v>
      </c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</row>
    <row r="135">
      <c r="A135" s="88" t="s">
        <v>905</v>
      </c>
      <c r="B135" s="89"/>
      <c r="C135" s="89" t="s">
        <v>34</v>
      </c>
      <c r="D135" s="90" t="s">
        <v>356</v>
      </c>
      <c r="E135" s="91" t="s">
        <v>906</v>
      </c>
      <c r="F135" s="91" t="s">
        <v>52</v>
      </c>
      <c r="G135" s="92" t="s">
        <v>907</v>
      </c>
      <c r="H135" s="93"/>
      <c r="I135" s="93"/>
      <c r="J135" s="91" t="s">
        <v>39</v>
      </c>
      <c r="K135" s="91" t="s">
        <v>358</v>
      </c>
      <c r="L135" s="91" t="s">
        <v>908</v>
      </c>
      <c r="M135" s="91" t="s">
        <v>909</v>
      </c>
      <c r="N135" s="91" t="s">
        <v>91</v>
      </c>
      <c r="O135" s="94">
        <v>45793.0</v>
      </c>
      <c r="P135" s="91" t="s">
        <v>868</v>
      </c>
      <c r="Q135" s="113" t="s">
        <v>869</v>
      </c>
      <c r="R135" s="94">
        <v>45793.0</v>
      </c>
      <c r="S135" s="98" t="s">
        <v>910</v>
      </c>
      <c r="T135" s="96"/>
      <c r="U135" s="96"/>
      <c r="V135" s="91" t="s">
        <v>911</v>
      </c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</row>
    <row r="136">
      <c r="A136" s="88" t="s">
        <v>912</v>
      </c>
      <c r="B136" s="89"/>
      <c r="C136" s="89" t="s">
        <v>34</v>
      </c>
      <c r="D136" s="90" t="s">
        <v>108</v>
      </c>
      <c r="E136" s="91" t="s">
        <v>218</v>
      </c>
      <c r="F136" s="91" t="s">
        <v>52</v>
      </c>
      <c r="G136" s="92" t="s">
        <v>866</v>
      </c>
      <c r="H136" s="93"/>
      <c r="I136" s="93"/>
      <c r="J136" s="91" t="s">
        <v>39</v>
      </c>
      <c r="K136" s="91" t="s">
        <v>443</v>
      </c>
      <c r="L136" s="91" t="s">
        <v>868</v>
      </c>
      <c r="M136" s="113" t="s">
        <v>869</v>
      </c>
      <c r="N136" s="91" t="s">
        <v>91</v>
      </c>
      <c r="O136" s="94">
        <v>45793.0</v>
      </c>
      <c r="P136" s="91" t="s">
        <v>913</v>
      </c>
      <c r="Q136" s="108" t="s">
        <v>914</v>
      </c>
      <c r="R136" s="94">
        <v>45799.0</v>
      </c>
      <c r="S136" s="95"/>
      <c r="T136" s="96"/>
      <c r="U136" s="96"/>
      <c r="V136" s="91" t="s">
        <v>915</v>
      </c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</row>
    <row r="137">
      <c r="A137" s="88" t="s">
        <v>916</v>
      </c>
      <c r="B137" s="89"/>
      <c r="C137" s="89" t="s">
        <v>34</v>
      </c>
      <c r="D137" s="90" t="s">
        <v>617</v>
      </c>
      <c r="E137" s="91" t="s">
        <v>98</v>
      </c>
      <c r="F137" s="91" t="s">
        <v>52</v>
      </c>
      <c r="G137" s="92" t="s">
        <v>917</v>
      </c>
      <c r="H137" s="93"/>
      <c r="I137" s="93"/>
      <c r="J137" s="91" t="s">
        <v>39</v>
      </c>
      <c r="K137" s="91" t="s">
        <v>918</v>
      </c>
      <c r="L137" s="91" t="s">
        <v>320</v>
      </c>
      <c r="M137" s="112" t="s">
        <v>867</v>
      </c>
      <c r="N137" s="91" t="s">
        <v>287</v>
      </c>
      <c r="O137" s="94">
        <v>45793.0</v>
      </c>
      <c r="P137" s="91" t="s">
        <v>919</v>
      </c>
      <c r="Q137" s="91" t="s">
        <v>920</v>
      </c>
      <c r="R137" s="94">
        <v>45817.0</v>
      </c>
      <c r="S137" s="95"/>
      <c r="T137" s="96"/>
      <c r="U137" s="96"/>
      <c r="V137" s="91" t="s">
        <v>921</v>
      </c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</row>
    <row r="138">
      <c r="A138" s="88" t="s">
        <v>922</v>
      </c>
      <c r="B138" s="89"/>
      <c r="C138" s="89" t="s">
        <v>34</v>
      </c>
      <c r="D138" s="90" t="s">
        <v>35</v>
      </c>
      <c r="E138" s="91" t="s">
        <v>129</v>
      </c>
      <c r="F138" s="91" t="s">
        <v>37</v>
      </c>
      <c r="G138" s="92" t="s">
        <v>923</v>
      </c>
      <c r="H138" s="93"/>
      <c r="I138" s="93"/>
      <c r="J138" s="91" t="s">
        <v>39</v>
      </c>
      <c r="K138" s="91" t="s">
        <v>924</v>
      </c>
      <c r="L138" s="91" t="s">
        <v>262</v>
      </c>
      <c r="M138" s="91" t="s">
        <v>124</v>
      </c>
      <c r="N138" s="91" t="s">
        <v>43</v>
      </c>
      <c r="O138" s="94">
        <v>45793.0</v>
      </c>
      <c r="P138" s="91" t="s">
        <v>925</v>
      </c>
      <c r="Q138" s="91" t="s">
        <v>926</v>
      </c>
      <c r="R138" s="94">
        <v>45793.0</v>
      </c>
      <c r="S138" s="98" t="s">
        <v>927</v>
      </c>
      <c r="T138" s="96"/>
      <c r="U138" s="96"/>
      <c r="V138" s="91" t="s">
        <v>928</v>
      </c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</row>
    <row r="139">
      <c r="A139" s="88" t="s">
        <v>929</v>
      </c>
      <c r="B139" s="89"/>
      <c r="C139" s="89" t="s">
        <v>34</v>
      </c>
      <c r="D139" s="90" t="s">
        <v>624</v>
      </c>
      <c r="E139" s="91" t="s">
        <v>370</v>
      </c>
      <c r="F139" s="91" t="s">
        <v>86</v>
      </c>
      <c r="G139" s="92" t="s">
        <v>930</v>
      </c>
      <c r="H139" s="93"/>
      <c r="I139" s="93"/>
      <c r="J139" s="91" t="s">
        <v>39</v>
      </c>
      <c r="K139" s="91" t="s">
        <v>340</v>
      </c>
      <c r="L139" s="91" t="s">
        <v>931</v>
      </c>
      <c r="M139" s="91" t="s">
        <v>932</v>
      </c>
      <c r="N139" s="91" t="s">
        <v>91</v>
      </c>
      <c r="O139" s="94">
        <v>45798.0</v>
      </c>
      <c r="P139" s="91" t="s">
        <v>173</v>
      </c>
      <c r="Q139" s="91" t="s">
        <v>174</v>
      </c>
      <c r="R139" s="94">
        <v>45799.0</v>
      </c>
      <c r="S139" s="95"/>
      <c r="T139" s="96"/>
      <c r="U139" s="96"/>
      <c r="V139" s="91" t="s">
        <v>933</v>
      </c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</row>
    <row r="140">
      <c r="A140" s="88" t="s">
        <v>934</v>
      </c>
      <c r="B140" s="89"/>
      <c r="C140" s="89" t="s">
        <v>34</v>
      </c>
      <c r="D140" s="90" t="s">
        <v>128</v>
      </c>
      <c r="E140" s="91" t="s">
        <v>36</v>
      </c>
      <c r="F140" s="91" t="s">
        <v>52</v>
      </c>
      <c r="G140" s="92" t="s">
        <v>935</v>
      </c>
      <c r="H140" s="93"/>
      <c r="I140" s="93"/>
      <c r="J140" s="91" t="s">
        <v>39</v>
      </c>
      <c r="K140" s="91" t="s">
        <v>457</v>
      </c>
      <c r="L140" s="91" t="s">
        <v>193</v>
      </c>
      <c r="M140" s="91" t="s">
        <v>194</v>
      </c>
      <c r="N140" s="91" t="s">
        <v>91</v>
      </c>
      <c r="O140" s="94">
        <v>45814.0</v>
      </c>
      <c r="P140" s="91" t="s">
        <v>936</v>
      </c>
      <c r="Q140" s="91" t="s">
        <v>387</v>
      </c>
      <c r="R140" s="94">
        <v>45814.0</v>
      </c>
      <c r="S140" s="95"/>
      <c r="T140" s="96"/>
      <c r="U140" s="96"/>
      <c r="V140" s="91" t="s">
        <v>937</v>
      </c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</row>
    <row r="141">
      <c r="A141" s="88" t="s">
        <v>938</v>
      </c>
      <c r="B141" s="89"/>
      <c r="C141" s="89" t="s">
        <v>34</v>
      </c>
      <c r="D141" s="90" t="s">
        <v>356</v>
      </c>
      <c r="E141" s="91" t="s">
        <v>906</v>
      </c>
      <c r="F141" s="91" t="s">
        <v>52</v>
      </c>
      <c r="G141" s="92" t="s">
        <v>939</v>
      </c>
      <c r="H141" s="93"/>
      <c r="I141" s="93"/>
      <c r="J141" s="91" t="s">
        <v>39</v>
      </c>
      <c r="K141" s="91" t="s">
        <v>358</v>
      </c>
      <c r="L141" s="91" t="s">
        <v>183</v>
      </c>
      <c r="M141" s="91" t="s">
        <v>42</v>
      </c>
      <c r="N141" s="91" t="s">
        <v>940</v>
      </c>
      <c r="O141" s="94">
        <v>45799.0</v>
      </c>
      <c r="P141" s="91" t="s">
        <v>941</v>
      </c>
      <c r="Q141" s="91" t="s">
        <v>942</v>
      </c>
      <c r="R141" s="94">
        <v>45804.0</v>
      </c>
      <c r="S141" s="95"/>
      <c r="T141" s="96"/>
      <c r="U141" s="96"/>
      <c r="V141" s="91" t="s">
        <v>943</v>
      </c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</row>
    <row r="142">
      <c r="A142" s="88" t="s">
        <v>944</v>
      </c>
      <c r="B142" s="89"/>
      <c r="C142" s="89" t="s">
        <v>34</v>
      </c>
      <c r="D142" s="90" t="s">
        <v>382</v>
      </c>
      <c r="E142" s="91" t="s">
        <v>311</v>
      </c>
      <c r="F142" s="91" t="s">
        <v>52</v>
      </c>
      <c r="G142" s="92" t="s">
        <v>945</v>
      </c>
      <c r="H142" s="93"/>
      <c r="I142" s="93"/>
      <c r="J142" s="91" t="s">
        <v>39</v>
      </c>
      <c r="K142" s="91" t="s">
        <v>430</v>
      </c>
      <c r="L142" s="91" t="s">
        <v>262</v>
      </c>
      <c r="M142" s="91" t="s">
        <v>124</v>
      </c>
      <c r="N142" s="91" t="s">
        <v>91</v>
      </c>
      <c r="O142" s="94">
        <v>45799.0</v>
      </c>
      <c r="P142" s="96"/>
      <c r="Q142" s="96"/>
      <c r="R142" s="96"/>
      <c r="S142" s="95"/>
      <c r="T142" s="96"/>
      <c r="U142" s="96"/>
      <c r="V142" s="91" t="s">
        <v>946</v>
      </c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</row>
    <row r="143">
      <c r="A143" s="88" t="s">
        <v>947</v>
      </c>
      <c r="B143" s="89"/>
      <c r="C143" s="89" t="s">
        <v>34</v>
      </c>
      <c r="D143" s="90" t="s">
        <v>187</v>
      </c>
      <c r="E143" s="91" t="s">
        <v>591</v>
      </c>
      <c r="F143" s="91" t="s">
        <v>86</v>
      </c>
      <c r="G143" s="92" t="s">
        <v>948</v>
      </c>
      <c r="H143" s="93"/>
      <c r="I143" s="93"/>
      <c r="J143" s="91" t="s">
        <v>39</v>
      </c>
      <c r="K143" s="91" t="s">
        <v>619</v>
      </c>
      <c r="L143" s="91" t="s">
        <v>93</v>
      </c>
      <c r="M143" s="91" t="s">
        <v>949</v>
      </c>
      <c r="N143" s="91" t="s">
        <v>91</v>
      </c>
      <c r="O143" s="94">
        <v>45799.0</v>
      </c>
      <c r="P143" s="91" t="s">
        <v>950</v>
      </c>
      <c r="Q143" s="91" t="s">
        <v>951</v>
      </c>
      <c r="R143" s="94">
        <v>45813.0</v>
      </c>
      <c r="S143" s="95"/>
      <c r="T143" s="96"/>
      <c r="U143" s="96"/>
      <c r="V143" s="91" t="s">
        <v>952</v>
      </c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</row>
    <row r="144">
      <c r="A144" s="88" t="s">
        <v>953</v>
      </c>
      <c r="B144" s="89"/>
      <c r="C144" s="89" t="s">
        <v>34</v>
      </c>
      <c r="D144" s="90" t="s">
        <v>97</v>
      </c>
      <c r="E144" s="89" t="s">
        <v>139</v>
      </c>
      <c r="F144" s="89" t="s">
        <v>52</v>
      </c>
      <c r="G144" s="92" t="s">
        <v>954</v>
      </c>
      <c r="H144" s="93"/>
      <c r="I144" s="93"/>
      <c r="J144" s="89" t="s">
        <v>39</v>
      </c>
      <c r="K144" s="89" t="s">
        <v>658</v>
      </c>
      <c r="L144" s="89" t="s">
        <v>183</v>
      </c>
      <c r="M144" s="89" t="s">
        <v>42</v>
      </c>
      <c r="N144" s="89" t="s">
        <v>91</v>
      </c>
      <c r="O144" s="115">
        <v>45799.0</v>
      </c>
      <c r="P144" s="116"/>
      <c r="Q144" s="116"/>
      <c r="R144" s="116"/>
      <c r="S144" s="117"/>
      <c r="T144" s="116"/>
      <c r="U144" s="116"/>
      <c r="V144" s="89" t="s">
        <v>955</v>
      </c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</row>
    <row r="145">
      <c r="A145" s="88" t="s">
        <v>956</v>
      </c>
      <c r="B145" s="89"/>
      <c r="C145" s="89" t="s">
        <v>34</v>
      </c>
      <c r="D145" s="90" t="s">
        <v>108</v>
      </c>
      <c r="E145" s="91" t="s">
        <v>65</v>
      </c>
      <c r="F145" s="91" t="s">
        <v>52</v>
      </c>
      <c r="G145" s="92" t="s">
        <v>957</v>
      </c>
      <c r="H145" s="93"/>
      <c r="I145" s="93"/>
      <c r="J145" s="91" t="s">
        <v>39</v>
      </c>
      <c r="K145" s="91" t="s">
        <v>358</v>
      </c>
      <c r="L145" s="91" t="s">
        <v>183</v>
      </c>
      <c r="M145" s="91" t="s">
        <v>42</v>
      </c>
      <c r="N145" s="91" t="s">
        <v>43</v>
      </c>
      <c r="O145" s="94">
        <v>45800.0</v>
      </c>
      <c r="P145" s="96"/>
      <c r="Q145" s="96"/>
      <c r="R145" s="96"/>
      <c r="S145" s="95"/>
      <c r="T145" s="96"/>
      <c r="U145" s="96"/>
      <c r="V145" s="91" t="s">
        <v>958</v>
      </c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</row>
    <row r="146">
      <c r="A146" s="88" t="s">
        <v>959</v>
      </c>
      <c r="B146" s="89"/>
      <c r="C146" s="89" t="s">
        <v>34</v>
      </c>
      <c r="D146" s="90" t="s">
        <v>382</v>
      </c>
      <c r="E146" s="91" t="s">
        <v>283</v>
      </c>
      <c r="F146" s="91" t="s">
        <v>960</v>
      </c>
      <c r="G146" s="92" t="s">
        <v>961</v>
      </c>
      <c r="H146" s="93"/>
      <c r="I146" s="93"/>
      <c r="J146" s="91" t="s">
        <v>39</v>
      </c>
      <c r="K146" s="91" t="s">
        <v>358</v>
      </c>
      <c r="L146" s="91" t="s">
        <v>262</v>
      </c>
      <c r="M146" s="91" t="s">
        <v>124</v>
      </c>
      <c r="N146" s="91" t="s">
        <v>91</v>
      </c>
      <c r="O146" s="94">
        <v>45803.0</v>
      </c>
      <c r="P146" s="91" t="s">
        <v>962</v>
      </c>
      <c r="Q146" s="91" t="s">
        <v>963</v>
      </c>
      <c r="R146" s="94">
        <v>45801.0</v>
      </c>
      <c r="S146" s="98" t="s">
        <v>964</v>
      </c>
      <c r="T146" s="96"/>
      <c r="U146" s="96"/>
      <c r="V146" s="91" t="s">
        <v>965</v>
      </c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</row>
    <row r="147">
      <c r="A147" s="88" t="s">
        <v>966</v>
      </c>
      <c r="B147" s="89"/>
      <c r="C147" s="89" t="s">
        <v>34</v>
      </c>
      <c r="D147" s="90" t="s">
        <v>967</v>
      </c>
      <c r="E147" s="91" t="s">
        <v>65</v>
      </c>
      <c r="F147" s="91" t="s">
        <v>37</v>
      </c>
      <c r="G147" s="92" t="s">
        <v>968</v>
      </c>
      <c r="H147" s="93"/>
      <c r="I147" s="93"/>
      <c r="J147" s="91" t="s">
        <v>969</v>
      </c>
      <c r="K147" s="91" t="s">
        <v>358</v>
      </c>
      <c r="L147" s="91" t="s">
        <v>970</v>
      </c>
      <c r="M147" s="91" t="s">
        <v>971</v>
      </c>
      <c r="N147" s="91" t="s">
        <v>972</v>
      </c>
      <c r="O147" s="94">
        <v>45802.0</v>
      </c>
      <c r="P147" s="91" t="s">
        <v>973</v>
      </c>
      <c r="Q147" s="91" t="s">
        <v>124</v>
      </c>
      <c r="R147" s="96"/>
      <c r="S147" s="95"/>
      <c r="T147" s="96"/>
      <c r="U147" s="96"/>
      <c r="V147" s="91" t="s">
        <v>974</v>
      </c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</row>
    <row r="148">
      <c r="A148" s="88" t="s">
        <v>975</v>
      </c>
      <c r="B148" s="89"/>
      <c r="C148" s="89" t="s">
        <v>34</v>
      </c>
      <c r="D148" s="90" t="s">
        <v>382</v>
      </c>
      <c r="E148" s="89" t="s">
        <v>169</v>
      </c>
      <c r="F148" s="89" t="s">
        <v>52</v>
      </c>
      <c r="G148" s="92" t="s">
        <v>976</v>
      </c>
      <c r="H148" s="93"/>
      <c r="I148" s="93"/>
      <c r="J148" s="89" t="s">
        <v>39</v>
      </c>
      <c r="K148" s="89" t="s">
        <v>658</v>
      </c>
      <c r="L148" s="89" t="s">
        <v>262</v>
      </c>
      <c r="M148" s="89" t="s">
        <v>124</v>
      </c>
      <c r="N148" s="89" t="s">
        <v>977</v>
      </c>
      <c r="O148" s="115">
        <v>45803.0</v>
      </c>
      <c r="P148" s="116"/>
      <c r="Q148" s="116"/>
      <c r="R148" s="116"/>
      <c r="S148" s="117"/>
      <c r="T148" s="116"/>
      <c r="U148" s="116"/>
      <c r="V148" s="89" t="s">
        <v>978</v>
      </c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</row>
    <row r="149">
      <c r="A149" s="88" t="s">
        <v>979</v>
      </c>
      <c r="B149" s="89"/>
      <c r="C149" s="89" t="s">
        <v>34</v>
      </c>
      <c r="D149" s="90" t="s">
        <v>624</v>
      </c>
      <c r="E149" s="91" t="s">
        <v>65</v>
      </c>
      <c r="F149" s="91" t="s">
        <v>86</v>
      </c>
      <c r="G149" s="92" t="s">
        <v>980</v>
      </c>
      <c r="H149" s="93"/>
      <c r="I149" s="93"/>
      <c r="J149" s="91" t="s">
        <v>39</v>
      </c>
      <c r="K149" s="91" t="s">
        <v>471</v>
      </c>
      <c r="L149" s="91" t="s">
        <v>520</v>
      </c>
      <c r="M149" s="108" t="s">
        <v>824</v>
      </c>
      <c r="N149" s="91" t="s">
        <v>977</v>
      </c>
      <c r="O149" s="94">
        <v>45804.0</v>
      </c>
      <c r="P149" s="91" t="s">
        <v>950</v>
      </c>
      <c r="Q149" s="91" t="s">
        <v>951</v>
      </c>
      <c r="R149" s="94">
        <v>45814.0</v>
      </c>
      <c r="S149" s="95"/>
      <c r="T149" s="96"/>
      <c r="U149" s="96"/>
      <c r="V149" s="91" t="s">
        <v>981</v>
      </c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</row>
    <row r="150">
      <c r="A150" s="88" t="s">
        <v>982</v>
      </c>
      <c r="B150" s="89"/>
      <c r="C150" s="89" t="s">
        <v>34</v>
      </c>
      <c r="D150" s="90" t="s">
        <v>303</v>
      </c>
      <c r="E150" s="91" t="s">
        <v>85</v>
      </c>
      <c r="F150" s="91" t="s">
        <v>86</v>
      </c>
      <c r="G150" s="92" t="s">
        <v>983</v>
      </c>
      <c r="H150" s="93"/>
      <c r="I150" s="93"/>
      <c r="J150" s="91" t="s">
        <v>39</v>
      </c>
      <c r="K150" s="91" t="s">
        <v>443</v>
      </c>
      <c r="L150" s="91" t="s">
        <v>984</v>
      </c>
      <c r="M150" s="91" t="s">
        <v>985</v>
      </c>
      <c r="N150" s="91" t="s">
        <v>91</v>
      </c>
      <c r="O150" s="94">
        <v>45804.0</v>
      </c>
      <c r="P150" s="91" t="s">
        <v>986</v>
      </c>
      <c r="Q150" s="91" t="s">
        <v>987</v>
      </c>
      <c r="R150" s="94">
        <v>45804.0</v>
      </c>
      <c r="S150" s="95"/>
      <c r="T150" s="96"/>
      <c r="U150" s="96"/>
      <c r="V150" s="91" t="s">
        <v>988</v>
      </c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</row>
    <row r="151">
      <c r="A151" s="88" t="s">
        <v>989</v>
      </c>
      <c r="B151" s="89"/>
      <c r="C151" s="89" t="s">
        <v>34</v>
      </c>
      <c r="D151" s="90" t="s">
        <v>382</v>
      </c>
      <c r="E151" s="91" t="s">
        <v>399</v>
      </c>
      <c r="F151" s="91" t="s">
        <v>52</v>
      </c>
      <c r="G151" s="92" t="s">
        <v>990</v>
      </c>
      <c r="H151" s="93"/>
      <c r="I151" s="93"/>
      <c r="J151" s="91" t="s">
        <v>39</v>
      </c>
      <c r="K151" s="91" t="s">
        <v>443</v>
      </c>
      <c r="L151" s="91" t="s">
        <v>262</v>
      </c>
      <c r="M151" s="91" t="s">
        <v>124</v>
      </c>
      <c r="N151" s="91" t="s">
        <v>91</v>
      </c>
      <c r="O151" s="94">
        <v>45804.0</v>
      </c>
      <c r="P151" s="91" t="s">
        <v>991</v>
      </c>
      <c r="Q151" s="91" t="s">
        <v>992</v>
      </c>
      <c r="R151" s="94">
        <v>45804.0</v>
      </c>
      <c r="S151" s="95"/>
      <c r="T151" s="96"/>
      <c r="U151" s="96"/>
      <c r="V151" s="91" t="s">
        <v>993</v>
      </c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</row>
    <row r="152">
      <c r="A152" s="88" t="s">
        <v>994</v>
      </c>
      <c r="B152" s="89"/>
      <c r="C152" s="89" t="s">
        <v>34</v>
      </c>
      <c r="D152" s="90" t="s">
        <v>303</v>
      </c>
      <c r="E152" s="91" t="s">
        <v>370</v>
      </c>
      <c r="F152" s="91" t="s">
        <v>86</v>
      </c>
      <c r="G152" s="92" t="s">
        <v>995</v>
      </c>
      <c r="H152" s="93"/>
      <c r="I152" s="93"/>
      <c r="J152" s="91" t="s">
        <v>39</v>
      </c>
      <c r="K152" s="91" t="s">
        <v>996</v>
      </c>
      <c r="L152" s="91" t="s">
        <v>962</v>
      </c>
      <c r="M152" s="91" t="s">
        <v>963</v>
      </c>
      <c r="N152" s="91" t="s">
        <v>91</v>
      </c>
      <c r="O152" s="94">
        <v>45804.0</v>
      </c>
      <c r="P152" s="91" t="s">
        <v>431</v>
      </c>
      <c r="Q152" s="91" t="s">
        <v>997</v>
      </c>
      <c r="R152" s="94">
        <v>45812.0</v>
      </c>
      <c r="S152" s="95"/>
      <c r="T152" s="96"/>
      <c r="U152" s="96"/>
      <c r="V152" s="91" t="s">
        <v>998</v>
      </c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</row>
    <row r="153">
      <c r="A153" s="88" t="s">
        <v>999</v>
      </c>
      <c r="B153" s="89"/>
      <c r="C153" s="89" t="s">
        <v>34</v>
      </c>
      <c r="D153" s="90" t="s">
        <v>798</v>
      </c>
      <c r="E153" s="91" t="s">
        <v>85</v>
      </c>
      <c r="F153" s="91" t="s">
        <v>37</v>
      </c>
      <c r="G153" s="92" t="s">
        <v>872</v>
      </c>
      <c r="H153" s="93"/>
      <c r="I153" s="93"/>
      <c r="J153" s="91" t="s">
        <v>39</v>
      </c>
      <c r="K153" s="91" t="s">
        <v>789</v>
      </c>
      <c r="L153" s="91" t="s">
        <v>253</v>
      </c>
      <c r="M153" s="91" t="s">
        <v>254</v>
      </c>
      <c r="N153" s="91" t="s">
        <v>43</v>
      </c>
      <c r="O153" s="94">
        <v>45817.0</v>
      </c>
      <c r="P153" s="96"/>
      <c r="Q153" s="96"/>
      <c r="R153" s="96"/>
      <c r="S153" s="95"/>
      <c r="T153" s="96"/>
      <c r="U153" s="96"/>
      <c r="V153" s="91" t="s">
        <v>1000</v>
      </c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</row>
    <row r="154">
      <c r="A154" s="88" t="s">
        <v>1001</v>
      </c>
      <c r="B154" s="89"/>
      <c r="C154" s="89" t="s">
        <v>34</v>
      </c>
      <c r="D154" s="90" t="s">
        <v>356</v>
      </c>
      <c r="E154" s="91" t="s">
        <v>65</v>
      </c>
      <c r="F154" s="91" t="s">
        <v>37</v>
      </c>
      <c r="G154" s="92" t="s">
        <v>670</v>
      </c>
      <c r="H154" s="93"/>
      <c r="I154" s="93"/>
      <c r="J154" s="91" t="s">
        <v>39</v>
      </c>
      <c r="K154" s="91" t="s">
        <v>358</v>
      </c>
      <c r="L154" s="91" t="s">
        <v>1002</v>
      </c>
      <c r="M154" s="91" t="s">
        <v>1003</v>
      </c>
      <c r="N154" s="91" t="s">
        <v>43</v>
      </c>
      <c r="O154" s="94">
        <v>45820.0</v>
      </c>
      <c r="P154" s="96"/>
      <c r="Q154" s="96"/>
      <c r="R154" s="96"/>
      <c r="S154" s="95"/>
      <c r="T154" s="96"/>
      <c r="U154" s="96"/>
      <c r="V154" s="91" t="s">
        <v>1004</v>
      </c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</row>
    <row r="155">
      <c r="A155" s="88" t="s">
        <v>1005</v>
      </c>
      <c r="B155" s="89"/>
      <c r="C155" s="89" t="s">
        <v>34</v>
      </c>
      <c r="D155" s="90" t="s">
        <v>128</v>
      </c>
      <c r="E155" s="91" t="s">
        <v>85</v>
      </c>
      <c r="F155" s="91" t="s">
        <v>52</v>
      </c>
      <c r="G155" s="92" t="s">
        <v>1006</v>
      </c>
      <c r="H155" s="93"/>
      <c r="I155" s="93"/>
      <c r="J155" s="91" t="s">
        <v>39</v>
      </c>
      <c r="K155" s="91" t="s">
        <v>326</v>
      </c>
      <c r="L155" s="91" t="s">
        <v>1007</v>
      </c>
      <c r="M155" s="91" t="s">
        <v>716</v>
      </c>
      <c r="N155" s="91" t="s">
        <v>893</v>
      </c>
      <c r="O155" s="94">
        <v>45818.0</v>
      </c>
      <c r="P155" s="96"/>
      <c r="Q155" s="96"/>
      <c r="R155" s="96"/>
      <c r="S155" s="95"/>
      <c r="T155" s="96"/>
      <c r="U155" s="96"/>
      <c r="V155" s="91" t="s">
        <v>1008</v>
      </c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</row>
    <row r="156">
      <c r="A156" s="88" t="s">
        <v>1009</v>
      </c>
      <c r="B156" s="89"/>
      <c r="C156" s="89" t="s">
        <v>34</v>
      </c>
      <c r="D156" s="90" t="s">
        <v>1010</v>
      </c>
      <c r="E156" s="91" t="s">
        <v>65</v>
      </c>
      <c r="F156" s="91" t="s">
        <v>1011</v>
      </c>
      <c r="G156" s="92" t="s">
        <v>1012</v>
      </c>
      <c r="H156" s="93"/>
      <c r="I156" s="93"/>
      <c r="J156" s="91" t="s">
        <v>39</v>
      </c>
      <c r="K156" s="91" t="s">
        <v>122</v>
      </c>
      <c r="L156" s="91" t="s">
        <v>612</v>
      </c>
      <c r="M156" s="91" t="s">
        <v>1013</v>
      </c>
      <c r="N156" s="91" t="s">
        <v>91</v>
      </c>
      <c r="O156" s="94">
        <v>45814.0</v>
      </c>
      <c r="P156" s="91" t="s">
        <v>586</v>
      </c>
      <c r="Q156" s="91" t="s">
        <v>587</v>
      </c>
      <c r="R156" s="94">
        <v>45819.0</v>
      </c>
      <c r="S156" s="95"/>
      <c r="T156" s="96"/>
      <c r="U156" s="96"/>
      <c r="V156" s="91" t="s">
        <v>1014</v>
      </c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</row>
    <row r="157">
      <c r="A157" s="88" t="s">
        <v>1015</v>
      </c>
      <c r="B157" s="89"/>
      <c r="C157" s="89" t="s">
        <v>34</v>
      </c>
      <c r="D157" s="90" t="s">
        <v>187</v>
      </c>
      <c r="E157" s="91" t="s">
        <v>591</v>
      </c>
      <c r="F157" s="91" t="s">
        <v>86</v>
      </c>
      <c r="G157" s="92" t="s">
        <v>1016</v>
      </c>
      <c r="H157" s="93"/>
      <c r="I157" s="93"/>
      <c r="J157" s="91" t="s">
        <v>39</v>
      </c>
      <c r="K157" s="91" t="s">
        <v>326</v>
      </c>
      <c r="L157" s="91" t="s">
        <v>262</v>
      </c>
      <c r="M157" s="91" t="s">
        <v>124</v>
      </c>
      <c r="N157" s="91" t="s">
        <v>91</v>
      </c>
      <c r="O157" s="94">
        <v>45824.0</v>
      </c>
      <c r="P157" s="91" t="s">
        <v>1017</v>
      </c>
      <c r="Q157" s="91" t="s">
        <v>1018</v>
      </c>
      <c r="R157" s="94">
        <v>45824.0</v>
      </c>
      <c r="S157" s="95"/>
      <c r="T157" s="96"/>
      <c r="U157" s="96"/>
      <c r="V157" s="91" t="s">
        <v>1019</v>
      </c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</row>
    <row r="158">
      <c r="A158" s="88" t="s">
        <v>1020</v>
      </c>
      <c r="B158" s="89"/>
      <c r="C158" s="89" t="s">
        <v>34</v>
      </c>
      <c r="D158" s="90" t="s">
        <v>1021</v>
      </c>
      <c r="E158" s="91" t="s">
        <v>407</v>
      </c>
      <c r="F158" s="91" t="s">
        <v>37</v>
      </c>
      <c r="G158" s="92" t="s">
        <v>1022</v>
      </c>
      <c r="H158" s="93"/>
      <c r="I158" s="93"/>
      <c r="J158" s="91" t="s">
        <v>39</v>
      </c>
      <c r="K158" s="96"/>
      <c r="L158" s="96"/>
      <c r="M158" s="96"/>
      <c r="N158" s="96"/>
      <c r="O158" s="96"/>
      <c r="P158" s="96"/>
      <c r="Q158" s="96"/>
      <c r="R158" s="96"/>
      <c r="S158" s="95"/>
      <c r="T158" s="96"/>
      <c r="U158" s="96"/>
      <c r="V158" s="91" t="s">
        <v>1023</v>
      </c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</row>
    <row r="159">
      <c r="A159" s="88" t="s">
        <v>1024</v>
      </c>
      <c r="B159" s="89"/>
      <c r="C159" s="89" t="s">
        <v>34</v>
      </c>
      <c r="D159" s="90" t="s">
        <v>812</v>
      </c>
      <c r="E159" s="96"/>
      <c r="F159" s="96"/>
      <c r="G159" s="92" t="s">
        <v>1025</v>
      </c>
      <c r="H159" s="93"/>
      <c r="I159" s="93"/>
      <c r="J159" s="91" t="s">
        <v>39</v>
      </c>
      <c r="K159" s="96"/>
      <c r="L159" s="96"/>
      <c r="M159" s="96"/>
      <c r="N159" s="96"/>
      <c r="O159" s="96"/>
      <c r="P159" s="96"/>
      <c r="Q159" s="96"/>
      <c r="R159" s="96"/>
      <c r="S159" s="95"/>
      <c r="T159" s="96"/>
      <c r="U159" s="96"/>
      <c r="V159" s="91" t="s">
        <v>1026</v>
      </c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</row>
    <row r="160">
      <c r="A160" s="88" t="s">
        <v>1027</v>
      </c>
      <c r="B160" s="89"/>
      <c r="C160" s="89" t="s">
        <v>34</v>
      </c>
      <c r="D160" s="90" t="s">
        <v>382</v>
      </c>
      <c r="E160" s="91" t="s">
        <v>1028</v>
      </c>
      <c r="F160" s="91" t="s">
        <v>52</v>
      </c>
      <c r="G160" s="92" t="s">
        <v>714</v>
      </c>
      <c r="H160" s="93"/>
      <c r="I160" s="93"/>
      <c r="J160" s="91" t="s">
        <v>39</v>
      </c>
      <c r="K160" s="91" t="s">
        <v>1029</v>
      </c>
      <c r="L160" s="91" t="s">
        <v>1030</v>
      </c>
      <c r="M160" s="91" t="s">
        <v>1031</v>
      </c>
      <c r="N160" s="91" t="s">
        <v>43</v>
      </c>
      <c r="O160" s="94">
        <v>45832.0</v>
      </c>
      <c r="P160" s="91" t="s">
        <v>1032</v>
      </c>
      <c r="Q160" s="91" t="s">
        <v>488</v>
      </c>
      <c r="R160" s="94">
        <v>45840.0</v>
      </c>
      <c r="S160" s="95"/>
      <c r="T160" s="96"/>
      <c r="U160" s="96"/>
      <c r="V160" s="91" t="s">
        <v>1033</v>
      </c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</row>
    <row r="161">
      <c r="A161" s="88" t="s">
        <v>1034</v>
      </c>
      <c r="B161" s="89"/>
      <c r="C161" s="89" t="s">
        <v>34</v>
      </c>
      <c r="D161" s="90" t="s">
        <v>1035</v>
      </c>
      <c r="E161" s="91" t="s">
        <v>85</v>
      </c>
      <c r="F161" s="91" t="s">
        <v>52</v>
      </c>
      <c r="G161" s="92" t="s">
        <v>1036</v>
      </c>
      <c r="H161" s="93"/>
      <c r="I161" s="93"/>
      <c r="J161" s="91" t="s">
        <v>39</v>
      </c>
      <c r="K161" s="91" t="s">
        <v>457</v>
      </c>
      <c r="L161" s="91" t="s">
        <v>1037</v>
      </c>
      <c r="M161" s="91" t="s">
        <v>1038</v>
      </c>
      <c r="N161" s="91" t="s">
        <v>91</v>
      </c>
      <c r="O161" s="94">
        <v>45832.0</v>
      </c>
      <c r="P161" s="91" t="s">
        <v>1039</v>
      </c>
      <c r="Q161" s="91" t="s">
        <v>1040</v>
      </c>
      <c r="R161" s="94">
        <v>45832.0</v>
      </c>
      <c r="S161" s="95"/>
      <c r="T161" s="96"/>
      <c r="U161" s="96"/>
      <c r="V161" s="91" t="s">
        <v>1041</v>
      </c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</row>
    <row r="162">
      <c r="A162" s="88" t="s">
        <v>1042</v>
      </c>
      <c r="B162" s="89"/>
      <c r="C162" s="89" t="s">
        <v>34</v>
      </c>
      <c r="D162" s="90" t="s">
        <v>1035</v>
      </c>
      <c r="E162" s="91" t="s">
        <v>65</v>
      </c>
      <c r="F162" s="91" t="s">
        <v>52</v>
      </c>
      <c r="G162" s="92" t="s">
        <v>1043</v>
      </c>
      <c r="H162" s="93"/>
      <c r="I162" s="93"/>
      <c r="J162" s="91" t="s">
        <v>39</v>
      </c>
      <c r="K162" s="91" t="s">
        <v>477</v>
      </c>
      <c r="L162" s="91" t="s">
        <v>1044</v>
      </c>
      <c r="M162" s="91" t="s">
        <v>1045</v>
      </c>
      <c r="N162" s="91" t="s">
        <v>91</v>
      </c>
      <c r="O162" s="94">
        <v>45832.0</v>
      </c>
      <c r="P162" s="91" t="s">
        <v>1039</v>
      </c>
      <c r="Q162" s="91" t="s">
        <v>1040</v>
      </c>
      <c r="R162" s="94">
        <v>45832.0</v>
      </c>
      <c r="S162" s="95"/>
      <c r="T162" s="96"/>
      <c r="U162" s="96"/>
      <c r="V162" s="91" t="s">
        <v>1046</v>
      </c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</row>
    <row r="163">
      <c r="A163" s="88" t="s">
        <v>1047</v>
      </c>
      <c r="B163" s="89"/>
      <c r="C163" s="89" t="s">
        <v>34</v>
      </c>
      <c r="D163" s="90" t="s">
        <v>1048</v>
      </c>
      <c r="E163" s="91" t="s">
        <v>139</v>
      </c>
      <c r="F163" s="91" t="s">
        <v>1049</v>
      </c>
      <c r="G163" s="92" t="s">
        <v>1050</v>
      </c>
      <c r="H163" s="93"/>
      <c r="I163" s="93"/>
      <c r="J163" s="91" t="s">
        <v>1051</v>
      </c>
      <c r="K163" s="91" t="s">
        <v>122</v>
      </c>
      <c r="L163" s="91" t="s">
        <v>262</v>
      </c>
      <c r="M163" s="91" t="s">
        <v>124</v>
      </c>
      <c r="N163" s="91" t="s">
        <v>91</v>
      </c>
      <c r="O163" s="94">
        <v>45832.0</v>
      </c>
      <c r="P163" s="91" t="s">
        <v>1030</v>
      </c>
      <c r="Q163" s="91" t="s">
        <v>1031</v>
      </c>
      <c r="R163" s="94">
        <v>45832.0</v>
      </c>
      <c r="S163" s="95"/>
      <c r="T163" s="96"/>
      <c r="U163" s="96"/>
      <c r="V163" s="91" t="s">
        <v>1052</v>
      </c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</row>
    <row r="164">
      <c r="A164" s="88" t="s">
        <v>1053</v>
      </c>
      <c r="B164" s="89"/>
      <c r="C164" s="89" t="s">
        <v>34</v>
      </c>
      <c r="D164" s="90" t="s">
        <v>1054</v>
      </c>
      <c r="E164" s="91" t="s">
        <v>139</v>
      </c>
      <c r="F164" s="91" t="s">
        <v>1049</v>
      </c>
      <c r="G164" s="92" t="s">
        <v>1055</v>
      </c>
      <c r="H164" s="93"/>
      <c r="I164" s="93"/>
      <c r="J164" s="91" t="s">
        <v>1051</v>
      </c>
      <c r="K164" s="91" t="s">
        <v>122</v>
      </c>
      <c r="L164" s="91" t="s">
        <v>262</v>
      </c>
      <c r="M164" s="91" t="s">
        <v>124</v>
      </c>
      <c r="N164" s="91" t="s">
        <v>91</v>
      </c>
      <c r="O164" s="94">
        <v>45832.0</v>
      </c>
      <c r="P164" s="91" t="s">
        <v>1056</v>
      </c>
      <c r="Q164" s="91" t="s">
        <v>465</v>
      </c>
      <c r="R164" s="91" t="s">
        <v>1057</v>
      </c>
      <c r="S164" s="95"/>
      <c r="T164" s="96"/>
      <c r="U164" s="96"/>
      <c r="V164" s="91" t="s">
        <v>1058</v>
      </c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</row>
    <row r="165">
      <c r="A165" s="88" t="s">
        <v>1059</v>
      </c>
      <c r="B165" s="89"/>
      <c r="C165" s="89" t="s">
        <v>34</v>
      </c>
      <c r="D165" s="90" t="s">
        <v>1054</v>
      </c>
      <c r="E165" s="118" t="s">
        <v>139</v>
      </c>
      <c r="F165" s="118" t="s">
        <v>1049</v>
      </c>
      <c r="G165" s="92" t="s">
        <v>1055</v>
      </c>
      <c r="H165" s="93"/>
      <c r="I165" s="93"/>
      <c r="J165" s="118" t="s">
        <v>1051</v>
      </c>
      <c r="K165" s="118" t="s">
        <v>122</v>
      </c>
      <c r="L165" s="91" t="s">
        <v>1030</v>
      </c>
      <c r="M165" s="91" t="s">
        <v>1031</v>
      </c>
      <c r="N165" s="96"/>
      <c r="O165" s="94">
        <v>45850.0</v>
      </c>
      <c r="P165" s="91" t="s">
        <v>262</v>
      </c>
      <c r="Q165" s="91" t="s">
        <v>124</v>
      </c>
      <c r="R165" s="94">
        <v>45852.0</v>
      </c>
      <c r="S165" s="95"/>
      <c r="T165" s="96"/>
      <c r="U165" s="96"/>
      <c r="V165" s="91" t="s">
        <v>1060</v>
      </c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</row>
    <row r="166">
      <c r="A166" s="88" t="s">
        <v>1061</v>
      </c>
      <c r="B166" s="89"/>
      <c r="C166" s="89" t="s">
        <v>34</v>
      </c>
      <c r="D166" s="90" t="s">
        <v>1062</v>
      </c>
      <c r="E166" s="91" t="s">
        <v>311</v>
      </c>
      <c r="F166" s="91" t="s">
        <v>52</v>
      </c>
      <c r="G166" s="92" t="s">
        <v>1063</v>
      </c>
      <c r="H166" s="93"/>
      <c r="I166" s="93"/>
      <c r="J166" s="91" t="s">
        <v>39</v>
      </c>
      <c r="K166" s="91" t="s">
        <v>619</v>
      </c>
      <c r="L166" s="91" t="s">
        <v>520</v>
      </c>
      <c r="M166" s="91" t="s">
        <v>521</v>
      </c>
      <c r="N166" s="91" t="s">
        <v>43</v>
      </c>
      <c r="O166" s="94">
        <v>45850.0</v>
      </c>
      <c r="P166" s="96"/>
      <c r="Q166" s="96"/>
      <c r="R166" s="96"/>
      <c r="S166" s="95"/>
      <c r="T166" s="96"/>
      <c r="U166" s="96"/>
      <c r="V166" s="91" t="s">
        <v>1064</v>
      </c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</row>
    <row r="167">
      <c r="A167" s="88" t="s">
        <v>1065</v>
      </c>
      <c r="B167" s="89"/>
      <c r="C167" s="89" t="s">
        <v>34</v>
      </c>
      <c r="D167" s="90" t="s">
        <v>1066</v>
      </c>
      <c r="E167" s="91" t="s">
        <v>65</v>
      </c>
      <c r="F167" s="91" t="s">
        <v>86</v>
      </c>
      <c r="G167" s="99"/>
      <c r="H167" s="100"/>
      <c r="I167" s="100"/>
      <c r="J167" s="91" t="s">
        <v>39</v>
      </c>
      <c r="K167" s="91" t="s">
        <v>340</v>
      </c>
      <c r="L167" s="91" t="s">
        <v>262</v>
      </c>
      <c r="M167" s="91" t="s">
        <v>124</v>
      </c>
      <c r="N167" s="91" t="s">
        <v>91</v>
      </c>
      <c r="O167" s="94">
        <v>45853.0</v>
      </c>
      <c r="P167" s="91" t="s">
        <v>1067</v>
      </c>
      <c r="Q167" s="91" t="s">
        <v>1068</v>
      </c>
      <c r="R167" s="94">
        <v>45853.0</v>
      </c>
      <c r="S167" s="95"/>
      <c r="T167" s="96"/>
      <c r="U167" s="96"/>
      <c r="V167" s="91" t="s">
        <v>1069</v>
      </c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</row>
    <row r="168">
      <c r="A168" s="88" t="s">
        <v>1070</v>
      </c>
      <c r="B168" s="89"/>
      <c r="C168" s="89" t="s">
        <v>34</v>
      </c>
      <c r="D168" s="90" t="s">
        <v>1071</v>
      </c>
      <c r="E168" s="91" t="s">
        <v>85</v>
      </c>
      <c r="F168" s="91" t="s">
        <v>52</v>
      </c>
      <c r="G168" s="92" t="s">
        <v>1072</v>
      </c>
      <c r="H168" s="93"/>
      <c r="I168" s="93"/>
      <c r="J168" s="91" t="s">
        <v>39</v>
      </c>
      <c r="K168" s="91" t="s">
        <v>443</v>
      </c>
      <c r="L168" s="91" t="s">
        <v>262</v>
      </c>
      <c r="M168" s="91" t="s">
        <v>124</v>
      </c>
      <c r="N168" s="91" t="s">
        <v>91</v>
      </c>
      <c r="O168" s="94">
        <v>45872.0</v>
      </c>
      <c r="P168" s="91" t="s">
        <v>1073</v>
      </c>
      <c r="Q168" s="91" t="s">
        <v>1074</v>
      </c>
      <c r="R168" s="94">
        <v>45872.0</v>
      </c>
      <c r="S168" s="95"/>
      <c r="T168" s="96"/>
      <c r="U168" s="96"/>
      <c r="V168" s="91" t="s">
        <v>1075</v>
      </c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</row>
    <row r="169">
      <c r="A169" s="88" t="s">
        <v>1076</v>
      </c>
      <c r="B169" s="89"/>
      <c r="C169" s="89" t="s">
        <v>34</v>
      </c>
      <c r="D169" s="90" t="s">
        <v>382</v>
      </c>
      <c r="E169" s="91" t="s">
        <v>370</v>
      </c>
      <c r="F169" s="91" t="s">
        <v>52</v>
      </c>
      <c r="G169" s="92" t="s">
        <v>1077</v>
      </c>
      <c r="H169" s="93"/>
      <c r="I169" s="93"/>
      <c r="J169" s="91" t="s">
        <v>39</v>
      </c>
      <c r="K169" s="91" t="s">
        <v>471</v>
      </c>
      <c r="L169" s="91" t="s">
        <v>1078</v>
      </c>
      <c r="M169" s="91" t="s">
        <v>1079</v>
      </c>
      <c r="N169" s="91" t="s">
        <v>91</v>
      </c>
      <c r="O169" s="91" t="s">
        <v>1080</v>
      </c>
      <c r="P169" s="91" t="s">
        <v>1081</v>
      </c>
      <c r="Q169" s="91" t="s">
        <v>727</v>
      </c>
      <c r="R169" s="91" t="s">
        <v>1082</v>
      </c>
      <c r="S169" s="95"/>
      <c r="T169" s="96"/>
      <c r="U169" s="96"/>
      <c r="V169" s="91" t="s">
        <v>1083</v>
      </c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</row>
    <row r="170">
      <c r="A170" s="88" t="s">
        <v>1084</v>
      </c>
      <c r="B170" s="89"/>
      <c r="C170" s="89" t="s">
        <v>34</v>
      </c>
      <c r="D170" s="90" t="s">
        <v>1085</v>
      </c>
      <c r="E170" s="91" t="s">
        <v>188</v>
      </c>
      <c r="F170" s="91" t="s">
        <v>52</v>
      </c>
      <c r="G170" s="92" t="s">
        <v>1086</v>
      </c>
      <c r="H170" s="93"/>
      <c r="I170" s="93"/>
      <c r="J170" s="91" t="s">
        <v>39</v>
      </c>
      <c r="K170" s="91" t="s">
        <v>471</v>
      </c>
      <c r="L170" s="91" t="s">
        <v>1087</v>
      </c>
      <c r="M170" s="91" t="s">
        <v>1088</v>
      </c>
      <c r="N170" s="91" t="s">
        <v>91</v>
      </c>
      <c r="O170" s="91" t="s">
        <v>1089</v>
      </c>
      <c r="P170" s="96"/>
      <c r="Q170" s="96"/>
      <c r="R170" s="96"/>
      <c r="S170" s="95"/>
      <c r="T170" s="96"/>
      <c r="U170" s="96"/>
      <c r="V170" s="91" t="s">
        <v>1090</v>
      </c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</row>
    <row r="171">
      <c r="A171" s="88" t="s">
        <v>1091</v>
      </c>
      <c r="B171" s="89"/>
      <c r="C171" s="89" t="s">
        <v>34</v>
      </c>
      <c r="D171" s="90" t="s">
        <v>187</v>
      </c>
      <c r="E171" s="91" t="s">
        <v>188</v>
      </c>
      <c r="F171" s="91" t="s">
        <v>86</v>
      </c>
      <c r="G171" s="92" t="s">
        <v>1092</v>
      </c>
      <c r="H171" s="93"/>
      <c r="I171" s="93"/>
      <c r="J171" s="91" t="s">
        <v>39</v>
      </c>
      <c r="K171" s="91" t="s">
        <v>663</v>
      </c>
      <c r="L171" s="91" t="s">
        <v>1093</v>
      </c>
      <c r="M171" s="96"/>
      <c r="N171" s="96"/>
      <c r="O171" s="96"/>
      <c r="P171" s="96"/>
      <c r="Q171" s="96"/>
      <c r="R171" s="96"/>
      <c r="S171" s="95"/>
      <c r="T171" s="96"/>
      <c r="U171" s="96"/>
      <c r="V171" s="91" t="s">
        <v>1094</v>
      </c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</row>
    <row r="172">
      <c r="A172" s="88" t="s">
        <v>1095</v>
      </c>
      <c r="B172" s="89"/>
      <c r="C172" s="89" t="s">
        <v>34</v>
      </c>
      <c r="D172" s="90" t="s">
        <v>1096</v>
      </c>
      <c r="E172" s="91" t="s">
        <v>139</v>
      </c>
      <c r="F172" s="91" t="s">
        <v>52</v>
      </c>
      <c r="G172" s="92" t="s">
        <v>1097</v>
      </c>
      <c r="H172" s="93"/>
      <c r="I172" s="93"/>
      <c r="J172" s="91" t="s">
        <v>969</v>
      </c>
      <c r="K172" s="96"/>
      <c r="L172" s="91" t="s">
        <v>1093</v>
      </c>
      <c r="M172" s="96"/>
      <c r="N172" s="91" t="s">
        <v>1098</v>
      </c>
      <c r="O172" s="94">
        <v>45916.0</v>
      </c>
      <c r="P172" s="91" t="s">
        <v>1099</v>
      </c>
      <c r="Q172" s="91" t="s">
        <v>344</v>
      </c>
      <c r="R172" s="94">
        <v>45916.0</v>
      </c>
      <c r="S172" s="95"/>
      <c r="T172" s="96"/>
      <c r="U172" s="96"/>
      <c r="V172" s="91" t="s">
        <v>1100</v>
      </c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</row>
    <row r="173">
      <c r="A173" s="88" t="s">
        <v>1101</v>
      </c>
      <c r="B173" s="89"/>
      <c r="C173" s="89" t="s">
        <v>34</v>
      </c>
      <c r="D173" s="90" t="s">
        <v>1102</v>
      </c>
      <c r="E173" s="91" t="s">
        <v>129</v>
      </c>
      <c r="F173" s="91" t="s">
        <v>37</v>
      </c>
      <c r="G173" s="92" t="s">
        <v>1103</v>
      </c>
      <c r="H173" s="93"/>
      <c r="I173" s="93"/>
      <c r="J173" s="91" t="s">
        <v>39</v>
      </c>
      <c r="K173" s="91" t="s">
        <v>1104</v>
      </c>
      <c r="L173" s="91" t="s">
        <v>736</v>
      </c>
      <c r="M173" s="91" t="s">
        <v>737</v>
      </c>
      <c r="N173" s="91" t="s">
        <v>287</v>
      </c>
      <c r="O173" s="94">
        <v>45913.0</v>
      </c>
      <c r="P173" s="91" t="s">
        <v>741</v>
      </c>
      <c r="Q173" s="91" t="s">
        <v>1105</v>
      </c>
      <c r="R173" s="96"/>
      <c r="S173" s="95"/>
      <c r="T173" s="96"/>
      <c r="U173" s="96"/>
      <c r="V173" s="91" t="s">
        <v>1106</v>
      </c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</row>
    <row r="174">
      <c r="A174" s="88" t="s">
        <v>1107</v>
      </c>
      <c r="B174" s="89"/>
      <c r="C174" s="89" t="s">
        <v>34</v>
      </c>
      <c r="D174" s="90" t="s">
        <v>1108</v>
      </c>
      <c r="E174" s="91" t="s">
        <v>65</v>
      </c>
      <c r="F174" s="91" t="s">
        <v>52</v>
      </c>
      <c r="G174" s="92" t="s">
        <v>1109</v>
      </c>
      <c r="H174" s="93"/>
      <c r="I174" s="93"/>
      <c r="J174" s="91" t="s">
        <v>39</v>
      </c>
      <c r="K174" s="91" t="s">
        <v>358</v>
      </c>
      <c r="L174" s="91" t="s">
        <v>183</v>
      </c>
      <c r="M174" s="91" t="s">
        <v>42</v>
      </c>
      <c r="N174" s="91" t="s">
        <v>43</v>
      </c>
      <c r="O174" s="94">
        <v>45917.0</v>
      </c>
      <c r="P174" s="91" t="s">
        <v>736</v>
      </c>
      <c r="Q174" s="91" t="s">
        <v>737</v>
      </c>
      <c r="R174" s="94">
        <v>45917.0</v>
      </c>
      <c r="S174" s="95"/>
      <c r="T174" s="96"/>
      <c r="U174" s="96"/>
      <c r="V174" s="91" t="s">
        <v>1110</v>
      </c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</row>
    <row r="175">
      <c r="A175" s="88" t="s">
        <v>1111</v>
      </c>
      <c r="B175" s="119"/>
      <c r="C175" s="119" t="s">
        <v>34</v>
      </c>
      <c r="D175" s="120" t="s">
        <v>35</v>
      </c>
      <c r="E175" s="121" t="s">
        <v>1112</v>
      </c>
      <c r="F175" s="121" t="s">
        <v>37</v>
      </c>
      <c r="G175" s="122">
        <v>3.51016867546971E14</v>
      </c>
      <c r="H175" s="123"/>
      <c r="I175" s="123"/>
      <c r="J175" s="91" t="s">
        <v>35</v>
      </c>
      <c r="K175" s="91" t="s">
        <v>129</v>
      </c>
      <c r="L175" s="91" t="s">
        <v>37</v>
      </c>
      <c r="M175" s="91" t="s">
        <v>1113</v>
      </c>
      <c r="N175" s="91" t="s">
        <v>39</v>
      </c>
      <c r="O175" s="91" t="s">
        <v>43</v>
      </c>
      <c r="P175" s="91" t="s">
        <v>183</v>
      </c>
      <c r="Q175" s="91" t="s">
        <v>737</v>
      </c>
      <c r="R175" s="94">
        <v>45917.0</v>
      </c>
      <c r="S175" s="95"/>
      <c r="T175" s="96"/>
      <c r="U175" s="96"/>
      <c r="V175" s="91" t="s">
        <v>1114</v>
      </c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</row>
    <row r="176">
      <c r="A176" s="88" t="s">
        <v>1115</v>
      </c>
      <c r="B176" s="89"/>
      <c r="C176" s="89" t="s">
        <v>34</v>
      </c>
      <c r="D176" s="90" t="s">
        <v>266</v>
      </c>
      <c r="E176" s="91" t="s">
        <v>1116</v>
      </c>
      <c r="F176" s="91" t="s">
        <v>86</v>
      </c>
      <c r="G176" s="92" t="s">
        <v>1117</v>
      </c>
      <c r="H176" s="93"/>
      <c r="I176" s="93"/>
      <c r="J176" s="91" t="s">
        <v>39</v>
      </c>
      <c r="K176" s="91" t="s">
        <v>789</v>
      </c>
      <c r="L176" s="91" t="s">
        <v>1118</v>
      </c>
      <c r="M176" s="96"/>
      <c r="N176" s="91" t="s">
        <v>43</v>
      </c>
      <c r="O176" s="94">
        <v>45926.0</v>
      </c>
      <c r="P176" s="96"/>
      <c r="Q176" s="96"/>
      <c r="R176" s="96"/>
      <c r="S176" s="95"/>
      <c r="T176" s="96"/>
      <c r="U176" s="96"/>
      <c r="V176" s="91" t="s">
        <v>1119</v>
      </c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</row>
    <row r="177">
      <c r="A177" s="88" t="s">
        <v>1120</v>
      </c>
      <c r="B177" s="10"/>
      <c r="C177" s="10" t="s">
        <v>34</v>
      </c>
      <c r="D177" s="124" t="s">
        <v>258</v>
      </c>
      <c r="E177" s="125" t="s">
        <v>283</v>
      </c>
      <c r="F177" s="125" t="s">
        <v>52</v>
      </c>
      <c r="G177" s="12" t="s">
        <v>887</v>
      </c>
      <c r="H177" s="13"/>
      <c r="I177" s="13"/>
      <c r="J177" s="125" t="s">
        <v>39</v>
      </c>
      <c r="K177" s="125" t="s">
        <v>471</v>
      </c>
      <c r="L177" s="125" t="s">
        <v>1121</v>
      </c>
      <c r="M177" s="125" t="s">
        <v>889</v>
      </c>
      <c r="N177" s="125" t="s">
        <v>91</v>
      </c>
      <c r="O177" s="126">
        <v>45926.0</v>
      </c>
      <c r="P177" s="127" t="s">
        <v>1122</v>
      </c>
      <c r="Q177" s="127" t="s">
        <v>153</v>
      </c>
      <c r="R177" s="128">
        <v>45947.0</v>
      </c>
      <c r="S177" s="129"/>
      <c r="T177" s="130"/>
      <c r="U177" s="130"/>
      <c r="V177" s="125" t="s">
        <v>1123</v>
      </c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</row>
    <row r="178">
      <c r="A178" s="88" t="s">
        <v>1124</v>
      </c>
      <c r="B178" s="10"/>
      <c r="C178" s="10" t="s">
        <v>34</v>
      </c>
      <c r="D178" s="124" t="s">
        <v>362</v>
      </c>
      <c r="E178" s="125" t="s">
        <v>370</v>
      </c>
      <c r="F178" s="125" t="s">
        <v>52</v>
      </c>
      <c r="G178" s="12" t="s">
        <v>1125</v>
      </c>
      <c r="H178" s="13"/>
      <c r="I178" s="13"/>
      <c r="J178" s="125" t="s">
        <v>39</v>
      </c>
      <c r="K178" s="125" t="s">
        <v>436</v>
      </c>
      <c r="L178" s="125" t="s">
        <v>134</v>
      </c>
      <c r="M178" s="125" t="s">
        <v>112</v>
      </c>
      <c r="N178" s="125" t="s">
        <v>43</v>
      </c>
      <c r="O178" s="126">
        <v>45926.0</v>
      </c>
      <c r="P178" s="125" t="s">
        <v>1121</v>
      </c>
      <c r="Q178" s="125" t="s">
        <v>889</v>
      </c>
      <c r="R178" s="126">
        <v>45926.0</v>
      </c>
      <c r="S178" s="131"/>
      <c r="T178" s="130"/>
      <c r="U178" s="130"/>
      <c r="V178" s="125" t="s">
        <v>1126</v>
      </c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</row>
    <row r="179">
      <c r="A179" s="88" t="s">
        <v>1127</v>
      </c>
      <c r="B179" s="89"/>
      <c r="C179" s="89" t="s">
        <v>34</v>
      </c>
      <c r="D179" s="90" t="s">
        <v>35</v>
      </c>
      <c r="E179" s="91" t="s">
        <v>129</v>
      </c>
      <c r="F179" s="91" t="s">
        <v>37</v>
      </c>
      <c r="G179" s="92" t="s">
        <v>1113</v>
      </c>
      <c r="H179" s="93"/>
      <c r="I179" s="93"/>
      <c r="J179" s="91" t="s">
        <v>39</v>
      </c>
      <c r="K179" s="91" t="s">
        <v>43</v>
      </c>
      <c r="L179" s="91" t="s">
        <v>736</v>
      </c>
      <c r="M179" s="125" t="s">
        <v>737</v>
      </c>
      <c r="N179" s="125" t="s">
        <v>43</v>
      </c>
      <c r="O179" s="125" t="s">
        <v>1128</v>
      </c>
      <c r="P179" s="125" t="s">
        <v>1129</v>
      </c>
      <c r="Q179" s="125" t="s">
        <v>1130</v>
      </c>
      <c r="R179" s="126">
        <v>45931.0</v>
      </c>
      <c r="S179" s="132" t="s">
        <v>1131</v>
      </c>
      <c r="T179" s="130"/>
      <c r="U179" s="130"/>
      <c r="V179" s="125" t="s">
        <v>1132</v>
      </c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</row>
    <row r="180">
      <c r="A180" s="88" t="s">
        <v>1133</v>
      </c>
      <c r="B180" s="10"/>
      <c r="C180" s="10" t="s">
        <v>34</v>
      </c>
      <c r="D180" s="124" t="s">
        <v>1134</v>
      </c>
      <c r="E180" s="125" t="s">
        <v>1135</v>
      </c>
      <c r="F180" s="125" t="s">
        <v>414</v>
      </c>
      <c r="G180" s="12" t="s">
        <v>1136</v>
      </c>
      <c r="H180" s="13"/>
      <c r="I180" s="13"/>
      <c r="J180" s="125" t="s">
        <v>39</v>
      </c>
      <c r="K180" s="125" t="s">
        <v>358</v>
      </c>
      <c r="L180" s="125" t="s">
        <v>183</v>
      </c>
      <c r="M180" s="125" t="s">
        <v>42</v>
      </c>
      <c r="N180" s="125" t="s">
        <v>43</v>
      </c>
      <c r="O180" s="125" t="s">
        <v>1137</v>
      </c>
      <c r="P180" s="125" t="s">
        <v>1118</v>
      </c>
      <c r="Q180" s="125" t="s">
        <v>1138</v>
      </c>
      <c r="R180" s="126">
        <v>45930.0</v>
      </c>
      <c r="S180" s="132" t="s">
        <v>1139</v>
      </c>
      <c r="T180" s="130"/>
      <c r="U180" s="130"/>
      <c r="V180" s="125" t="s">
        <v>1140</v>
      </c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</row>
    <row r="181">
      <c r="A181" s="88" t="s">
        <v>1141</v>
      </c>
      <c r="B181" s="10"/>
      <c r="C181" s="10" t="s">
        <v>34</v>
      </c>
      <c r="D181" s="124" t="s">
        <v>1134</v>
      </c>
      <c r="E181" s="125" t="s">
        <v>1142</v>
      </c>
      <c r="F181" s="125" t="s">
        <v>37</v>
      </c>
      <c r="G181" s="12" t="s">
        <v>1143</v>
      </c>
      <c r="H181" s="13"/>
      <c r="I181" s="13"/>
      <c r="J181" s="125" t="s">
        <v>39</v>
      </c>
      <c r="K181" s="125" t="s">
        <v>358</v>
      </c>
      <c r="L181" s="125" t="s">
        <v>540</v>
      </c>
      <c r="M181" s="125" t="s">
        <v>42</v>
      </c>
      <c r="N181" s="125" t="s">
        <v>43</v>
      </c>
      <c r="O181" s="125" t="s">
        <v>1137</v>
      </c>
      <c r="P181" s="121" t="s">
        <v>1144</v>
      </c>
      <c r="Q181" s="121">
        <v>9.138407575E9</v>
      </c>
      <c r="R181" s="125" t="s">
        <v>1128</v>
      </c>
      <c r="S181" s="132" t="s">
        <v>1145</v>
      </c>
      <c r="T181" s="130"/>
      <c r="U181" s="130"/>
      <c r="V181" s="125" t="s">
        <v>1146</v>
      </c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</row>
    <row r="182">
      <c r="A182" s="88" t="s">
        <v>1147</v>
      </c>
      <c r="B182" s="10"/>
      <c r="C182" s="10" t="s">
        <v>34</v>
      </c>
      <c r="D182" s="124" t="s">
        <v>303</v>
      </c>
      <c r="E182" s="125" t="s">
        <v>65</v>
      </c>
      <c r="F182" s="125" t="s">
        <v>52</v>
      </c>
      <c r="G182" s="12" t="s">
        <v>1148</v>
      </c>
      <c r="H182" s="13"/>
      <c r="I182" s="13"/>
      <c r="J182" s="125" t="s">
        <v>39</v>
      </c>
      <c r="K182" s="125" t="s">
        <v>326</v>
      </c>
      <c r="L182" s="125" t="s">
        <v>100</v>
      </c>
      <c r="M182" s="133" t="s">
        <v>101</v>
      </c>
      <c r="N182" s="125" t="s">
        <v>91</v>
      </c>
      <c r="O182" s="125" t="s">
        <v>1149</v>
      </c>
      <c r="P182" s="125" t="s">
        <v>750</v>
      </c>
      <c r="Q182" s="125" t="s">
        <v>395</v>
      </c>
      <c r="R182" s="126">
        <v>45930.0</v>
      </c>
      <c r="S182" s="132" t="s">
        <v>1145</v>
      </c>
      <c r="T182" s="130"/>
      <c r="U182" s="130"/>
      <c r="V182" s="125" t="s">
        <v>1150</v>
      </c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</row>
    <row r="183">
      <c r="A183" s="88" t="s">
        <v>1151</v>
      </c>
      <c r="B183" s="10"/>
      <c r="C183" s="10" t="s">
        <v>34</v>
      </c>
      <c r="D183" s="124" t="s">
        <v>356</v>
      </c>
      <c r="E183" s="125" t="s">
        <v>283</v>
      </c>
      <c r="F183" s="125" t="s">
        <v>52</v>
      </c>
      <c r="G183" s="12" t="s">
        <v>1152</v>
      </c>
      <c r="H183" s="13"/>
      <c r="I183" s="13"/>
      <c r="J183" s="125" t="s">
        <v>39</v>
      </c>
      <c r="K183" s="125" t="s">
        <v>430</v>
      </c>
      <c r="L183" s="125" t="s">
        <v>1153</v>
      </c>
      <c r="M183" s="125" t="s">
        <v>191</v>
      </c>
      <c r="N183" s="125" t="s">
        <v>1154</v>
      </c>
      <c r="O183" s="126">
        <v>45920.0</v>
      </c>
      <c r="P183" s="125" t="s">
        <v>431</v>
      </c>
      <c r="Q183" s="125" t="s">
        <v>458</v>
      </c>
      <c r="R183" s="126">
        <v>45948.0</v>
      </c>
      <c r="S183" s="132" t="s">
        <v>1155</v>
      </c>
      <c r="T183" s="130"/>
      <c r="U183" s="130"/>
      <c r="V183" s="125" t="s">
        <v>1156</v>
      </c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</row>
    <row r="184">
      <c r="A184" s="88" t="s">
        <v>1157</v>
      </c>
      <c r="B184" s="10"/>
      <c r="C184" s="10" t="s">
        <v>34</v>
      </c>
      <c r="D184" s="124" t="s">
        <v>1158</v>
      </c>
      <c r="E184" s="125" t="s">
        <v>1116</v>
      </c>
      <c r="F184" s="125" t="s">
        <v>86</v>
      </c>
      <c r="G184" s="12" t="s">
        <v>1117</v>
      </c>
      <c r="H184" s="13"/>
      <c r="I184" s="13"/>
      <c r="J184" s="125" t="s">
        <v>39</v>
      </c>
      <c r="K184" s="125" t="s">
        <v>471</v>
      </c>
      <c r="L184" s="125" t="s">
        <v>1159</v>
      </c>
      <c r="M184" s="125" t="s">
        <v>1160</v>
      </c>
      <c r="N184" s="125" t="s">
        <v>43</v>
      </c>
      <c r="O184" s="126">
        <v>45926.0</v>
      </c>
      <c r="P184" s="125" t="s">
        <v>1161</v>
      </c>
      <c r="Q184" s="125" t="s">
        <v>660</v>
      </c>
      <c r="R184" s="126">
        <v>45934.0</v>
      </c>
      <c r="S184" s="132" t="s">
        <v>1145</v>
      </c>
      <c r="T184" s="130"/>
      <c r="U184" s="130"/>
      <c r="V184" s="125" t="s">
        <v>1162</v>
      </c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</row>
    <row r="185">
      <c r="A185" s="88" t="s">
        <v>1163</v>
      </c>
      <c r="B185" s="10"/>
      <c r="C185" s="10" t="s">
        <v>34</v>
      </c>
      <c r="D185" s="124" t="s">
        <v>35</v>
      </c>
      <c r="E185" s="9" t="s">
        <v>36</v>
      </c>
      <c r="F185" s="9" t="s">
        <v>414</v>
      </c>
      <c r="G185" s="12" t="s">
        <v>1164</v>
      </c>
      <c r="H185" s="13"/>
      <c r="I185" s="13"/>
      <c r="J185" s="9" t="s">
        <v>39</v>
      </c>
      <c r="K185" s="9" t="s">
        <v>457</v>
      </c>
      <c r="L185" s="9" t="s">
        <v>1165</v>
      </c>
      <c r="M185" s="9" t="s">
        <v>1166</v>
      </c>
      <c r="N185" s="9" t="s">
        <v>940</v>
      </c>
      <c r="O185" s="134">
        <v>45930.0</v>
      </c>
      <c r="P185" s="125" t="s">
        <v>1167</v>
      </c>
      <c r="Q185" s="135" t="s">
        <v>1168</v>
      </c>
      <c r="R185" s="126">
        <v>45949.0</v>
      </c>
      <c r="S185" s="131"/>
      <c r="T185" s="130"/>
      <c r="U185" s="130"/>
      <c r="V185" s="125" t="s">
        <v>1169</v>
      </c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</row>
    <row r="186">
      <c r="A186" s="88" t="s">
        <v>1170</v>
      </c>
      <c r="B186" s="10"/>
      <c r="C186" s="10" t="s">
        <v>34</v>
      </c>
      <c r="D186" s="124" t="s">
        <v>348</v>
      </c>
      <c r="E186" s="124" t="s">
        <v>85</v>
      </c>
      <c r="F186" s="124" t="s">
        <v>52</v>
      </c>
      <c r="G186" s="12" t="s">
        <v>1171</v>
      </c>
      <c r="H186" s="13"/>
      <c r="I186" s="13"/>
      <c r="J186" s="124" t="s">
        <v>39</v>
      </c>
      <c r="K186" s="124" t="s">
        <v>443</v>
      </c>
      <c r="L186" s="124" t="s">
        <v>540</v>
      </c>
      <c r="M186" s="124" t="s">
        <v>42</v>
      </c>
      <c r="N186" s="124" t="s">
        <v>43</v>
      </c>
      <c r="O186" s="136">
        <v>45930.0</v>
      </c>
      <c r="P186" s="130"/>
      <c r="Q186" s="137"/>
      <c r="R186" s="130"/>
      <c r="S186" s="131"/>
      <c r="T186" s="130"/>
      <c r="U186" s="130"/>
      <c r="V186" s="125" t="s">
        <v>1172</v>
      </c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</row>
    <row r="187">
      <c r="A187" s="88" t="s">
        <v>1173</v>
      </c>
      <c r="B187" s="10"/>
      <c r="C187" s="10" t="s">
        <v>34</v>
      </c>
      <c r="D187" s="124" t="s">
        <v>1062</v>
      </c>
      <c r="E187" s="9" t="s">
        <v>169</v>
      </c>
      <c r="F187" s="9" t="s">
        <v>52</v>
      </c>
      <c r="G187" s="12" t="s">
        <v>1174</v>
      </c>
      <c r="H187" s="13"/>
      <c r="I187" s="13"/>
      <c r="J187" s="9" t="s">
        <v>39</v>
      </c>
      <c r="K187" s="9" t="s">
        <v>789</v>
      </c>
      <c r="L187" s="9" t="s">
        <v>1175</v>
      </c>
      <c r="M187" s="9" t="s">
        <v>1176</v>
      </c>
      <c r="N187" s="9" t="s">
        <v>1177</v>
      </c>
      <c r="O187" s="134">
        <v>45931.0</v>
      </c>
      <c r="P187" s="125" t="s">
        <v>1178</v>
      </c>
      <c r="Q187" s="135" t="s">
        <v>174</v>
      </c>
      <c r="R187" s="126">
        <v>45932.0</v>
      </c>
      <c r="S187" s="131"/>
      <c r="T187" s="130"/>
      <c r="U187" s="130"/>
      <c r="V187" s="125" t="s">
        <v>1179</v>
      </c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</row>
    <row r="188">
      <c r="A188" s="88" t="s">
        <v>1180</v>
      </c>
      <c r="B188" s="10"/>
      <c r="C188" s="10" t="s">
        <v>34</v>
      </c>
      <c r="D188" s="124" t="s">
        <v>1062</v>
      </c>
      <c r="E188" s="9" t="s">
        <v>169</v>
      </c>
      <c r="F188" s="9" t="s">
        <v>52</v>
      </c>
      <c r="G188" s="12" t="s">
        <v>1181</v>
      </c>
      <c r="H188" s="13"/>
      <c r="I188" s="13"/>
      <c r="J188" s="9" t="s">
        <v>39</v>
      </c>
      <c r="K188" s="9" t="s">
        <v>789</v>
      </c>
      <c r="L188" s="9" t="s">
        <v>1175</v>
      </c>
      <c r="M188" s="9" t="s">
        <v>1176</v>
      </c>
      <c r="N188" s="9" t="s">
        <v>1177</v>
      </c>
      <c r="O188" s="134">
        <v>45931.0</v>
      </c>
      <c r="P188" s="125" t="s">
        <v>1182</v>
      </c>
      <c r="Q188" s="137"/>
      <c r="R188" s="130"/>
      <c r="S188" s="131"/>
      <c r="T188" s="130"/>
      <c r="U188" s="130"/>
      <c r="V188" s="125" t="s">
        <v>1183</v>
      </c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</row>
    <row r="189">
      <c r="A189" s="88" t="s">
        <v>1184</v>
      </c>
      <c r="B189" s="10"/>
      <c r="C189" s="10" t="s">
        <v>34</v>
      </c>
      <c r="D189" s="124" t="s">
        <v>1185</v>
      </c>
      <c r="E189" s="9" t="s">
        <v>188</v>
      </c>
      <c r="F189" s="9" t="s">
        <v>52</v>
      </c>
      <c r="G189" s="12" t="s">
        <v>1186</v>
      </c>
      <c r="H189" s="13"/>
      <c r="I189" s="13"/>
      <c r="J189" s="9" t="s">
        <v>228</v>
      </c>
      <c r="K189" s="9" t="s">
        <v>122</v>
      </c>
      <c r="L189" s="9" t="s">
        <v>262</v>
      </c>
      <c r="M189" s="9" t="s">
        <v>124</v>
      </c>
      <c r="N189" s="9" t="s">
        <v>91</v>
      </c>
      <c r="O189" s="134">
        <v>45932.0</v>
      </c>
      <c r="P189" s="125" t="s">
        <v>1187</v>
      </c>
      <c r="Q189" s="135" t="s">
        <v>1188</v>
      </c>
      <c r="R189" s="126">
        <v>45932.0</v>
      </c>
      <c r="S189" s="132" t="s">
        <v>1145</v>
      </c>
      <c r="T189" s="130"/>
      <c r="U189" s="130"/>
      <c r="V189" s="125" t="s">
        <v>1189</v>
      </c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</row>
    <row r="190">
      <c r="A190" s="88" t="s">
        <v>1190</v>
      </c>
      <c r="B190" s="10"/>
      <c r="C190" s="10" t="s">
        <v>34</v>
      </c>
      <c r="D190" s="124" t="s">
        <v>187</v>
      </c>
      <c r="E190" s="9" t="s">
        <v>85</v>
      </c>
      <c r="F190" s="9" t="s">
        <v>52</v>
      </c>
      <c r="G190" s="12" t="s">
        <v>1191</v>
      </c>
      <c r="H190" s="13"/>
      <c r="I190" s="13"/>
      <c r="J190" s="9" t="s">
        <v>39</v>
      </c>
      <c r="K190" s="9" t="s">
        <v>326</v>
      </c>
      <c r="L190" s="9" t="s">
        <v>1192</v>
      </c>
      <c r="M190" s="9" t="s">
        <v>1193</v>
      </c>
      <c r="N190" s="9" t="s">
        <v>1194</v>
      </c>
      <c r="O190" s="134">
        <v>45933.0</v>
      </c>
      <c r="P190" s="125" t="s">
        <v>1195</v>
      </c>
      <c r="Q190" s="135" t="s">
        <v>112</v>
      </c>
      <c r="R190" s="126">
        <v>45934.0</v>
      </c>
      <c r="S190" s="132" t="s">
        <v>1196</v>
      </c>
      <c r="T190" s="130"/>
      <c r="U190" s="130"/>
      <c r="V190" s="125" t="s">
        <v>1197</v>
      </c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</row>
    <row r="191">
      <c r="A191" s="88" t="s">
        <v>1198</v>
      </c>
      <c r="B191" s="10"/>
      <c r="C191" s="10" t="s">
        <v>34</v>
      </c>
      <c r="D191" s="124" t="s">
        <v>398</v>
      </c>
      <c r="E191" s="9" t="s">
        <v>160</v>
      </c>
      <c r="F191" s="9" t="s">
        <v>52</v>
      </c>
      <c r="G191" s="12" t="s">
        <v>1199</v>
      </c>
      <c r="H191" s="13"/>
      <c r="I191" s="13"/>
      <c r="J191" s="9" t="s">
        <v>39</v>
      </c>
      <c r="K191" s="9" t="s">
        <v>1200</v>
      </c>
      <c r="L191" s="9" t="s">
        <v>520</v>
      </c>
      <c r="M191" s="91" t="s">
        <v>521</v>
      </c>
      <c r="N191" s="9" t="s">
        <v>91</v>
      </c>
      <c r="O191" s="134">
        <v>45933.0</v>
      </c>
      <c r="P191" s="125" t="s">
        <v>1201</v>
      </c>
      <c r="Q191" s="135" t="s">
        <v>1202</v>
      </c>
      <c r="R191" s="126">
        <v>45940.0</v>
      </c>
      <c r="S191" s="132" t="s">
        <v>1196</v>
      </c>
      <c r="T191" s="130"/>
      <c r="U191" s="130"/>
      <c r="V191" s="125" t="s">
        <v>1203</v>
      </c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</row>
    <row r="192">
      <c r="A192" s="88" t="s">
        <v>1204</v>
      </c>
      <c r="B192" s="10"/>
      <c r="C192" s="10" t="s">
        <v>34</v>
      </c>
      <c r="D192" s="124" t="s">
        <v>369</v>
      </c>
      <c r="E192" s="9" t="s">
        <v>65</v>
      </c>
      <c r="F192" s="9" t="s">
        <v>37</v>
      </c>
      <c r="G192" s="12" t="s">
        <v>1205</v>
      </c>
      <c r="H192" s="13"/>
      <c r="I192" s="13"/>
      <c r="J192" s="9" t="s">
        <v>39</v>
      </c>
      <c r="K192" s="9" t="s">
        <v>841</v>
      </c>
      <c r="L192" s="138"/>
      <c r="M192" s="138"/>
      <c r="N192" s="138"/>
      <c r="O192" s="138"/>
      <c r="P192" s="130"/>
      <c r="Q192" s="137"/>
      <c r="R192" s="130"/>
      <c r="S192" s="131"/>
      <c r="T192" s="130"/>
      <c r="U192" s="130"/>
      <c r="V192" s="125" t="s">
        <v>1206</v>
      </c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</row>
    <row r="193">
      <c r="A193" s="88" t="s">
        <v>1207</v>
      </c>
      <c r="B193" s="10"/>
      <c r="C193" s="10" t="s">
        <v>34</v>
      </c>
      <c r="D193" s="124" t="s">
        <v>382</v>
      </c>
      <c r="E193" s="9" t="s">
        <v>370</v>
      </c>
      <c r="F193" s="9" t="s">
        <v>52</v>
      </c>
      <c r="G193" s="12" t="s">
        <v>1208</v>
      </c>
      <c r="H193" s="13"/>
      <c r="I193" s="13"/>
      <c r="J193" s="9" t="s">
        <v>39</v>
      </c>
      <c r="K193" s="9" t="s">
        <v>1209</v>
      </c>
      <c r="L193" s="9" t="s">
        <v>1210</v>
      </c>
      <c r="M193" s="9" t="s">
        <v>1211</v>
      </c>
      <c r="N193" s="9" t="s">
        <v>91</v>
      </c>
      <c r="O193" s="134">
        <v>45939.0</v>
      </c>
      <c r="P193" s="125" t="s">
        <v>783</v>
      </c>
      <c r="Q193" s="135" t="s">
        <v>660</v>
      </c>
      <c r="R193" s="126">
        <v>45941.0</v>
      </c>
      <c r="S193" s="131"/>
      <c r="T193" s="130"/>
      <c r="U193" s="130"/>
      <c r="V193" s="125" t="s">
        <v>1212</v>
      </c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</row>
    <row r="194">
      <c r="A194" s="88" t="s">
        <v>1213</v>
      </c>
      <c r="B194" s="10"/>
      <c r="C194" s="10" t="s">
        <v>34</v>
      </c>
      <c r="D194" s="124" t="s">
        <v>462</v>
      </c>
      <c r="E194" s="9" t="s">
        <v>65</v>
      </c>
      <c r="F194" s="9" t="s">
        <v>37</v>
      </c>
      <c r="G194" s="139"/>
      <c r="H194" s="140"/>
      <c r="I194" s="140"/>
      <c r="J194" s="9" t="s">
        <v>39</v>
      </c>
      <c r="K194" s="9" t="s">
        <v>1214</v>
      </c>
      <c r="L194" s="9" t="s">
        <v>692</v>
      </c>
      <c r="M194" s="9" t="s">
        <v>688</v>
      </c>
      <c r="N194" s="9" t="s">
        <v>91</v>
      </c>
      <c r="O194" s="134">
        <v>45934.0</v>
      </c>
      <c r="P194" s="125" t="s">
        <v>1215</v>
      </c>
      <c r="Q194" s="135" t="s">
        <v>1216</v>
      </c>
      <c r="R194" s="126">
        <v>45948.0</v>
      </c>
      <c r="S194" s="131"/>
      <c r="T194" s="130"/>
      <c r="U194" s="130"/>
      <c r="V194" s="125" t="s">
        <v>1217</v>
      </c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</row>
    <row r="195">
      <c r="A195" s="88" t="s">
        <v>1218</v>
      </c>
      <c r="B195" s="141"/>
      <c r="C195" s="141" t="s">
        <v>34</v>
      </c>
      <c r="D195" s="142" t="s">
        <v>356</v>
      </c>
      <c r="E195" s="9" t="s">
        <v>370</v>
      </c>
      <c r="F195" s="9" t="s">
        <v>52</v>
      </c>
      <c r="G195" s="12" t="s">
        <v>1219</v>
      </c>
      <c r="H195" s="13"/>
      <c r="I195" s="13"/>
      <c r="J195" s="9" t="s">
        <v>39</v>
      </c>
      <c r="K195" s="9" t="s">
        <v>663</v>
      </c>
      <c r="L195" s="9" t="s">
        <v>134</v>
      </c>
      <c r="M195" s="9" t="s">
        <v>112</v>
      </c>
      <c r="N195" s="9" t="s">
        <v>1220</v>
      </c>
      <c r="O195" s="134">
        <v>45936.0</v>
      </c>
      <c r="P195" s="9" t="s">
        <v>736</v>
      </c>
      <c r="Q195" s="125" t="s">
        <v>737</v>
      </c>
      <c r="R195" s="9" t="s">
        <v>43</v>
      </c>
      <c r="S195" s="134">
        <v>45940.0</v>
      </c>
      <c r="T195" s="130"/>
      <c r="U195" s="130"/>
      <c r="V195" s="125" t="s">
        <v>1221</v>
      </c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</row>
    <row r="196">
      <c r="A196" s="88" t="s">
        <v>1222</v>
      </c>
      <c r="B196" s="141"/>
      <c r="C196" s="141" t="s">
        <v>34</v>
      </c>
      <c r="D196" s="142" t="s">
        <v>356</v>
      </c>
      <c r="E196" s="9" t="s">
        <v>65</v>
      </c>
      <c r="F196" s="9" t="s">
        <v>52</v>
      </c>
      <c r="G196" s="12" t="s">
        <v>1109</v>
      </c>
      <c r="H196" s="13"/>
      <c r="I196" s="13"/>
      <c r="J196" s="9" t="s">
        <v>39</v>
      </c>
      <c r="K196" s="9" t="s">
        <v>358</v>
      </c>
      <c r="L196" s="9" t="s">
        <v>736</v>
      </c>
      <c r="M196" s="143" t="s">
        <v>737</v>
      </c>
      <c r="N196" s="9" t="s">
        <v>43</v>
      </c>
      <c r="O196" s="134">
        <v>45940.0</v>
      </c>
      <c r="P196" s="125" t="s">
        <v>1223</v>
      </c>
      <c r="Q196" s="135" t="s">
        <v>1224</v>
      </c>
      <c r="R196" s="126">
        <v>45958.0</v>
      </c>
      <c r="S196" s="131"/>
      <c r="T196" s="130"/>
      <c r="U196" s="130"/>
      <c r="V196" s="125" t="s">
        <v>1225</v>
      </c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</row>
    <row r="197">
      <c r="A197" s="88" t="s">
        <v>1226</v>
      </c>
      <c r="B197" s="10"/>
      <c r="C197" s="10" t="s">
        <v>34</v>
      </c>
      <c r="D197" s="124" t="s">
        <v>798</v>
      </c>
      <c r="E197" s="9" t="s">
        <v>85</v>
      </c>
      <c r="F197" s="9" t="s">
        <v>37</v>
      </c>
      <c r="G197" s="92" t="s">
        <v>872</v>
      </c>
      <c r="H197" s="93"/>
      <c r="I197" s="93"/>
      <c r="J197" s="9" t="s">
        <v>39</v>
      </c>
      <c r="K197" s="9" t="s">
        <v>789</v>
      </c>
      <c r="L197" s="9" t="s">
        <v>1227</v>
      </c>
      <c r="M197" s="9" t="s">
        <v>71</v>
      </c>
      <c r="N197" s="9" t="s">
        <v>43</v>
      </c>
      <c r="O197" s="134">
        <v>45944.0</v>
      </c>
      <c r="P197" s="125" t="s">
        <v>134</v>
      </c>
      <c r="Q197" s="135" t="s">
        <v>112</v>
      </c>
      <c r="R197" s="126">
        <v>45945.0</v>
      </c>
      <c r="S197" s="131"/>
      <c r="T197" s="130"/>
      <c r="U197" s="130"/>
      <c r="V197" s="125" t="s">
        <v>1228</v>
      </c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</row>
    <row r="198">
      <c r="A198" s="88" t="s">
        <v>1229</v>
      </c>
      <c r="B198" s="10"/>
      <c r="C198" s="10" t="s">
        <v>34</v>
      </c>
      <c r="D198" s="124" t="s">
        <v>1230</v>
      </c>
      <c r="E198" s="9" t="s">
        <v>139</v>
      </c>
      <c r="F198" s="9" t="s">
        <v>1231</v>
      </c>
      <c r="G198" s="12" t="s">
        <v>1232</v>
      </c>
      <c r="H198" s="13"/>
      <c r="I198" s="13"/>
      <c r="J198" s="9" t="s">
        <v>201</v>
      </c>
      <c r="K198" s="9" t="s">
        <v>122</v>
      </c>
      <c r="L198" s="9" t="s">
        <v>277</v>
      </c>
      <c r="M198" s="9" t="s">
        <v>1233</v>
      </c>
      <c r="N198" s="9" t="s">
        <v>122</v>
      </c>
      <c r="O198" s="134">
        <v>45943.0</v>
      </c>
      <c r="P198" s="125" t="s">
        <v>750</v>
      </c>
      <c r="Q198" s="135" t="s">
        <v>395</v>
      </c>
      <c r="R198" s="126">
        <v>45944.0</v>
      </c>
      <c r="S198" s="131"/>
      <c r="T198" s="130"/>
      <c r="U198" s="130"/>
      <c r="V198" s="125" t="s">
        <v>1234</v>
      </c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</row>
    <row r="199">
      <c r="A199" s="88" t="s">
        <v>1235</v>
      </c>
      <c r="B199" s="10"/>
      <c r="C199" s="10" t="s">
        <v>34</v>
      </c>
      <c r="D199" s="124" t="s">
        <v>1236</v>
      </c>
      <c r="E199" s="9" t="s">
        <v>139</v>
      </c>
      <c r="F199" s="9" t="s">
        <v>1237</v>
      </c>
      <c r="G199" s="139"/>
      <c r="H199" s="140"/>
      <c r="I199" s="140"/>
      <c r="J199" s="9" t="s">
        <v>201</v>
      </c>
      <c r="K199" s="9" t="s">
        <v>122</v>
      </c>
      <c r="L199" s="9" t="s">
        <v>1227</v>
      </c>
      <c r="M199" s="9" t="s">
        <v>71</v>
      </c>
      <c r="N199" s="9" t="s">
        <v>122</v>
      </c>
      <c r="O199" s="134">
        <v>45944.0</v>
      </c>
      <c r="P199" s="130"/>
      <c r="Q199" s="137"/>
      <c r="R199" s="130"/>
      <c r="S199" s="131"/>
      <c r="T199" s="130"/>
      <c r="U199" s="130"/>
      <c r="V199" s="125" t="s">
        <v>1238</v>
      </c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</row>
    <row r="200">
      <c r="A200" s="88" t="s">
        <v>1239</v>
      </c>
      <c r="B200" s="10"/>
      <c r="C200" s="10" t="s">
        <v>34</v>
      </c>
      <c r="D200" s="124" t="s">
        <v>1102</v>
      </c>
      <c r="E200" s="9" t="s">
        <v>129</v>
      </c>
      <c r="F200" s="9" t="s">
        <v>37</v>
      </c>
      <c r="G200" s="12" t="s">
        <v>1240</v>
      </c>
      <c r="H200" s="13"/>
      <c r="I200" s="13"/>
      <c r="J200" s="9" t="s">
        <v>39</v>
      </c>
      <c r="K200" s="9" t="s">
        <v>358</v>
      </c>
      <c r="L200" s="9" t="s">
        <v>1241</v>
      </c>
      <c r="M200" s="9" t="s">
        <v>115</v>
      </c>
      <c r="N200" s="9" t="s">
        <v>91</v>
      </c>
      <c r="O200" s="134">
        <v>45948.0</v>
      </c>
      <c r="P200" s="125" t="s">
        <v>1030</v>
      </c>
      <c r="Q200" s="135" t="s">
        <v>716</v>
      </c>
      <c r="R200" s="126">
        <v>45948.0</v>
      </c>
      <c r="S200" s="131"/>
      <c r="T200" s="130"/>
      <c r="U200" s="130"/>
      <c r="V200" s="125" t="s">
        <v>1242</v>
      </c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</row>
    <row r="201">
      <c r="A201" s="88" t="s">
        <v>1243</v>
      </c>
      <c r="B201" s="10"/>
      <c r="C201" s="10" t="s">
        <v>34</v>
      </c>
      <c r="D201" s="124" t="s">
        <v>1244</v>
      </c>
      <c r="E201" s="9" t="s">
        <v>85</v>
      </c>
      <c r="F201" s="9" t="s">
        <v>1245</v>
      </c>
      <c r="G201" s="12" t="s">
        <v>1246</v>
      </c>
      <c r="H201" s="13"/>
      <c r="I201" s="13"/>
      <c r="J201" s="9" t="s">
        <v>228</v>
      </c>
      <c r="K201" s="9" t="s">
        <v>122</v>
      </c>
      <c r="L201" s="9" t="s">
        <v>1030</v>
      </c>
      <c r="M201" s="135" t="s">
        <v>716</v>
      </c>
      <c r="N201" s="9" t="s">
        <v>91</v>
      </c>
      <c r="O201" s="134">
        <v>45948.0</v>
      </c>
      <c r="P201" s="125" t="s">
        <v>919</v>
      </c>
      <c r="Q201" s="135" t="s">
        <v>920</v>
      </c>
      <c r="R201" s="126">
        <v>45950.0</v>
      </c>
      <c r="S201" s="131"/>
      <c r="T201" s="130"/>
      <c r="U201" s="130"/>
      <c r="V201" s="125" t="s">
        <v>1247</v>
      </c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</row>
    <row r="202">
      <c r="A202" s="88" t="s">
        <v>1248</v>
      </c>
      <c r="B202" s="10"/>
      <c r="C202" s="10" t="s">
        <v>34</v>
      </c>
      <c r="D202" s="124" t="s">
        <v>675</v>
      </c>
      <c r="E202" s="9" t="s">
        <v>370</v>
      </c>
      <c r="F202" s="9" t="s">
        <v>1249</v>
      </c>
      <c r="G202" s="12" t="s">
        <v>1250</v>
      </c>
      <c r="H202" s="13"/>
      <c r="I202" s="13"/>
      <c r="J202" s="9" t="s">
        <v>228</v>
      </c>
      <c r="K202" s="9" t="s">
        <v>122</v>
      </c>
      <c r="L202" s="9" t="s">
        <v>1251</v>
      </c>
      <c r="M202" s="9" t="s">
        <v>971</v>
      </c>
      <c r="N202" s="9" t="s">
        <v>91</v>
      </c>
      <c r="O202" s="134">
        <v>45955.0</v>
      </c>
      <c r="P202" s="130"/>
      <c r="Q202" s="137"/>
      <c r="R202" s="130"/>
      <c r="S202" s="131"/>
      <c r="T202" s="130"/>
      <c r="U202" s="130"/>
      <c r="V202" s="125" t="s">
        <v>1252</v>
      </c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</row>
    <row r="203">
      <c r="A203" s="88" t="s">
        <v>1253</v>
      </c>
      <c r="B203" s="10"/>
      <c r="C203" s="10" t="s">
        <v>34</v>
      </c>
      <c r="D203" s="124" t="s">
        <v>1254</v>
      </c>
      <c r="E203" s="9" t="s">
        <v>51</v>
      </c>
      <c r="F203" s="9" t="s">
        <v>86</v>
      </c>
      <c r="G203" s="12" t="s">
        <v>1255</v>
      </c>
      <c r="H203" s="13"/>
      <c r="I203" s="13"/>
      <c r="J203" s="9" t="s">
        <v>68</v>
      </c>
      <c r="K203" s="9" t="s">
        <v>358</v>
      </c>
      <c r="L203" s="9" t="s">
        <v>970</v>
      </c>
      <c r="M203" s="91" t="s">
        <v>971</v>
      </c>
      <c r="N203" s="9" t="s">
        <v>91</v>
      </c>
      <c r="O203" s="134">
        <v>45958.0</v>
      </c>
      <c r="P203" s="130"/>
      <c r="Q203" s="137"/>
      <c r="R203" s="130"/>
      <c r="S203" s="131"/>
      <c r="T203" s="130"/>
      <c r="U203" s="130"/>
      <c r="V203" s="125" t="s">
        <v>1256</v>
      </c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</row>
    <row r="204">
      <c r="A204" s="88" t="s">
        <v>1257</v>
      </c>
      <c r="B204" s="10"/>
      <c r="C204" s="10" t="s">
        <v>34</v>
      </c>
      <c r="D204" s="124" t="s">
        <v>382</v>
      </c>
      <c r="E204" s="9" t="s">
        <v>283</v>
      </c>
      <c r="F204" s="9" t="s">
        <v>52</v>
      </c>
      <c r="G204" s="12" t="s">
        <v>961</v>
      </c>
      <c r="H204" s="13"/>
      <c r="I204" s="13"/>
      <c r="J204" s="9" t="s">
        <v>39</v>
      </c>
      <c r="K204" s="9" t="s">
        <v>1258</v>
      </c>
      <c r="L204" s="9" t="s">
        <v>1259</v>
      </c>
      <c r="M204" s="9" t="s">
        <v>1260</v>
      </c>
      <c r="N204" s="9" t="s">
        <v>91</v>
      </c>
      <c r="O204" s="138"/>
      <c r="P204" s="125" t="s">
        <v>262</v>
      </c>
      <c r="Q204" s="135" t="s">
        <v>124</v>
      </c>
      <c r="R204" s="126">
        <v>45980.0</v>
      </c>
      <c r="S204" s="131"/>
      <c r="T204" s="130"/>
      <c r="U204" s="130"/>
      <c r="V204" s="125" t="s">
        <v>1261</v>
      </c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</row>
    <row r="205">
      <c r="A205" s="88" t="s">
        <v>1262</v>
      </c>
      <c r="B205" s="10"/>
      <c r="C205" s="10" t="s">
        <v>34</v>
      </c>
      <c r="D205" s="124" t="s">
        <v>398</v>
      </c>
      <c r="E205" s="9" t="s">
        <v>160</v>
      </c>
      <c r="F205" s="9" t="s">
        <v>37</v>
      </c>
      <c r="G205" s="12" t="s">
        <v>1263</v>
      </c>
      <c r="H205" s="13"/>
      <c r="I205" s="13"/>
      <c r="J205" s="9" t="s">
        <v>39</v>
      </c>
      <c r="K205" s="9" t="s">
        <v>720</v>
      </c>
      <c r="L205" s="9" t="s">
        <v>1264</v>
      </c>
      <c r="M205" s="9" t="s">
        <v>1265</v>
      </c>
      <c r="N205" s="9" t="s">
        <v>91</v>
      </c>
      <c r="O205" s="134">
        <v>45968.0</v>
      </c>
      <c r="P205" s="125" t="s">
        <v>1266</v>
      </c>
      <c r="Q205" s="135" t="s">
        <v>1267</v>
      </c>
      <c r="R205" s="126">
        <v>45970.0</v>
      </c>
      <c r="S205" s="131"/>
      <c r="T205" s="130"/>
      <c r="U205" s="130"/>
      <c r="V205" s="125" t="s">
        <v>1268</v>
      </c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</row>
    <row r="206">
      <c r="A206" s="88" t="s">
        <v>1269</v>
      </c>
      <c r="B206" s="10"/>
      <c r="C206" s="10" t="s">
        <v>34</v>
      </c>
      <c r="D206" s="124" t="s">
        <v>356</v>
      </c>
      <c r="E206" s="9" t="s">
        <v>1270</v>
      </c>
      <c r="F206" s="9" t="s">
        <v>52</v>
      </c>
      <c r="G206" s="12" t="s">
        <v>1271</v>
      </c>
      <c r="H206" s="13"/>
      <c r="I206" s="13"/>
      <c r="J206" s="9" t="s">
        <v>39</v>
      </c>
      <c r="K206" s="9" t="s">
        <v>358</v>
      </c>
      <c r="L206" s="9" t="s">
        <v>1165</v>
      </c>
      <c r="M206" s="144" t="s">
        <v>1166</v>
      </c>
      <c r="N206" s="9" t="s">
        <v>91</v>
      </c>
      <c r="O206" s="134">
        <v>45966.0</v>
      </c>
      <c r="P206" s="125" t="s">
        <v>520</v>
      </c>
      <c r="Q206" s="145" t="s">
        <v>1166</v>
      </c>
      <c r="R206" s="126">
        <v>45970.0</v>
      </c>
      <c r="S206" s="131"/>
      <c r="T206" s="130"/>
      <c r="U206" s="130"/>
      <c r="V206" s="125" t="s">
        <v>1272</v>
      </c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</row>
    <row r="207">
      <c r="A207" s="88" t="s">
        <v>1273</v>
      </c>
      <c r="B207" s="10"/>
      <c r="C207" s="10" t="s">
        <v>34</v>
      </c>
      <c r="D207" s="124" t="s">
        <v>1274</v>
      </c>
      <c r="E207" s="9" t="s">
        <v>1275</v>
      </c>
      <c r="F207" s="9" t="s">
        <v>37</v>
      </c>
      <c r="G207" s="12" t="s">
        <v>1276</v>
      </c>
      <c r="H207" s="13"/>
      <c r="I207" s="13"/>
      <c r="J207" s="9" t="s">
        <v>39</v>
      </c>
      <c r="K207" s="9" t="s">
        <v>358</v>
      </c>
      <c r="L207" s="9" t="s">
        <v>1277</v>
      </c>
      <c r="M207" s="9" t="s">
        <v>1278</v>
      </c>
      <c r="N207" s="146" t="s">
        <v>91</v>
      </c>
      <c r="O207" s="134">
        <v>45966.0</v>
      </c>
      <c r="P207" s="125" t="s">
        <v>211</v>
      </c>
      <c r="Q207" s="135" t="s">
        <v>1279</v>
      </c>
      <c r="R207" s="125" t="s">
        <v>1280</v>
      </c>
      <c r="S207" s="131"/>
      <c r="T207" s="130"/>
      <c r="U207" s="130"/>
      <c r="V207" s="125" t="s">
        <v>1281</v>
      </c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</row>
    <row r="208">
      <c r="A208" s="88" t="s">
        <v>1282</v>
      </c>
      <c r="B208" s="10"/>
      <c r="C208" s="10" t="s">
        <v>1283</v>
      </c>
      <c r="D208" s="147" t="s">
        <v>1274</v>
      </c>
      <c r="E208" s="9" t="s">
        <v>1275</v>
      </c>
      <c r="F208" s="9" t="s">
        <v>37</v>
      </c>
      <c r="G208" s="12" t="s">
        <v>1284</v>
      </c>
      <c r="H208" s="13"/>
      <c r="I208" s="13"/>
      <c r="J208" s="9" t="s">
        <v>39</v>
      </c>
      <c r="K208" s="9" t="s">
        <v>358</v>
      </c>
      <c r="L208" s="9" t="s">
        <v>1277</v>
      </c>
      <c r="M208" s="9" t="s">
        <v>1278</v>
      </c>
      <c r="N208" s="9" t="s">
        <v>91</v>
      </c>
      <c r="O208" s="134">
        <v>45966.0</v>
      </c>
      <c r="P208" s="130"/>
      <c r="Q208" s="137"/>
      <c r="R208" s="130"/>
      <c r="S208" s="131"/>
      <c r="T208" s="130"/>
      <c r="U208" s="130"/>
      <c r="V208" s="125" t="s">
        <v>1285</v>
      </c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</row>
    <row r="209">
      <c r="A209" s="88" t="s">
        <v>1286</v>
      </c>
      <c r="B209" s="10"/>
      <c r="C209" s="10" t="s">
        <v>34</v>
      </c>
      <c r="D209" s="124" t="s">
        <v>1287</v>
      </c>
      <c r="E209" s="9" t="s">
        <v>51</v>
      </c>
      <c r="F209" s="9" t="s">
        <v>52</v>
      </c>
      <c r="G209" s="12" t="s">
        <v>1288</v>
      </c>
      <c r="H209" s="13"/>
      <c r="I209" s="13"/>
      <c r="J209" s="9" t="s">
        <v>39</v>
      </c>
      <c r="K209" s="9" t="s">
        <v>841</v>
      </c>
      <c r="L209" s="9" t="s">
        <v>1289</v>
      </c>
      <c r="M209" s="9" t="s">
        <v>1290</v>
      </c>
      <c r="N209" s="9" t="s">
        <v>91</v>
      </c>
      <c r="O209" s="134">
        <v>45970.0</v>
      </c>
      <c r="P209" s="125" t="s">
        <v>1291</v>
      </c>
      <c r="Q209" s="135" t="s">
        <v>1292</v>
      </c>
      <c r="R209" s="125" t="s">
        <v>1293</v>
      </c>
      <c r="S209" s="131"/>
      <c r="T209" s="130"/>
      <c r="U209" s="130"/>
      <c r="V209" s="125" t="s">
        <v>1294</v>
      </c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</row>
    <row r="210">
      <c r="A210" s="88" t="s">
        <v>1295</v>
      </c>
      <c r="B210" s="10"/>
      <c r="C210" s="10" t="s">
        <v>34</v>
      </c>
      <c r="D210" s="124" t="s">
        <v>356</v>
      </c>
      <c r="E210" s="9" t="s">
        <v>1270</v>
      </c>
      <c r="F210" s="9" t="s">
        <v>52</v>
      </c>
      <c r="G210" s="12" t="s">
        <v>1296</v>
      </c>
      <c r="H210" s="13"/>
      <c r="I210" s="13"/>
      <c r="J210" s="9" t="s">
        <v>39</v>
      </c>
      <c r="K210" s="9" t="s">
        <v>471</v>
      </c>
      <c r="L210" s="9" t="s">
        <v>1297</v>
      </c>
      <c r="M210" s="9" t="s">
        <v>1298</v>
      </c>
      <c r="N210" s="9" t="s">
        <v>43</v>
      </c>
      <c r="O210" s="9" t="s">
        <v>1299</v>
      </c>
      <c r="P210" s="125" t="s">
        <v>495</v>
      </c>
      <c r="Q210" s="135" t="s">
        <v>496</v>
      </c>
      <c r="R210" s="130"/>
      <c r="S210" s="131"/>
      <c r="T210" s="130"/>
      <c r="U210" s="130"/>
      <c r="V210" s="125" t="s">
        <v>1300</v>
      </c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</row>
    <row r="211">
      <c r="A211" s="88" t="s">
        <v>1301</v>
      </c>
      <c r="B211" s="10"/>
      <c r="C211" s="10" t="s">
        <v>34</v>
      </c>
      <c r="D211" s="124" t="s">
        <v>356</v>
      </c>
      <c r="E211" s="9" t="s">
        <v>1270</v>
      </c>
      <c r="F211" s="9" t="s">
        <v>52</v>
      </c>
      <c r="G211" s="148" t="s">
        <v>1302</v>
      </c>
      <c r="H211" s="149"/>
      <c r="I211" s="149"/>
      <c r="J211" s="9" t="s">
        <v>39</v>
      </c>
      <c r="K211" s="9" t="s">
        <v>611</v>
      </c>
      <c r="L211" s="9" t="s">
        <v>253</v>
      </c>
      <c r="M211" s="9" t="s">
        <v>254</v>
      </c>
      <c r="N211" s="9" t="s">
        <v>43</v>
      </c>
      <c r="O211" s="134">
        <v>45973.0</v>
      </c>
      <c r="P211" s="125" t="s">
        <v>1303</v>
      </c>
      <c r="Q211" s="150" t="s">
        <v>1304</v>
      </c>
      <c r="R211" s="126">
        <v>45989.0</v>
      </c>
      <c r="S211" s="131"/>
      <c r="T211" s="130"/>
      <c r="U211" s="130"/>
      <c r="V211" s="125" t="s">
        <v>1305</v>
      </c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</row>
    <row r="212">
      <c r="A212" s="88" t="s">
        <v>1306</v>
      </c>
      <c r="B212" s="10"/>
      <c r="C212" s="10" t="s">
        <v>34</v>
      </c>
      <c r="D212" s="124" t="s">
        <v>128</v>
      </c>
      <c r="E212" s="9" t="s">
        <v>36</v>
      </c>
      <c r="F212" s="9" t="s">
        <v>414</v>
      </c>
      <c r="G212" s="12" t="s">
        <v>1307</v>
      </c>
      <c r="H212" s="13"/>
      <c r="I212" s="13"/>
      <c r="J212" s="9" t="s">
        <v>39</v>
      </c>
      <c r="K212" s="9" t="s">
        <v>663</v>
      </c>
      <c r="L212" s="9" t="s">
        <v>1093</v>
      </c>
      <c r="M212" s="9" t="s">
        <v>1279</v>
      </c>
      <c r="N212" s="138"/>
      <c r="O212" s="138"/>
      <c r="P212" s="130"/>
      <c r="Q212" s="151" t="s">
        <v>1308</v>
      </c>
      <c r="R212" s="125" t="s">
        <v>1309</v>
      </c>
      <c r="S212" s="131"/>
      <c r="T212" s="130"/>
      <c r="U212" s="130"/>
      <c r="V212" s="125" t="s">
        <v>1310</v>
      </c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</row>
    <row r="213">
      <c r="A213" s="88" t="s">
        <v>1311</v>
      </c>
      <c r="B213" s="10"/>
      <c r="C213" s="10" t="s">
        <v>34</v>
      </c>
      <c r="D213" s="124" t="s">
        <v>1312</v>
      </c>
      <c r="E213" s="9" t="s">
        <v>139</v>
      </c>
      <c r="F213" s="9" t="s">
        <v>0</v>
      </c>
      <c r="G213" s="12" t="s">
        <v>1313</v>
      </c>
      <c r="H213" s="13"/>
      <c r="I213" s="13"/>
      <c r="J213" s="9" t="s">
        <v>201</v>
      </c>
      <c r="K213" s="9" t="s">
        <v>122</v>
      </c>
      <c r="L213" s="9" t="s">
        <v>1314</v>
      </c>
      <c r="M213" s="9" t="s">
        <v>1315</v>
      </c>
      <c r="N213" s="9" t="s">
        <v>122</v>
      </c>
      <c r="O213" s="134">
        <v>45987.0</v>
      </c>
      <c r="P213" s="130"/>
      <c r="Q213" s="137"/>
      <c r="R213" s="130"/>
      <c r="S213" s="131"/>
      <c r="T213" s="130"/>
      <c r="U213" s="130"/>
      <c r="V213" s="125" t="s">
        <v>1316</v>
      </c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</row>
    <row r="214">
      <c r="A214" s="88" t="s">
        <v>1317</v>
      </c>
      <c r="B214" s="10"/>
      <c r="C214" s="10" t="s">
        <v>34</v>
      </c>
      <c r="D214" s="152" t="s">
        <v>1318</v>
      </c>
      <c r="E214" s="9" t="s">
        <v>65</v>
      </c>
      <c r="F214" s="9" t="s">
        <v>122</v>
      </c>
      <c r="G214" s="12" t="s">
        <v>1319</v>
      </c>
      <c r="H214" s="13"/>
      <c r="I214" s="13"/>
      <c r="J214" s="9" t="s">
        <v>68</v>
      </c>
      <c r="K214" s="9" t="s">
        <v>122</v>
      </c>
      <c r="L214" s="9" t="s">
        <v>726</v>
      </c>
      <c r="M214" s="9" t="s">
        <v>727</v>
      </c>
      <c r="N214" s="9" t="s">
        <v>122</v>
      </c>
      <c r="O214" s="134">
        <v>45987.0</v>
      </c>
      <c r="P214" s="138"/>
      <c r="Q214" s="137"/>
      <c r="R214" s="130"/>
      <c r="S214" s="131"/>
      <c r="T214" s="130"/>
      <c r="U214" s="130"/>
      <c r="V214" s="125" t="s">
        <v>1320</v>
      </c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</row>
    <row r="215">
      <c r="A215" s="88" t="s">
        <v>1321</v>
      </c>
      <c r="B215" s="10"/>
      <c r="C215" s="10" t="s">
        <v>34</v>
      </c>
      <c r="D215" s="124" t="s">
        <v>1287</v>
      </c>
      <c r="E215" s="9" t="s">
        <v>139</v>
      </c>
      <c r="F215" s="9" t="s">
        <v>37</v>
      </c>
      <c r="G215" s="12" t="s">
        <v>1322</v>
      </c>
      <c r="H215" s="13"/>
      <c r="I215" s="13"/>
      <c r="J215" s="9" t="s">
        <v>39</v>
      </c>
      <c r="K215" s="138"/>
      <c r="L215" s="9" t="s">
        <v>1323</v>
      </c>
      <c r="M215" s="9" t="s">
        <v>1324</v>
      </c>
      <c r="N215" s="9" t="s">
        <v>287</v>
      </c>
      <c r="O215" s="134">
        <v>45989.0</v>
      </c>
      <c r="P215" s="138"/>
      <c r="Q215" s="137"/>
      <c r="R215" s="130"/>
      <c r="S215" s="131"/>
      <c r="T215" s="130"/>
      <c r="U215" s="130"/>
      <c r="V215" s="125" t="s">
        <v>1325</v>
      </c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</row>
    <row r="216">
      <c r="A216" s="88" t="s">
        <v>1326</v>
      </c>
      <c r="B216" s="10"/>
      <c r="C216" s="10" t="s">
        <v>34</v>
      </c>
      <c r="D216" s="124" t="s">
        <v>1327</v>
      </c>
      <c r="E216" s="9" t="s">
        <v>139</v>
      </c>
      <c r="F216" s="9" t="s">
        <v>1237</v>
      </c>
      <c r="G216" s="12" t="s">
        <v>1328</v>
      </c>
      <c r="H216" s="13"/>
      <c r="I216" s="13"/>
      <c r="J216" s="9" t="s">
        <v>201</v>
      </c>
      <c r="K216" s="9" t="s">
        <v>122</v>
      </c>
      <c r="L216" s="9" t="s">
        <v>1329</v>
      </c>
      <c r="M216" s="9" t="s">
        <v>1330</v>
      </c>
      <c r="N216" s="9" t="s">
        <v>91</v>
      </c>
      <c r="O216" s="134">
        <v>45989.0</v>
      </c>
      <c r="P216" s="138"/>
      <c r="Q216" s="137"/>
      <c r="R216" s="130"/>
      <c r="S216" s="131"/>
      <c r="T216" s="130"/>
      <c r="U216" s="130"/>
      <c r="V216" s="125" t="s">
        <v>1331</v>
      </c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</row>
    <row r="217">
      <c r="A217" s="88" t="s">
        <v>1332</v>
      </c>
      <c r="B217" s="10"/>
      <c r="C217" s="10" t="s">
        <v>34</v>
      </c>
      <c r="D217" s="124" t="s">
        <v>1333</v>
      </c>
      <c r="E217" s="9" t="s">
        <v>139</v>
      </c>
      <c r="F217" s="9" t="s">
        <v>52</v>
      </c>
      <c r="G217" s="12" t="s">
        <v>1334</v>
      </c>
      <c r="H217" s="13"/>
      <c r="I217" s="13"/>
      <c r="J217" s="9" t="s">
        <v>969</v>
      </c>
      <c r="K217" s="9" t="s">
        <v>358</v>
      </c>
      <c r="L217" s="9" t="s">
        <v>183</v>
      </c>
      <c r="M217" s="138"/>
      <c r="N217" s="138"/>
      <c r="O217" s="138"/>
      <c r="P217" s="138"/>
      <c r="Q217" s="137"/>
      <c r="R217" s="130"/>
      <c r="S217" s="131"/>
      <c r="T217" s="130"/>
      <c r="U217" s="130"/>
      <c r="V217" s="125" t="s">
        <v>1335</v>
      </c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</row>
    <row r="218">
      <c r="A218" s="88" t="s">
        <v>1336</v>
      </c>
      <c r="B218" s="10"/>
      <c r="C218" s="10" t="s">
        <v>34</v>
      </c>
      <c r="D218" s="124" t="s">
        <v>624</v>
      </c>
      <c r="E218" s="9" t="s">
        <v>311</v>
      </c>
      <c r="F218" s="9" t="s">
        <v>52</v>
      </c>
      <c r="G218" s="139"/>
      <c r="H218" s="140"/>
      <c r="I218" s="140"/>
      <c r="J218" s="138"/>
      <c r="K218" s="138"/>
      <c r="L218" s="138"/>
      <c r="M218" s="138"/>
      <c r="N218" s="138"/>
      <c r="O218" s="138"/>
      <c r="P218" s="138"/>
      <c r="Q218" s="137"/>
      <c r="R218" s="130"/>
      <c r="S218" s="131"/>
      <c r="T218" s="130"/>
      <c r="U218" s="130"/>
      <c r="V218" s="125" t="s">
        <v>1337</v>
      </c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</row>
    <row r="219">
      <c r="A219" s="88" t="s">
        <v>1338</v>
      </c>
      <c r="B219" s="10"/>
      <c r="C219" s="10" t="s">
        <v>34</v>
      </c>
      <c r="D219" s="124" t="s">
        <v>1339</v>
      </c>
      <c r="E219" s="9" t="s">
        <v>85</v>
      </c>
      <c r="F219" s="9" t="s">
        <v>86</v>
      </c>
      <c r="G219" s="12" t="s">
        <v>1340</v>
      </c>
      <c r="H219" s="13"/>
      <c r="I219" s="13"/>
      <c r="J219" s="138"/>
      <c r="K219" s="138"/>
      <c r="L219" s="138"/>
      <c r="M219" s="138"/>
      <c r="N219" s="138"/>
      <c r="O219" s="138"/>
      <c r="P219" s="138"/>
      <c r="Q219" s="137"/>
      <c r="R219" s="130"/>
      <c r="S219" s="131"/>
      <c r="T219" s="130"/>
      <c r="U219" s="130"/>
      <c r="V219" s="125" t="s">
        <v>1341</v>
      </c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</row>
    <row r="220">
      <c r="A220" s="88" t="s">
        <v>1342</v>
      </c>
      <c r="B220" s="10"/>
      <c r="C220" s="10" t="s">
        <v>34</v>
      </c>
      <c r="D220" s="124" t="s">
        <v>187</v>
      </c>
      <c r="E220" s="9" t="s">
        <v>169</v>
      </c>
      <c r="F220" s="9" t="s">
        <v>86</v>
      </c>
      <c r="G220" s="12" t="s">
        <v>1343</v>
      </c>
      <c r="H220" s="13"/>
      <c r="I220" s="13"/>
      <c r="J220" s="9" t="s">
        <v>39</v>
      </c>
      <c r="K220" s="9" t="s">
        <v>358</v>
      </c>
      <c r="L220" s="9" t="s">
        <v>1344</v>
      </c>
      <c r="M220" s="9" t="s">
        <v>1345</v>
      </c>
      <c r="N220" s="9" t="s">
        <v>91</v>
      </c>
      <c r="O220" s="134">
        <v>45993.0</v>
      </c>
      <c r="P220" s="138"/>
      <c r="Q220" s="137"/>
      <c r="R220" s="130"/>
      <c r="S220" s="131"/>
      <c r="T220" s="130"/>
      <c r="U220" s="130"/>
      <c r="V220" s="125" t="s">
        <v>1346</v>
      </c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</row>
    <row r="221">
      <c r="A221" s="88" t="s">
        <v>1347</v>
      </c>
      <c r="B221" s="10"/>
      <c r="C221" s="10" t="s">
        <v>34</v>
      </c>
      <c r="D221" s="124" t="s">
        <v>1348</v>
      </c>
      <c r="E221" s="9" t="s">
        <v>1270</v>
      </c>
      <c r="F221" s="9" t="s">
        <v>52</v>
      </c>
      <c r="G221" s="12" t="s">
        <v>1349</v>
      </c>
      <c r="H221" s="13"/>
      <c r="I221" s="13"/>
      <c r="J221" s="9" t="s">
        <v>39</v>
      </c>
      <c r="K221" s="9" t="s">
        <v>358</v>
      </c>
      <c r="L221" s="9" t="s">
        <v>1350</v>
      </c>
      <c r="M221" s="138"/>
      <c r="N221" s="138"/>
      <c r="O221" s="138"/>
      <c r="P221" s="138"/>
      <c r="Q221" s="137"/>
      <c r="R221" s="130"/>
      <c r="S221" s="131"/>
      <c r="T221" s="130"/>
      <c r="U221" s="130"/>
      <c r="V221" s="125" t="s">
        <v>1351</v>
      </c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</row>
    <row r="222">
      <c r="A222" s="88" t="s">
        <v>1352</v>
      </c>
      <c r="B222" s="10"/>
      <c r="C222" s="10" t="s">
        <v>34</v>
      </c>
      <c r="D222" s="124" t="s">
        <v>1348</v>
      </c>
      <c r="E222" s="9" t="s">
        <v>65</v>
      </c>
      <c r="F222" s="9" t="s">
        <v>52</v>
      </c>
      <c r="G222" s="12" t="s">
        <v>1353</v>
      </c>
      <c r="H222" s="13"/>
      <c r="I222" s="13"/>
      <c r="J222" s="9" t="s">
        <v>39</v>
      </c>
      <c r="K222" s="9" t="s">
        <v>358</v>
      </c>
      <c r="L222" s="9" t="s">
        <v>1350</v>
      </c>
      <c r="M222" s="138"/>
      <c r="N222" s="9" t="s">
        <v>91</v>
      </c>
      <c r="O222" s="134">
        <v>45994.0</v>
      </c>
      <c r="P222" s="9" t="s">
        <v>262</v>
      </c>
      <c r="Q222" s="135" t="s">
        <v>124</v>
      </c>
      <c r="R222" s="126">
        <v>45995.0</v>
      </c>
      <c r="S222" s="132" t="s">
        <v>47</v>
      </c>
      <c r="T222" s="130"/>
      <c r="U222" s="130"/>
      <c r="V222" s="125" t="s">
        <v>1354</v>
      </c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</row>
    <row r="223">
      <c r="A223" s="88" t="s">
        <v>1355</v>
      </c>
      <c r="B223" s="10"/>
      <c r="C223" s="10" t="s">
        <v>34</v>
      </c>
      <c r="D223" s="124" t="s">
        <v>469</v>
      </c>
      <c r="E223" s="9" t="s">
        <v>36</v>
      </c>
      <c r="F223" s="9" t="s">
        <v>37</v>
      </c>
      <c r="G223" s="12" t="s">
        <v>1356</v>
      </c>
      <c r="H223" s="13"/>
      <c r="I223" s="13"/>
      <c r="J223" s="138"/>
      <c r="K223" s="138"/>
      <c r="L223" s="138"/>
      <c r="M223" s="138"/>
      <c r="N223" s="138"/>
      <c r="O223" s="138"/>
      <c r="P223" s="138"/>
      <c r="Q223" s="137"/>
      <c r="R223" s="130"/>
      <c r="S223" s="131"/>
      <c r="T223" s="130"/>
      <c r="U223" s="130"/>
      <c r="V223" s="125" t="s">
        <v>1357</v>
      </c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</row>
    <row r="224">
      <c r="A224" s="88" t="s">
        <v>1358</v>
      </c>
      <c r="B224" s="10"/>
      <c r="C224" s="10" t="s">
        <v>34</v>
      </c>
      <c r="D224" s="124" t="s">
        <v>1359</v>
      </c>
      <c r="E224" s="9" t="s">
        <v>65</v>
      </c>
      <c r="F224" s="9" t="s">
        <v>1360</v>
      </c>
      <c r="G224" s="12" t="s">
        <v>1361</v>
      </c>
      <c r="H224" s="13"/>
      <c r="I224" s="13"/>
      <c r="J224" s="9" t="s">
        <v>1362</v>
      </c>
      <c r="K224" s="9" t="s">
        <v>122</v>
      </c>
      <c r="L224" s="9" t="s">
        <v>984</v>
      </c>
      <c r="M224" s="138"/>
      <c r="N224" s="138"/>
      <c r="O224" s="134">
        <v>45972.0</v>
      </c>
      <c r="P224" s="9" t="s">
        <v>783</v>
      </c>
      <c r="Q224" s="137"/>
      <c r="R224" s="130"/>
      <c r="S224" s="131"/>
      <c r="T224" s="130"/>
      <c r="U224" s="130"/>
      <c r="V224" s="125" t="s">
        <v>1363</v>
      </c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5"/>
    </row>
    <row r="225">
      <c r="A225" s="88" t="s">
        <v>1364</v>
      </c>
      <c r="B225" s="10"/>
      <c r="C225" s="10" t="s">
        <v>34</v>
      </c>
      <c r="D225" s="124" t="s">
        <v>1365</v>
      </c>
      <c r="E225" s="9" t="s">
        <v>571</v>
      </c>
      <c r="F225" s="9" t="s">
        <v>1366</v>
      </c>
      <c r="G225" s="12" t="s">
        <v>1367</v>
      </c>
      <c r="H225" s="13"/>
      <c r="I225" s="13"/>
      <c r="J225" s="9" t="s">
        <v>228</v>
      </c>
      <c r="K225" s="9" t="s">
        <v>122</v>
      </c>
      <c r="L225" s="9" t="s">
        <v>1368</v>
      </c>
      <c r="M225" s="138"/>
      <c r="N225" s="138"/>
      <c r="O225" s="138"/>
      <c r="P225" s="138"/>
      <c r="Q225" s="137"/>
      <c r="R225" s="130"/>
      <c r="S225" s="131"/>
      <c r="T225" s="130"/>
      <c r="U225" s="130"/>
      <c r="V225" s="125" t="s">
        <v>1369</v>
      </c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</row>
    <row r="226">
      <c r="A226" s="88" t="s">
        <v>1370</v>
      </c>
      <c r="B226" s="10"/>
      <c r="C226" s="10" t="s">
        <v>34</v>
      </c>
      <c r="D226" s="124" t="s">
        <v>1339</v>
      </c>
      <c r="E226" s="9" t="s">
        <v>139</v>
      </c>
      <c r="F226" s="9" t="s">
        <v>86</v>
      </c>
      <c r="G226" s="12" t="s">
        <v>1371</v>
      </c>
      <c r="H226" s="13"/>
      <c r="I226" s="13"/>
      <c r="J226" s="138"/>
      <c r="K226" s="138"/>
      <c r="L226" s="138"/>
      <c r="M226" s="138"/>
      <c r="N226" s="138"/>
      <c r="O226" s="138"/>
      <c r="P226" s="138"/>
      <c r="Q226" s="137"/>
      <c r="R226" s="130"/>
      <c r="S226" s="131"/>
      <c r="T226" s="130"/>
      <c r="U226" s="130"/>
      <c r="V226" s="125" t="s">
        <v>1372</v>
      </c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5"/>
    </row>
    <row r="227">
      <c r="A227" s="88" t="s">
        <v>1373</v>
      </c>
      <c r="B227" s="10"/>
      <c r="C227" s="10" t="s">
        <v>34</v>
      </c>
      <c r="D227" s="124" t="s">
        <v>398</v>
      </c>
      <c r="E227" s="9" t="s">
        <v>160</v>
      </c>
      <c r="F227" s="9" t="s">
        <v>37</v>
      </c>
      <c r="G227" s="12" t="s">
        <v>1374</v>
      </c>
      <c r="H227" s="13"/>
      <c r="I227" s="13"/>
      <c r="J227" s="9" t="s">
        <v>39</v>
      </c>
      <c r="K227" s="9" t="s">
        <v>88</v>
      </c>
      <c r="L227" s="138"/>
      <c r="M227" s="138"/>
      <c r="N227" s="138"/>
      <c r="O227" s="138"/>
      <c r="P227" s="138"/>
      <c r="Q227" s="137"/>
      <c r="R227" s="130"/>
      <c r="S227" s="131"/>
      <c r="T227" s="130"/>
      <c r="U227" s="130"/>
      <c r="V227" s="125" t="s">
        <v>1375</v>
      </c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</row>
    <row r="228">
      <c r="A228" s="88" t="s">
        <v>1376</v>
      </c>
      <c r="B228" s="10"/>
      <c r="C228" s="10" t="s">
        <v>34</v>
      </c>
      <c r="D228" s="124" t="s">
        <v>97</v>
      </c>
      <c r="E228" s="9" t="s">
        <v>571</v>
      </c>
      <c r="F228" s="9" t="s">
        <v>37</v>
      </c>
      <c r="G228" s="12" t="s">
        <v>572</v>
      </c>
      <c r="H228" s="13"/>
      <c r="I228" s="13"/>
      <c r="J228" s="9" t="s">
        <v>1377</v>
      </c>
      <c r="K228" s="9" t="s">
        <v>40</v>
      </c>
      <c r="L228" s="9" t="s">
        <v>1378</v>
      </c>
      <c r="M228" s="138"/>
      <c r="N228" s="138"/>
      <c r="O228" s="138"/>
      <c r="P228" s="138"/>
      <c r="Q228" s="137"/>
      <c r="R228" s="130"/>
      <c r="S228" s="131"/>
      <c r="T228" s="130"/>
      <c r="U228" s="130"/>
      <c r="V228" s="125" t="s">
        <v>1379</v>
      </c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</row>
    <row r="229">
      <c r="A229" s="88" t="s">
        <v>1380</v>
      </c>
      <c r="B229" s="10"/>
      <c r="C229" s="10" t="s">
        <v>34</v>
      </c>
      <c r="D229" s="124" t="s">
        <v>35</v>
      </c>
      <c r="E229" s="9" t="s">
        <v>1112</v>
      </c>
      <c r="F229" s="9" t="s">
        <v>37</v>
      </c>
      <c r="G229" s="12" t="s">
        <v>1381</v>
      </c>
      <c r="H229" s="13"/>
      <c r="I229" s="13"/>
      <c r="J229" s="9" t="s">
        <v>39</v>
      </c>
      <c r="K229" s="9" t="s">
        <v>326</v>
      </c>
      <c r="L229" s="9" t="s">
        <v>1382</v>
      </c>
      <c r="M229" s="153" t="s">
        <v>861</v>
      </c>
      <c r="N229" s="9" t="s">
        <v>43</v>
      </c>
      <c r="O229" s="134">
        <v>46055.0</v>
      </c>
      <c r="P229" s="9" t="s">
        <v>1383</v>
      </c>
      <c r="Q229" s="137">
        <f>2347079248521</f>
        <v>2347079248521</v>
      </c>
      <c r="R229" s="126">
        <v>46058.0</v>
      </c>
      <c r="S229" s="131"/>
      <c r="T229" s="130"/>
      <c r="U229" s="130"/>
      <c r="V229" s="125" t="s">
        <v>1384</v>
      </c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</row>
    <row r="230">
      <c r="A230" s="88" t="s">
        <v>1385</v>
      </c>
      <c r="B230" s="10"/>
      <c r="C230" s="10" t="s">
        <v>34</v>
      </c>
      <c r="D230" s="124" t="s">
        <v>1386</v>
      </c>
      <c r="E230" s="9" t="s">
        <v>36</v>
      </c>
      <c r="F230" s="9" t="s">
        <v>52</v>
      </c>
      <c r="G230" s="12" t="s">
        <v>1387</v>
      </c>
      <c r="H230" s="13"/>
      <c r="I230" s="13"/>
      <c r="J230" s="9" t="s">
        <v>39</v>
      </c>
      <c r="K230" s="9" t="s">
        <v>326</v>
      </c>
      <c r="L230" s="9" t="s">
        <v>183</v>
      </c>
      <c r="M230" s="153" t="s">
        <v>42</v>
      </c>
      <c r="N230" s="9" t="s">
        <v>91</v>
      </c>
      <c r="O230" s="134">
        <v>46055.0</v>
      </c>
      <c r="P230" s="138"/>
      <c r="Q230" s="137"/>
      <c r="R230" s="130"/>
      <c r="S230" s="131"/>
      <c r="T230" s="130"/>
      <c r="U230" s="130"/>
      <c r="V230" s="125" t="s">
        <v>1388</v>
      </c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</row>
    <row r="231">
      <c r="A231" s="88" t="s">
        <v>1389</v>
      </c>
      <c r="B231" s="10"/>
      <c r="C231" s="10" t="s">
        <v>34</v>
      </c>
      <c r="D231" s="124" t="s">
        <v>1386</v>
      </c>
      <c r="E231" s="9" t="s">
        <v>36</v>
      </c>
      <c r="F231" s="9" t="s">
        <v>52</v>
      </c>
      <c r="G231" s="12" t="s">
        <v>1390</v>
      </c>
      <c r="H231" s="13"/>
      <c r="I231" s="13"/>
      <c r="J231" s="9" t="s">
        <v>39</v>
      </c>
      <c r="K231" s="9" t="s">
        <v>326</v>
      </c>
      <c r="L231" s="9" t="s">
        <v>183</v>
      </c>
      <c r="M231" s="153" t="s">
        <v>42</v>
      </c>
      <c r="N231" s="9" t="s">
        <v>91</v>
      </c>
      <c r="O231" s="134">
        <v>46055.0</v>
      </c>
      <c r="P231" s="138"/>
      <c r="Q231" s="137"/>
      <c r="R231" s="130"/>
      <c r="S231" s="131"/>
      <c r="T231" s="130"/>
      <c r="U231" s="130"/>
      <c r="V231" s="125" t="s">
        <v>1391</v>
      </c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</row>
    <row r="232">
      <c r="A232" s="88" t="s">
        <v>1392</v>
      </c>
      <c r="B232" s="10"/>
      <c r="C232" s="10" t="s">
        <v>34</v>
      </c>
      <c r="D232" s="154" t="s">
        <v>1393</v>
      </c>
      <c r="E232" s="9" t="s">
        <v>65</v>
      </c>
      <c r="F232" s="9" t="s">
        <v>122</v>
      </c>
      <c r="G232" s="12" t="s">
        <v>1394</v>
      </c>
      <c r="H232" s="13"/>
      <c r="I232" s="13"/>
      <c r="J232" s="9" t="s">
        <v>68</v>
      </c>
      <c r="K232" s="9" t="s">
        <v>122</v>
      </c>
      <c r="L232" s="9" t="s">
        <v>1382</v>
      </c>
      <c r="M232" s="153" t="s">
        <v>861</v>
      </c>
      <c r="N232" s="9" t="s">
        <v>91</v>
      </c>
      <c r="O232" s="134">
        <v>46055.0</v>
      </c>
      <c r="P232" s="9" t="s">
        <v>285</v>
      </c>
      <c r="Q232" s="135" t="s">
        <v>1395</v>
      </c>
      <c r="R232" s="125" t="s">
        <v>1396</v>
      </c>
      <c r="S232" s="131"/>
      <c r="T232" s="130"/>
      <c r="U232" s="130"/>
      <c r="V232" s="125" t="s">
        <v>1397</v>
      </c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</row>
    <row r="233">
      <c r="A233" s="88" t="s">
        <v>1398</v>
      </c>
      <c r="B233" s="10"/>
      <c r="C233" s="10" t="s">
        <v>34</v>
      </c>
      <c r="D233" s="124" t="s">
        <v>1399</v>
      </c>
      <c r="E233" s="9" t="s">
        <v>65</v>
      </c>
      <c r="F233" s="9" t="s">
        <v>122</v>
      </c>
      <c r="G233" s="12" t="s">
        <v>1319</v>
      </c>
      <c r="H233" s="13"/>
      <c r="I233" s="13"/>
      <c r="J233" s="9" t="s">
        <v>68</v>
      </c>
      <c r="K233" s="9" t="s">
        <v>122</v>
      </c>
      <c r="L233" s="9" t="s">
        <v>726</v>
      </c>
      <c r="M233" s="155" t="s">
        <v>1400</v>
      </c>
      <c r="N233" s="9" t="s">
        <v>91</v>
      </c>
      <c r="O233" s="134">
        <v>45987.0</v>
      </c>
      <c r="P233" s="138"/>
      <c r="Q233" s="137"/>
      <c r="R233" s="130"/>
      <c r="S233" s="131"/>
      <c r="T233" s="130"/>
      <c r="U233" s="130"/>
      <c r="V233" s="125" t="s">
        <v>1401</v>
      </c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5"/>
    </row>
    <row r="234">
      <c r="A234" s="88" t="s">
        <v>1402</v>
      </c>
      <c r="B234" s="10"/>
      <c r="C234" s="10" t="s">
        <v>1403</v>
      </c>
      <c r="D234" s="124" t="s">
        <v>1404</v>
      </c>
      <c r="E234" s="9" t="s">
        <v>1135</v>
      </c>
      <c r="F234" s="9" t="s">
        <v>52</v>
      </c>
      <c r="G234" s="12" t="s">
        <v>907</v>
      </c>
      <c r="H234" s="13"/>
      <c r="I234" s="13"/>
      <c r="J234" s="9" t="s">
        <v>39</v>
      </c>
      <c r="K234" s="9" t="s">
        <v>663</v>
      </c>
      <c r="L234" s="9" t="s">
        <v>868</v>
      </c>
      <c r="M234" s="153" t="s">
        <v>869</v>
      </c>
      <c r="N234" s="9" t="s">
        <v>91</v>
      </c>
      <c r="O234" s="134">
        <v>46053.0</v>
      </c>
      <c r="P234" s="9" t="s">
        <v>1405</v>
      </c>
      <c r="Q234" s="135" t="s">
        <v>1406</v>
      </c>
      <c r="R234" s="126">
        <v>46056.0</v>
      </c>
      <c r="S234" s="131"/>
      <c r="T234" s="130"/>
      <c r="U234" s="130"/>
      <c r="V234" s="125" t="s">
        <v>1407</v>
      </c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</row>
    <row r="235">
      <c r="A235" s="88" t="s">
        <v>1408</v>
      </c>
      <c r="B235" s="10"/>
      <c r="C235" s="10" t="s">
        <v>34</v>
      </c>
      <c r="D235" s="124" t="s">
        <v>1409</v>
      </c>
      <c r="E235" s="9" t="s">
        <v>65</v>
      </c>
      <c r="F235" s="9" t="s">
        <v>37</v>
      </c>
      <c r="G235" s="12" t="s">
        <v>1410</v>
      </c>
      <c r="H235" s="13"/>
      <c r="I235" s="13"/>
      <c r="J235" s="9" t="s">
        <v>39</v>
      </c>
      <c r="K235" s="9" t="s">
        <v>1411</v>
      </c>
      <c r="L235" s="9" t="s">
        <v>1412</v>
      </c>
      <c r="M235" s="156" t="s">
        <v>1413</v>
      </c>
      <c r="N235" s="9" t="s">
        <v>91</v>
      </c>
      <c r="O235" s="134">
        <v>46053.0</v>
      </c>
      <c r="P235" s="121" t="s">
        <v>1159</v>
      </c>
      <c r="Q235" s="157">
        <f>2349124881727</f>
        <v>2349124881727</v>
      </c>
      <c r="R235" s="158">
        <v>46058.0</v>
      </c>
      <c r="S235" s="131"/>
      <c r="T235" s="130"/>
      <c r="U235" s="130"/>
      <c r="V235" s="125" t="s">
        <v>1414</v>
      </c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</row>
    <row r="236">
      <c r="A236" s="88" t="s">
        <v>1415</v>
      </c>
      <c r="B236" s="10"/>
      <c r="C236" s="10" t="s">
        <v>34</v>
      </c>
      <c r="D236" s="159" t="s">
        <v>1134</v>
      </c>
      <c r="E236" s="9" t="s">
        <v>370</v>
      </c>
      <c r="F236" s="9" t="s">
        <v>37</v>
      </c>
      <c r="G236" s="12" t="s">
        <v>1416</v>
      </c>
      <c r="H236" s="13"/>
      <c r="I236" s="13"/>
      <c r="J236" s="9" t="s">
        <v>39</v>
      </c>
      <c r="K236" s="9" t="s">
        <v>430</v>
      </c>
      <c r="L236" s="9" t="s">
        <v>1417</v>
      </c>
      <c r="M236" s="9" t="s">
        <v>1418</v>
      </c>
      <c r="N236" s="9" t="s">
        <v>91</v>
      </c>
      <c r="O236" s="134">
        <v>46053.0</v>
      </c>
      <c r="P236" s="9" t="s">
        <v>1419</v>
      </c>
      <c r="Q236" s="135">
        <v>2348106265881</v>
      </c>
      <c r="R236" s="160">
        <v>46057.0</v>
      </c>
      <c r="S236" s="131"/>
      <c r="T236" s="130"/>
      <c r="U236" s="130"/>
      <c r="V236" s="125" t="s">
        <v>1420</v>
      </c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</row>
    <row r="237">
      <c r="A237" s="88" t="s">
        <v>1421</v>
      </c>
      <c r="B237" s="10"/>
      <c r="C237" s="10" t="s">
        <v>34</v>
      </c>
      <c r="D237" s="124" t="s">
        <v>1422</v>
      </c>
      <c r="E237" s="9" t="s">
        <v>169</v>
      </c>
      <c r="F237" s="9" t="s">
        <v>52</v>
      </c>
      <c r="G237" s="12" t="s">
        <v>1423</v>
      </c>
      <c r="H237" s="13"/>
      <c r="I237" s="13"/>
      <c r="J237" s="9" t="s">
        <v>39</v>
      </c>
      <c r="K237" s="9" t="s">
        <v>326</v>
      </c>
      <c r="L237" s="121" t="s">
        <v>1424</v>
      </c>
      <c r="M237" s="161" t="s">
        <v>1425</v>
      </c>
      <c r="N237" s="9" t="s">
        <v>91</v>
      </c>
      <c r="O237" s="134">
        <v>46050.0</v>
      </c>
      <c r="P237" s="9" t="s">
        <v>341</v>
      </c>
      <c r="Q237" s="9" t="s">
        <v>342</v>
      </c>
      <c r="R237" s="134">
        <v>46056.0</v>
      </c>
      <c r="S237" s="131"/>
      <c r="T237" s="130"/>
      <c r="U237" s="130"/>
      <c r="V237" s="125" t="s">
        <v>1426</v>
      </c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5"/>
    </row>
    <row r="238">
      <c r="A238" s="88" t="s">
        <v>1427</v>
      </c>
      <c r="B238" s="10"/>
      <c r="C238" s="10" t="s">
        <v>34</v>
      </c>
      <c r="D238" s="124" t="s">
        <v>356</v>
      </c>
      <c r="E238" s="9" t="s">
        <v>65</v>
      </c>
      <c r="F238" s="9" t="s">
        <v>37</v>
      </c>
      <c r="G238" s="12" t="s">
        <v>666</v>
      </c>
      <c r="H238" s="13"/>
      <c r="I238" s="13"/>
      <c r="J238" s="9" t="s">
        <v>39</v>
      </c>
      <c r="K238" s="9" t="s">
        <v>658</v>
      </c>
      <c r="L238" s="9" t="s">
        <v>1428</v>
      </c>
      <c r="M238" s="162" t="s">
        <v>667</v>
      </c>
      <c r="N238" s="9" t="s">
        <v>91</v>
      </c>
      <c r="O238" s="134">
        <v>46056.0</v>
      </c>
      <c r="P238" s="9" t="s">
        <v>1144</v>
      </c>
      <c r="Q238" s="135" t="s">
        <v>1429</v>
      </c>
      <c r="R238" s="134">
        <v>46070.0</v>
      </c>
      <c r="S238" s="132" t="s">
        <v>1430</v>
      </c>
      <c r="T238" s="130"/>
      <c r="U238" s="130"/>
      <c r="V238" s="125" t="s">
        <v>1431</v>
      </c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</row>
    <row r="239">
      <c r="A239" s="88" t="s">
        <v>1432</v>
      </c>
      <c r="B239" s="10"/>
      <c r="C239" s="10" t="s">
        <v>34</v>
      </c>
      <c r="D239" s="124" t="s">
        <v>798</v>
      </c>
      <c r="E239" s="9" t="s">
        <v>1028</v>
      </c>
      <c r="F239" s="9" t="s">
        <v>52</v>
      </c>
      <c r="G239" s="12" t="s">
        <v>1433</v>
      </c>
      <c r="H239" s="13"/>
      <c r="I239" s="13"/>
      <c r="J239" s="9" t="s">
        <v>1377</v>
      </c>
      <c r="K239" s="9" t="s">
        <v>326</v>
      </c>
      <c r="L239" s="9" t="s">
        <v>1419</v>
      </c>
      <c r="M239" s="9">
        <f>2348106265881</f>
        <v>2348106265881</v>
      </c>
      <c r="N239" s="9" t="s">
        <v>91</v>
      </c>
      <c r="O239" s="134">
        <v>46056.0</v>
      </c>
      <c r="P239" s="9" t="s">
        <v>1434</v>
      </c>
      <c r="Q239" s="137">
        <f>2348164388087</f>
        <v>2348164388087</v>
      </c>
      <c r="R239" s="134">
        <v>46058.0</v>
      </c>
      <c r="S239" s="131"/>
      <c r="T239" s="130"/>
      <c r="U239" s="130"/>
      <c r="V239" s="125" t="s">
        <v>1435</v>
      </c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</row>
    <row r="240">
      <c r="A240" s="88" t="s">
        <v>1436</v>
      </c>
      <c r="B240" s="10"/>
      <c r="C240" s="10" t="s">
        <v>34</v>
      </c>
      <c r="D240" s="124" t="s">
        <v>356</v>
      </c>
      <c r="E240" s="9" t="s">
        <v>65</v>
      </c>
      <c r="F240" s="9" t="s">
        <v>52</v>
      </c>
      <c r="G240" s="12" t="s">
        <v>1437</v>
      </c>
      <c r="H240" s="13"/>
      <c r="I240" s="13"/>
      <c r="J240" s="9" t="s">
        <v>1377</v>
      </c>
      <c r="K240" s="9" t="s">
        <v>430</v>
      </c>
      <c r="L240" s="9" t="s">
        <v>1438</v>
      </c>
      <c r="M240" s="138">
        <f>2349167226596</f>
        <v>2349167226596</v>
      </c>
      <c r="N240" s="9" t="s">
        <v>43</v>
      </c>
      <c r="O240" s="134">
        <v>46057.0</v>
      </c>
      <c r="P240" s="9" t="s">
        <v>1439</v>
      </c>
      <c r="Q240" s="135" t="s">
        <v>1211</v>
      </c>
      <c r="R240" s="134">
        <v>46093.0</v>
      </c>
      <c r="S240" s="131"/>
      <c r="T240" s="130"/>
      <c r="U240" s="130"/>
      <c r="V240" s="125" t="s">
        <v>1440</v>
      </c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5"/>
    </row>
    <row r="241">
      <c r="A241" s="88" t="s">
        <v>1441</v>
      </c>
      <c r="B241" s="10"/>
      <c r="C241" s="10" t="s">
        <v>34</v>
      </c>
      <c r="D241" s="124" t="s">
        <v>369</v>
      </c>
      <c r="E241" s="9" t="s">
        <v>65</v>
      </c>
      <c r="F241" s="9" t="s">
        <v>37</v>
      </c>
      <c r="G241" s="12" t="s">
        <v>1442</v>
      </c>
      <c r="H241" s="13"/>
      <c r="I241" s="13"/>
      <c r="J241" s="9" t="s">
        <v>1377</v>
      </c>
      <c r="K241" s="9" t="s">
        <v>358</v>
      </c>
      <c r="L241" s="9" t="s">
        <v>735</v>
      </c>
      <c r="M241" s="9" t="s">
        <v>153</v>
      </c>
      <c r="N241" s="9" t="s">
        <v>43</v>
      </c>
      <c r="O241" s="134">
        <v>46057.0</v>
      </c>
      <c r="P241" s="9" t="s">
        <v>1438</v>
      </c>
      <c r="Q241" s="138">
        <f>2349167226596</f>
        <v>2349167226596</v>
      </c>
      <c r="R241" s="134">
        <v>46057.0</v>
      </c>
      <c r="S241" s="131"/>
      <c r="T241" s="130"/>
      <c r="U241" s="130"/>
      <c r="V241" s="125" t="s">
        <v>1443</v>
      </c>
      <c r="W241" s="125"/>
      <c r="X241" s="125"/>
      <c r="Y241" s="125"/>
      <c r="Z241" s="125"/>
      <c r="AA241" s="125"/>
      <c r="AB241" s="125"/>
      <c r="AC241" s="125"/>
      <c r="AD241" s="125"/>
      <c r="AE241" s="125"/>
      <c r="AF241" s="125"/>
    </row>
    <row r="242">
      <c r="A242" s="88" t="s">
        <v>1444</v>
      </c>
      <c r="B242" s="10"/>
      <c r="C242" s="10" t="s">
        <v>1445</v>
      </c>
      <c r="D242" s="124" t="s">
        <v>1134</v>
      </c>
      <c r="E242" s="9" t="s">
        <v>65</v>
      </c>
      <c r="F242" s="9" t="s">
        <v>52</v>
      </c>
      <c r="G242" s="12" t="s">
        <v>1446</v>
      </c>
      <c r="H242" s="13"/>
      <c r="I242" s="13"/>
      <c r="J242" s="9" t="s">
        <v>39</v>
      </c>
      <c r="K242" s="9" t="s">
        <v>358</v>
      </c>
      <c r="L242" s="9" t="s">
        <v>1447</v>
      </c>
      <c r="M242" s="9" t="s">
        <v>1448</v>
      </c>
      <c r="N242" s="9" t="s">
        <v>43</v>
      </c>
      <c r="O242" s="134">
        <v>46057.0</v>
      </c>
      <c r="P242" s="9" t="s">
        <v>193</v>
      </c>
      <c r="Q242" s="163" t="s">
        <v>1449</v>
      </c>
      <c r="R242" s="9" t="s">
        <v>1445</v>
      </c>
      <c r="S242" s="131"/>
      <c r="T242" s="130"/>
      <c r="U242" s="130"/>
      <c r="V242" s="125" t="s">
        <v>1450</v>
      </c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</row>
    <row r="243">
      <c r="A243" s="88" t="s">
        <v>1451</v>
      </c>
      <c r="B243" s="10"/>
      <c r="C243" s="10" t="s">
        <v>34</v>
      </c>
      <c r="D243" s="124" t="s">
        <v>1452</v>
      </c>
      <c r="E243" s="9" t="s">
        <v>1453</v>
      </c>
      <c r="F243" s="9" t="s">
        <v>52</v>
      </c>
      <c r="G243" s="12" t="s">
        <v>1454</v>
      </c>
      <c r="H243" s="13"/>
      <c r="I243" s="13"/>
      <c r="J243" s="9" t="s">
        <v>39</v>
      </c>
      <c r="K243" s="9" t="s">
        <v>358</v>
      </c>
      <c r="L243" s="9" t="s">
        <v>262</v>
      </c>
      <c r="M243" s="9" t="s">
        <v>124</v>
      </c>
      <c r="N243" s="9" t="s">
        <v>91</v>
      </c>
      <c r="O243" s="134">
        <v>46057.0</v>
      </c>
      <c r="P243" s="138"/>
      <c r="Q243" s="137"/>
      <c r="R243" s="138"/>
      <c r="S243" s="131"/>
      <c r="T243" s="130"/>
      <c r="U243" s="130"/>
      <c r="V243" s="125" t="s">
        <v>1455</v>
      </c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5"/>
    </row>
    <row r="244">
      <c r="A244" s="88" t="s">
        <v>1456</v>
      </c>
      <c r="B244" s="10"/>
      <c r="C244" s="10" t="s">
        <v>34</v>
      </c>
      <c r="D244" s="124" t="s">
        <v>303</v>
      </c>
      <c r="E244" s="9" t="s">
        <v>311</v>
      </c>
      <c r="F244" s="9" t="s">
        <v>86</v>
      </c>
      <c r="G244" s="12" t="s">
        <v>1457</v>
      </c>
      <c r="H244" s="13"/>
      <c r="I244" s="13"/>
      <c r="J244" s="9" t="s">
        <v>39</v>
      </c>
      <c r="K244" s="9" t="s">
        <v>835</v>
      </c>
      <c r="L244" s="9" t="s">
        <v>1458</v>
      </c>
      <c r="M244" s="9" t="s">
        <v>1459</v>
      </c>
      <c r="N244" s="9" t="s">
        <v>91</v>
      </c>
      <c r="O244" s="134">
        <v>46053.0</v>
      </c>
      <c r="P244" s="9" t="s">
        <v>735</v>
      </c>
      <c r="Q244" s="135" t="s">
        <v>153</v>
      </c>
      <c r="R244" s="134">
        <v>46058.0</v>
      </c>
      <c r="S244" s="131"/>
      <c r="T244" s="130"/>
      <c r="U244" s="130"/>
      <c r="V244" s="125" t="s">
        <v>1460</v>
      </c>
      <c r="W244" s="125"/>
      <c r="X244" s="125"/>
      <c r="Y244" s="125"/>
      <c r="Z244" s="125"/>
      <c r="AA244" s="125"/>
      <c r="AB244" s="125"/>
      <c r="AC244" s="125"/>
      <c r="AD244" s="125"/>
      <c r="AE244" s="125"/>
      <c r="AF244" s="125"/>
    </row>
    <row r="245">
      <c r="A245" s="88" t="s">
        <v>1461</v>
      </c>
      <c r="B245" s="10"/>
      <c r="C245" s="10" t="s">
        <v>34</v>
      </c>
      <c r="D245" s="124" t="s">
        <v>118</v>
      </c>
      <c r="E245" s="9" t="s">
        <v>1462</v>
      </c>
      <c r="F245" s="9" t="s">
        <v>52</v>
      </c>
      <c r="G245" s="12" t="s">
        <v>1463</v>
      </c>
      <c r="H245" s="13"/>
      <c r="I245" s="13"/>
      <c r="J245" s="9" t="s">
        <v>228</v>
      </c>
      <c r="K245" s="9" t="s">
        <v>122</v>
      </c>
      <c r="L245" s="9" t="s">
        <v>320</v>
      </c>
      <c r="M245" s="138">
        <f>2349037002617</f>
        <v>2349037002617</v>
      </c>
      <c r="N245" s="9" t="s">
        <v>91</v>
      </c>
      <c r="O245" s="134">
        <v>46060.0</v>
      </c>
      <c r="P245" s="138"/>
      <c r="Q245" s="137"/>
      <c r="R245" s="138"/>
      <c r="S245" s="131"/>
      <c r="T245" s="130"/>
      <c r="U245" s="130"/>
      <c r="V245" s="125" t="s">
        <v>1464</v>
      </c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5"/>
    </row>
    <row r="246">
      <c r="A246" s="88" t="s">
        <v>1465</v>
      </c>
      <c r="B246" s="10"/>
      <c r="C246" s="10" t="s">
        <v>34</v>
      </c>
      <c r="D246" s="124" t="s">
        <v>1466</v>
      </c>
      <c r="E246" s="9" t="s">
        <v>65</v>
      </c>
      <c r="F246" s="9" t="s">
        <v>52</v>
      </c>
      <c r="G246" s="12" t="s">
        <v>1467</v>
      </c>
      <c r="H246" s="13"/>
      <c r="I246" s="13"/>
      <c r="J246" s="9" t="s">
        <v>228</v>
      </c>
      <c r="K246" s="9" t="s">
        <v>122</v>
      </c>
      <c r="L246" s="9" t="s">
        <v>262</v>
      </c>
      <c r="M246" s="9" t="s">
        <v>124</v>
      </c>
      <c r="N246" s="9" t="s">
        <v>91</v>
      </c>
      <c r="O246" s="134">
        <v>46060.0</v>
      </c>
      <c r="P246" s="138"/>
      <c r="Q246" s="137"/>
      <c r="R246" s="138"/>
      <c r="S246" s="131"/>
      <c r="T246" s="130"/>
      <c r="U246" s="130"/>
      <c r="V246" s="125" t="s">
        <v>1468</v>
      </c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</row>
    <row r="247">
      <c r="A247" s="88" t="s">
        <v>1469</v>
      </c>
      <c r="B247" s="10"/>
      <c r="C247" s="10" t="s">
        <v>34</v>
      </c>
      <c r="D247" s="124" t="s">
        <v>303</v>
      </c>
      <c r="E247" s="9" t="s">
        <v>65</v>
      </c>
      <c r="F247" s="9" t="s">
        <v>86</v>
      </c>
      <c r="G247" s="12" t="s">
        <v>1470</v>
      </c>
      <c r="H247" s="13"/>
      <c r="I247" s="13"/>
      <c r="J247" s="9" t="s">
        <v>39</v>
      </c>
      <c r="K247" s="9" t="s">
        <v>835</v>
      </c>
      <c r="L247" s="9" t="s">
        <v>1471</v>
      </c>
      <c r="M247" s="138">
        <f>2348142441129</f>
        <v>2348142441129</v>
      </c>
      <c r="N247" s="9" t="s">
        <v>91</v>
      </c>
      <c r="O247" s="134">
        <v>46055.0</v>
      </c>
      <c r="P247" s="9" t="s">
        <v>1472</v>
      </c>
      <c r="Q247" s="137">
        <f>2347036020042</f>
        <v>2347036020042</v>
      </c>
      <c r="R247" s="134">
        <v>46060.0</v>
      </c>
      <c r="S247" s="131"/>
      <c r="T247" s="130"/>
      <c r="U247" s="130"/>
      <c r="V247" s="125" t="s">
        <v>1473</v>
      </c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</row>
    <row r="248">
      <c r="A248" s="88" t="s">
        <v>1474</v>
      </c>
      <c r="B248" s="10"/>
      <c r="C248" s="10" t="s">
        <v>34</v>
      </c>
      <c r="D248" s="124" t="s">
        <v>382</v>
      </c>
      <c r="E248" s="9" t="s">
        <v>1475</v>
      </c>
      <c r="F248" s="9" t="s">
        <v>52</v>
      </c>
      <c r="G248" s="12" t="s">
        <v>1476</v>
      </c>
      <c r="H248" s="13"/>
      <c r="I248" s="13"/>
      <c r="J248" s="9" t="s">
        <v>39</v>
      </c>
      <c r="K248" s="9" t="s">
        <v>592</v>
      </c>
      <c r="L248" s="9" t="s">
        <v>1477</v>
      </c>
      <c r="M248" s="9" t="s">
        <v>1478</v>
      </c>
      <c r="N248" s="9" t="s">
        <v>43</v>
      </c>
      <c r="O248" s="134">
        <v>46053.0</v>
      </c>
      <c r="P248" s="9" t="s">
        <v>1439</v>
      </c>
      <c r="Q248" s="137">
        <f>2348073229131</f>
        <v>2348073229131</v>
      </c>
      <c r="R248" s="134">
        <v>46060.0</v>
      </c>
      <c r="S248" s="131"/>
      <c r="T248" s="130"/>
      <c r="U248" s="130"/>
      <c r="V248" s="125" t="s">
        <v>1479</v>
      </c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</row>
    <row r="249">
      <c r="A249" s="88" t="s">
        <v>1480</v>
      </c>
      <c r="B249" s="10"/>
      <c r="C249" s="10" t="s">
        <v>34</v>
      </c>
      <c r="D249" s="124" t="s">
        <v>1481</v>
      </c>
      <c r="E249" s="9" t="s">
        <v>65</v>
      </c>
      <c r="F249" s="9" t="s">
        <v>52</v>
      </c>
      <c r="G249" s="12" t="s">
        <v>1482</v>
      </c>
      <c r="H249" s="13"/>
      <c r="I249" s="13"/>
      <c r="J249" s="9" t="s">
        <v>39</v>
      </c>
      <c r="K249" s="9" t="s">
        <v>924</v>
      </c>
      <c r="L249" s="9" t="s">
        <v>183</v>
      </c>
      <c r="M249" s="9" t="s">
        <v>42</v>
      </c>
      <c r="N249" s="9" t="s">
        <v>43</v>
      </c>
      <c r="O249" s="134">
        <v>46060.0</v>
      </c>
      <c r="P249" s="9" t="s">
        <v>1483</v>
      </c>
      <c r="Q249" s="137">
        <f>2348105838181</f>
        <v>2348105838181</v>
      </c>
      <c r="R249" s="134">
        <v>46074.0</v>
      </c>
      <c r="S249" s="131"/>
      <c r="T249" s="130"/>
      <c r="U249" s="130"/>
      <c r="V249" s="125" t="s">
        <v>1484</v>
      </c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</row>
    <row r="250">
      <c r="A250" s="88" t="s">
        <v>1485</v>
      </c>
      <c r="B250" s="10"/>
      <c r="C250" s="10" t="s">
        <v>34</v>
      </c>
      <c r="D250" s="124" t="s">
        <v>97</v>
      </c>
      <c r="E250" s="9" t="s">
        <v>98</v>
      </c>
      <c r="F250" s="9" t="s">
        <v>52</v>
      </c>
      <c r="G250" s="139"/>
      <c r="H250" s="140"/>
      <c r="I250" s="140"/>
      <c r="J250" s="9" t="s">
        <v>39</v>
      </c>
      <c r="K250" s="9" t="s">
        <v>1486</v>
      </c>
      <c r="L250" s="9" t="s">
        <v>1487</v>
      </c>
      <c r="M250" s="138">
        <f>2349032286178</f>
        <v>2349032286178</v>
      </c>
      <c r="N250" s="9" t="s">
        <v>91</v>
      </c>
      <c r="O250" s="138"/>
      <c r="P250" s="138"/>
      <c r="Q250" s="137"/>
      <c r="R250" s="138"/>
      <c r="S250" s="131"/>
      <c r="T250" s="130"/>
      <c r="U250" s="130"/>
      <c r="V250" s="125" t="s">
        <v>1488</v>
      </c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5"/>
    </row>
    <row r="251">
      <c r="A251" s="88" t="s">
        <v>1489</v>
      </c>
      <c r="B251" s="10"/>
      <c r="C251" s="10" t="s">
        <v>34</v>
      </c>
      <c r="D251" s="124" t="s">
        <v>406</v>
      </c>
      <c r="E251" s="9" t="s">
        <v>139</v>
      </c>
      <c r="F251" s="9" t="s">
        <v>86</v>
      </c>
      <c r="G251" s="139"/>
      <c r="H251" s="140"/>
      <c r="I251" s="140"/>
      <c r="J251" s="138"/>
      <c r="K251" s="138"/>
      <c r="L251" s="138"/>
      <c r="M251" s="138"/>
      <c r="N251" s="138"/>
      <c r="O251" s="134">
        <v>46071.0</v>
      </c>
      <c r="P251" s="138"/>
      <c r="Q251" s="137"/>
      <c r="R251" s="138"/>
      <c r="S251" s="131"/>
      <c r="T251" s="130"/>
      <c r="U251" s="130"/>
      <c r="V251" s="125" t="s">
        <v>1490</v>
      </c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5"/>
    </row>
    <row r="252">
      <c r="A252" s="88" t="s">
        <v>1491</v>
      </c>
      <c r="B252" s="10"/>
      <c r="C252" s="10" t="s">
        <v>34</v>
      </c>
      <c r="D252" s="124" t="s">
        <v>624</v>
      </c>
      <c r="E252" s="9" t="s">
        <v>370</v>
      </c>
      <c r="F252" s="9" t="s">
        <v>86</v>
      </c>
      <c r="G252" s="12" t="s">
        <v>1492</v>
      </c>
      <c r="H252" s="13"/>
      <c r="I252" s="13"/>
      <c r="J252" s="9" t="s">
        <v>39</v>
      </c>
      <c r="K252" s="9" t="s">
        <v>477</v>
      </c>
      <c r="L252" s="9" t="s">
        <v>1493</v>
      </c>
      <c r="M252" s="9" t="s">
        <v>1494</v>
      </c>
      <c r="N252" s="9" t="s">
        <v>91</v>
      </c>
      <c r="O252" s="134">
        <v>46062.0</v>
      </c>
      <c r="P252" s="9" t="s">
        <v>1495</v>
      </c>
      <c r="Q252" s="137">
        <f>2348142786890</f>
        <v>2348142786890</v>
      </c>
      <c r="R252" s="134">
        <v>46062.0</v>
      </c>
      <c r="S252" s="131"/>
      <c r="T252" s="130"/>
      <c r="U252" s="130"/>
      <c r="V252" s="125" t="s">
        <v>1496</v>
      </c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5"/>
    </row>
    <row r="253">
      <c r="A253" s="88" t="s">
        <v>1497</v>
      </c>
      <c r="B253" s="10"/>
      <c r="C253" s="10" t="s">
        <v>34</v>
      </c>
      <c r="D253" s="124" t="s">
        <v>303</v>
      </c>
      <c r="E253" s="9" t="s">
        <v>65</v>
      </c>
      <c r="F253" s="9" t="s">
        <v>86</v>
      </c>
      <c r="G253" s="12" t="s">
        <v>1498</v>
      </c>
      <c r="H253" s="13"/>
      <c r="I253" s="13"/>
      <c r="J253" s="9" t="s">
        <v>39</v>
      </c>
      <c r="K253" s="9" t="s">
        <v>477</v>
      </c>
      <c r="L253" s="9" t="s">
        <v>1499</v>
      </c>
      <c r="M253" s="9" t="s">
        <v>1500</v>
      </c>
      <c r="N253" s="9" t="s">
        <v>91</v>
      </c>
      <c r="O253" s="134">
        <v>46062.0</v>
      </c>
      <c r="P253" s="9" t="s">
        <v>1501</v>
      </c>
      <c r="Q253" s="135" t="s">
        <v>352</v>
      </c>
      <c r="R253" s="134">
        <v>46062.0</v>
      </c>
      <c r="S253" s="131"/>
      <c r="T253" s="130"/>
      <c r="U253" s="130"/>
      <c r="V253" s="125" t="s">
        <v>1502</v>
      </c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5"/>
    </row>
    <row r="254">
      <c r="A254" s="88" t="s">
        <v>1503</v>
      </c>
      <c r="B254" s="10"/>
      <c r="C254" s="10" t="s">
        <v>34</v>
      </c>
      <c r="D254" s="124" t="s">
        <v>108</v>
      </c>
      <c r="E254" s="9" t="s">
        <v>370</v>
      </c>
      <c r="F254" s="9" t="s">
        <v>52</v>
      </c>
      <c r="G254" s="12" t="s">
        <v>1504</v>
      </c>
      <c r="H254" s="13"/>
      <c r="I254" s="13"/>
      <c r="J254" s="9" t="s">
        <v>39</v>
      </c>
      <c r="K254" s="9" t="s">
        <v>326</v>
      </c>
      <c r="L254" s="9" t="s">
        <v>1505</v>
      </c>
      <c r="M254" s="138">
        <f>2348061986331</f>
        <v>2348061986331</v>
      </c>
      <c r="N254" s="9" t="s">
        <v>91</v>
      </c>
      <c r="O254" s="134">
        <v>46062.0</v>
      </c>
      <c r="P254" s="9" t="s">
        <v>1506</v>
      </c>
      <c r="Q254" s="138">
        <f>2348103367143</f>
        <v>2348103367143</v>
      </c>
      <c r="R254" s="134">
        <v>46064.0</v>
      </c>
      <c r="S254" s="132" t="s">
        <v>1507</v>
      </c>
      <c r="T254" s="130"/>
      <c r="U254" s="130"/>
      <c r="V254" s="125" t="s">
        <v>1508</v>
      </c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</row>
    <row r="255">
      <c r="A255" s="88" t="s">
        <v>1509</v>
      </c>
      <c r="B255" s="10"/>
      <c r="C255" s="10" t="s">
        <v>1510</v>
      </c>
      <c r="D255" s="159" t="s">
        <v>1511</v>
      </c>
      <c r="E255" s="9" t="s">
        <v>1512</v>
      </c>
      <c r="F255" s="9" t="s">
        <v>414</v>
      </c>
      <c r="G255" s="12" t="s">
        <v>1513</v>
      </c>
      <c r="H255" s="13"/>
      <c r="I255" s="13"/>
      <c r="J255" s="9" t="s">
        <v>228</v>
      </c>
      <c r="K255" s="9" t="s">
        <v>122</v>
      </c>
      <c r="L255" s="9" t="s">
        <v>1514</v>
      </c>
      <c r="M255" s="9" t="s">
        <v>1515</v>
      </c>
      <c r="N255" s="9" t="s">
        <v>91</v>
      </c>
      <c r="O255" s="134">
        <v>46033.0</v>
      </c>
      <c r="P255" s="9"/>
      <c r="Q255" s="135"/>
      <c r="R255" s="9"/>
      <c r="S255" s="131"/>
      <c r="T255" s="130"/>
      <c r="U255" s="130"/>
      <c r="V255" s="125" t="s">
        <v>1516</v>
      </c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</row>
    <row r="256">
      <c r="A256" s="88" t="s">
        <v>1517</v>
      </c>
      <c r="B256" s="10"/>
      <c r="C256" s="10" t="s">
        <v>34</v>
      </c>
      <c r="D256" s="124" t="s">
        <v>1518</v>
      </c>
      <c r="E256" s="9" t="s">
        <v>1519</v>
      </c>
      <c r="F256" s="9" t="s">
        <v>1520</v>
      </c>
      <c r="G256" s="12" t="s">
        <v>1521</v>
      </c>
      <c r="H256" s="13"/>
      <c r="I256" s="13"/>
      <c r="J256" s="9" t="s">
        <v>1522</v>
      </c>
      <c r="K256" s="9" t="s">
        <v>471</v>
      </c>
      <c r="L256" s="9" t="s">
        <v>844</v>
      </c>
      <c r="M256" s="9" t="s">
        <v>1523</v>
      </c>
      <c r="N256" s="9" t="s">
        <v>91</v>
      </c>
      <c r="O256" s="9" t="s">
        <v>1524</v>
      </c>
      <c r="P256" s="9" t="s">
        <v>1525</v>
      </c>
      <c r="Q256" s="135">
        <f>2349035711584</f>
        <v>2349035711584</v>
      </c>
      <c r="R256" s="164">
        <v>46099.0</v>
      </c>
      <c r="S256" s="132" t="s">
        <v>1526</v>
      </c>
      <c r="T256" s="125" t="s">
        <v>1527</v>
      </c>
      <c r="U256" s="125"/>
      <c r="V256" s="125" t="s">
        <v>1528</v>
      </c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</row>
    <row r="257">
      <c r="A257" s="88" t="s">
        <v>1529</v>
      </c>
      <c r="B257" s="10"/>
      <c r="C257" s="10" t="s">
        <v>34</v>
      </c>
      <c r="D257" s="124" t="s">
        <v>1236</v>
      </c>
      <c r="E257" s="9" t="s">
        <v>139</v>
      </c>
      <c r="F257" s="9" t="s">
        <v>1530</v>
      </c>
      <c r="G257" s="12" t="s">
        <v>1531</v>
      </c>
      <c r="H257" s="13"/>
      <c r="I257" s="13"/>
      <c r="J257" s="9" t="s">
        <v>201</v>
      </c>
      <c r="K257" s="9" t="s">
        <v>122</v>
      </c>
      <c r="L257" s="9" t="s">
        <v>1532</v>
      </c>
      <c r="M257" s="9" t="s">
        <v>1533</v>
      </c>
      <c r="N257" s="9" t="s">
        <v>91</v>
      </c>
      <c r="O257" s="134">
        <v>46064.0</v>
      </c>
      <c r="P257" s="9" t="s">
        <v>1534</v>
      </c>
      <c r="Q257" s="135" t="s">
        <v>1535</v>
      </c>
      <c r="R257" s="134">
        <v>46072.0</v>
      </c>
      <c r="S257" s="132" t="s">
        <v>1536</v>
      </c>
      <c r="T257" s="130"/>
      <c r="U257" s="130"/>
      <c r="V257" s="125" t="s">
        <v>1537</v>
      </c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</row>
    <row r="258">
      <c r="A258" s="88" t="s">
        <v>1538</v>
      </c>
      <c r="B258" s="10"/>
      <c r="C258" s="10" t="s">
        <v>34</v>
      </c>
      <c r="D258" s="152" t="s">
        <v>1539</v>
      </c>
      <c r="E258" s="9" t="s">
        <v>370</v>
      </c>
      <c r="F258" s="9" t="s">
        <v>122</v>
      </c>
      <c r="G258" s="12" t="s">
        <v>1540</v>
      </c>
      <c r="H258" s="13"/>
      <c r="I258" s="13"/>
      <c r="J258" s="9" t="s">
        <v>1541</v>
      </c>
      <c r="K258" s="138"/>
      <c r="L258" s="9" t="s">
        <v>520</v>
      </c>
      <c r="M258" s="138">
        <f>2349060695934</f>
        <v>2349060695934</v>
      </c>
      <c r="N258" s="9" t="s">
        <v>122</v>
      </c>
      <c r="O258" s="134">
        <v>45994.0</v>
      </c>
      <c r="P258" s="138"/>
      <c r="Q258" s="138"/>
      <c r="R258" s="138"/>
      <c r="S258" s="131"/>
      <c r="T258" s="130"/>
      <c r="U258" s="130"/>
      <c r="V258" s="125" t="s">
        <v>1542</v>
      </c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</row>
    <row r="259">
      <c r="A259" s="88" t="s">
        <v>1543</v>
      </c>
      <c r="B259" s="10"/>
      <c r="C259" s="10" t="s">
        <v>34</v>
      </c>
      <c r="D259" s="124" t="s">
        <v>1010</v>
      </c>
      <c r="E259" s="9" t="s">
        <v>65</v>
      </c>
      <c r="F259" s="9" t="s">
        <v>1544</v>
      </c>
      <c r="G259" s="12" t="s">
        <v>1545</v>
      </c>
      <c r="H259" s="13"/>
      <c r="I259" s="13"/>
      <c r="J259" s="9" t="s">
        <v>228</v>
      </c>
      <c r="K259" s="9" t="s">
        <v>122</v>
      </c>
      <c r="L259" s="9" t="s">
        <v>1546</v>
      </c>
      <c r="M259" s="9" t="s">
        <v>1478</v>
      </c>
      <c r="N259" s="146" t="s">
        <v>91</v>
      </c>
      <c r="O259" s="134">
        <v>46060.0</v>
      </c>
      <c r="P259" s="9" t="s">
        <v>1547</v>
      </c>
      <c r="Q259" s="9" t="s">
        <v>1548</v>
      </c>
      <c r="R259" s="134">
        <v>46069.0</v>
      </c>
      <c r="S259" s="132" t="s">
        <v>1549</v>
      </c>
      <c r="T259" s="130"/>
      <c r="U259" s="130"/>
      <c r="V259" s="125" t="s">
        <v>1550</v>
      </c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</row>
    <row r="260">
      <c r="A260" s="88" t="s">
        <v>1551</v>
      </c>
      <c r="B260" s="10"/>
      <c r="C260" s="10" t="s">
        <v>34</v>
      </c>
      <c r="D260" s="124" t="s">
        <v>1466</v>
      </c>
      <c r="E260" s="9" t="s">
        <v>65</v>
      </c>
      <c r="F260" s="9" t="s">
        <v>52</v>
      </c>
      <c r="G260" s="12" t="s">
        <v>1552</v>
      </c>
      <c r="H260" s="13"/>
      <c r="I260" s="13"/>
      <c r="J260" s="9" t="s">
        <v>228</v>
      </c>
      <c r="K260" s="9" t="s">
        <v>122</v>
      </c>
      <c r="L260" s="9" t="s">
        <v>1553</v>
      </c>
      <c r="M260" s="9" t="s">
        <v>1554</v>
      </c>
      <c r="N260" s="9" t="s">
        <v>91</v>
      </c>
      <c r="O260" s="134">
        <v>46064.0</v>
      </c>
      <c r="P260" s="9" t="s">
        <v>1555</v>
      </c>
      <c r="Q260" s="9" t="s">
        <v>1556</v>
      </c>
      <c r="R260" s="134">
        <v>46064.0</v>
      </c>
      <c r="S260" s="132" t="s">
        <v>1557</v>
      </c>
      <c r="T260" s="130"/>
      <c r="U260" s="130"/>
      <c r="V260" s="125" t="s">
        <v>1558</v>
      </c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</row>
    <row r="261">
      <c r="A261" s="88" t="s">
        <v>1559</v>
      </c>
      <c r="B261" s="10"/>
      <c r="C261" s="10" t="s">
        <v>34</v>
      </c>
      <c r="D261" s="124" t="s">
        <v>348</v>
      </c>
      <c r="E261" s="9" t="s">
        <v>169</v>
      </c>
      <c r="F261" s="9" t="s">
        <v>52</v>
      </c>
      <c r="G261" s="165" t="s">
        <v>349</v>
      </c>
      <c r="H261" s="13"/>
      <c r="I261" s="13"/>
      <c r="J261" s="9" t="s">
        <v>39</v>
      </c>
      <c r="K261" s="9" t="s">
        <v>835</v>
      </c>
      <c r="L261" s="9" t="s">
        <v>1560</v>
      </c>
      <c r="M261" s="9" t="s">
        <v>352</v>
      </c>
      <c r="N261" s="9" t="s">
        <v>43</v>
      </c>
      <c r="O261" s="134">
        <v>46069.0</v>
      </c>
      <c r="P261" s="9" t="s">
        <v>1561</v>
      </c>
      <c r="Q261" s="138">
        <v>2348073229131</v>
      </c>
      <c r="R261" s="9" t="s">
        <v>1562</v>
      </c>
      <c r="S261" s="131"/>
      <c r="T261" s="130"/>
      <c r="U261" s="130"/>
      <c r="V261" s="125" t="s">
        <v>1563</v>
      </c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</row>
    <row r="262">
      <c r="A262" s="88" t="s">
        <v>1564</v>
      </c>
      <c r="B262" s="10"/>
      <c r="C262" s="10" t="s">
        <v>34</v>
      </c>
      <c r="D262" s="124" t="s">
        <v>1409</v>
      </c>
      <c r="E262" s="9" t="s">
        <v>65</v>
      </c>
      <c r="F262" s="9" t="s">
        <v>1565</v>
      </c>
      <c r="G262" s="12" t="s">
        <v>1566</v>
      </c>
      <c r="H262" s="13"/>
      <c r="I262" s="13"/>
      <c r="J262" s="9" t="s">
        <v>39</v>
      </c>
      <c r="K262" s="9" t="s">
        <v>477</v>
      </c>
      <c r="L262" s="9" t="s">
        <v>1560</v>
      </c>
      <c r="M262" s="9" t="s">
        <v>352</v>
      </c>
      <c r="N262" s="9" t="s">
        <v>91</v>
      </c>
      <c r="O262" s="134">
        <v>46068.0</v>
      </c>
      <c r="P262" s="138"/>
      <c r="Q262" s="138"/>
      <c r="R262" s="138"/>
      <c r="S262" s="131"/>
      <c r="T262" s="130"/>
      <c r="U262" s="130"/>
      <c r="V262" s="125" t="s">
        <v>1567</v>
      </c>
      <c r="W262" s="125"/>
      <c r="X262" s="125"/>
      <c r="Y262" s="125"/>
      <c r="Z262" s="125"/>
      <c r="AA262" s="125"/>
      <c r="AB262" s="125"/>
      <c r="AC262" s="125"/>
      <c r="AD262" s="125"/>
      <c r="AE262" s="125"/>
      <c r="AF262" s="125"/>
    </row>
    <row r="263">
      <c r="A263" s="88" t="s">
        <v>1568</v>
      </c>
      <c r="B263" s="10"/>
      <c r="C263" s="10" t="s">
        <v>34</v>
      </c>
      <c r="D263" s="124" t="s">
        <v>1287</v>
      </c>
      <c r="E263" s="9" t="s">
        <v>65</v>
      </c>
      <c r="F263" s="9" t="s">
        <v>414</v>
      </c>
      <c r="G263" s="139"/>
      <c r="H263" s="140"/>
      <c r="I263" s="140"/>
      <c r="J263" s="138"/>
      <c r="K263" s="138"/>
      <c r="L263" s="138"/>
      <c r="M263" s="138"/>
      <c r="N263" s="138"/>
      <c r="O263" s="138"/>
      <c r="P263" s="138"/>
      <c r="Q263" s="138"/>
      <c r="R263" s="138"/>
      <c r="S263" s="131"/>
      <c r="T263" s="130"/>
      <c r="U263" s="130"/>
      <c r="V263" s="125" t="s">
        <v>1569</v>
      </c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</row>
    <row r="264">
      <c r="A264" s="88" t="s">
        <v>1570</v>
      </c>
      <c r="B264" s="10"/>
      <c r="C264" s="10" t="s">
        <v>34</v>
      </c>
      <c r="D264" s="124" t="s">
        <v>382</v>
      </c>
      <c r="E264" s="9" t="s">
        <v>85</v>
      </c>
      <c r="F264" s="9" t="s">
        <v>52</v>
      </c>
      <c r="G264" s="12" t="s">
        <v>1571</v>
      </c>
      <c r="H264" s="13"/>
      <c r="I264" s="13"/>
      <c r="J264" s="9" t="s">
        <v>39</v>
      </c>
      <c r="K264" s="9" t="s">
        <v>854</v>
      </c>
      <c r="L264" s="9" t="s">
        <v>1505</v>
      </c>
      <c r="M264" s="138">
        <f>2348061986331</f>
        <v>2348061986331</v>
      </c>
      <c r="N264" s="9" t="s">
        <v>91</v>
      </c>
      <c r="O264" s="134">
        <v>46070.0</v>
      </c>
      <c r="P264" s="9" t="s">
        <v>1572</v>
      </c>
      <c r="Q264" s="9" t="s">
        <v>1045</v>
      </c>
      <c r="R264" s="134">
        <v>46079.0</v>
      </c>
      <c r="S264" s="132" t="s">
        <v>1573</v>
      </c>
      <c r="T264" s="130"/>
      <c r="U264" s="130"/>
      <c r="V264" s="125" t="s">
        <v>1574</v>
      </c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</row>
    <row r="265">
      <c r="A265" s="88" t="s">
        <v>1575</v>
      </c>
      <c r="B265" s="10"/>
      <c r="C265" s="10" t="s">
        <v>34</v>
      </c>
      <c r="D265" s="124" t="s">
        <v>1576</v>
      </c>
      <c r="E265" s="9" t="s">
        <v>129</v>
      </c>
      <c r="F265" s="9" t="s">
        <v>414</v>
      </c>
      <c r="G265" s="12" t="s">
        <v>1577</v>
      </c>
      <c r="H265" s="13"/>
      <c r="I265" s="13"/>
      <c r="J265" s="9" t="s">
        <v>39</v>
      </c>
      <c r="K265" s="9" t="s">
        <v>1578</v>
      </c>
      <c r="L265" s="9" t="s">
        <v>1579</v>
      </c>
      <c r="M265" s="9" t="s">
        <v>1580</v>
      </c>
      <c r="N265" s="9" t="s">
        <v>91</v>
      </c>
      <c r="O265" s="134">
        <v>46070.0</v>
      </c>
      <c r="P265" s="9" t="s">
        <v>211</v>
      </c>
      <c r="Q265" s="9" t="s">
        <v>1581</v>
      </c>
      <c r="R265" s="134">
        <v>46070.0</v>
      </c>
      <c r="S265" s="131"/>
      <c r="T265" s="130"/>
      <c r="U265" s="130"/>
      <c r="V265" s="125" t="s">
        <v>1582</v>
      </c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</row>
    <row r="266">
      <c r="A266" s="88" t="s">
        <v>1583</v>
      </c>
      <c r="B266" s="10"/>
      <c r="C266" s="10" t="s">
        <v>34</v>
      </c>
      <c r="D266" s="124" t="s">
        <v>35</v>
      </c>
      <c r="E266" s="9" t="s">
        <v>1112</v>
      </c>
      <c r="F266" s="9" t="s">
        <v>37</v>
      </c>
      <c r="G266" s="12" t="s">
        <v>1584</v>
      </c>
      <c r="H266" s="13"/>
      <c r="I266" s="13"/>
      <c r="J266" s="9" t="s">
        <v>39</v>
      </c>
      <c r="K266" s="9" t="s">
        <v>326</v>
      </c>
      <c r="L266" s="9" t="s">
        <v>520</v>
      </c>
      <c r="M266" s="138">
        <f>2349060695934</f>
        <v>2349060695934</v>
      </c>
      <c r="N266" s="9" t="s">
        <v>43</v>
      </c>
      <c r="O266" s="134">
        <v>46071.0</v>
      </c>
      <c r="P266" s="9" t="s">
        <v>1585</v>
      </c>
      <c r="Q266" s="138">
        <f>2348131941406</f>
        <v>2348131941406</v>
      </c>
      <c r="R266" s="134">
        <v>46080.0</v>
      </c>
      <c r="S266" s="131"/>
      <c r="T266" s="130"/>
      <c r="U266" s="130"/>
      <c r="V266" s="125" t="s">
        <v>1586</v>
      </c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</row>
    <row r="267">
      <c r="A267" s="88" t="s">
        <v>1587</v>
      </c>
      <c r="B267" s="10"/>
      <c r="C267" s="10" t="s">
        <v>34</v>
      </c>
      <c r="D267" s="124" t="s">
        <v>1287</v>
      </c>
      <c r="E267" s="9" t="s">
        <v>188</v>
      </c>
      <c r="F267" s="9" t="s">
        <v>52</v>
      </c>
      <c r="G267" s="12" t="s">
        <v>1588</v>
      </c>
      <c r="H267" s="13"/>
      <c r="I267" s="13"/>
      <c r="J267" s="9" t="s">
        <v>39</v>
      </c>
      <c r="K267" s="9" t="s">
        <v>789</v>
      </c>
      <c r="L267" s="9" t="s">
        <v>1589</v>
      </c>
      <c r="M267" s="138">
        <f>2348103367143</f>
        <v>2348103367143</v>
      </c>
      <c r="N267" s="9" t="s">
        <v>91</v>
      </c>
      <c r="O267" s="134">
        <v>46063.0</v>
      </c>
      <c r="P267" s="9" t="s">
        <v>858</v>
      </c>
      <c r="Q267" s="138">
        <f>2349032711183</f>
        <v>2349032711183</v>
      </c>
      <c r="R267" s="166">
        <v>46120.0</v>
      </c>
      <c r="S267" s="131"/>
      <c r="T267" s="130"/>
      <c r="U267" s="130"/>
      <c r="V267" s="125" t="s">
        <v>1590</v>
      </c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</row>
    <row r="268">
      <c r="A268" s="88" t="s">
        <v>1591</v>
      </c>
      <c r="B268" s="10"/>
      <c r="C268" s="10" t="s">
        <v>34</v>
      </c>
      <c r="D268" s="124" t="s">
        <v>187</v>
      </c>
      <c r="E268" s="9" t="s">
        <v>370</v>
      </c>
      <c r="F268" s="9" t="s">
        <v>52</v>
      </c>
      <c r="G268" s="12" t="s">
        <v>1592</v>
      </c>
      <c r="H268" s="13"/>
      <c r="I268" s="13"/>
      <c r="J268" s="9" t="s">
        <v>39</v>
      </c>
      <c r="K268" s="9" t="s">
        <v>663</v>
      </c>
      <c r="L268" s="9" t="s">
        <v>262</v>
      </c>
      <c r="M268" s="9" t="s">
        <v>124</v>
      </c>
      <c r="N268" s="9" t="s">
        <v>91</v>
      </c>
      <c r="O268" s="134">
        <v>46072.0</v>
      </c>
      <c r="P268" s="9" t="s">
        <v>1593</v>
      </c>
      <c r="Q268" s="9" t="s">
        <v>1594</v>
      </c>
      <c r="R268" s="134">
        <v>46072.0</v>
      </c>
      <c r="S268" s="131"/>
      <c r="T268" s="130"/>
      <c r="U268" s="130"/>
      <c r="V268" s="125" t="s">
        <v>1595</v>
      </c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</row>
    <row r="269">
      <c r="A269" s="88" t="s">
        <v>1596</v>
      </c>
      <c r="B269" s="10"/>
      <c r="C269" s="10" t="s">
        <v>34</v>
      </c>
      <c r="D269" s="124" t="s">
        <v>382</v>
      </c>
      <c r="E269" s="9" t="s">
        <v>169</v>
      </c>
      <c r="F269" s="9" t="s">
        <v>52</v>
      </c>
      <c r="G269" s="12" t="s">
        <v>1597</v>
      </c>
      <c r="H269" s="13"/>
      <c r="I269" s="13"/>
      <c r="J269" s="9" t="s">
        <v>39</v>
      </c>
      <c r="K269" s="9" t="s">
        <v>358</v>
      </c>
      <c r="L269" s="9" t="s">
        <v>262</v>
      </c>
      <c r="M269" s="9" t="s">
        <v>124</v>
      </c>
      <c r="N269" s="9" t="s">
        <v>91</v>
      </c>
      <c r="O269" s="134">
        <v>46072.0</v>
      </c>
      <c r="P269" s="9" t="s">
        <v>1598</v>
      </c>
      <c r="Q269" s="9" t="s">
        <v>1599</v>
      </c>
      <c r="R269" s="134">
        <v>46072.0</v>
      </c>
      <c r="S269" s="132" t="s">
        <v>1600</v>
      </c>
      <c r="T269" s="130"/>
      <c r="U269" s="130"/>
      <c r="V269" s="125" t="s">
        <v>1601</v>
      </c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</row>
    <row r="270">
      <c r="A270" s="88" t="s">
        <v>1602</v>
      </c>
      <c r="B270" s="10"/>
      <c r="C270" s="10" t="s">
        <v>34</v>
      </c>
      <c r="D270" s="124" t="s">
        <v>1603</v>
      </c>
      <c r="E270" s="9" t="s">
        <v>36</v>
      </c>
      <c r="F270" s="9" t="s">
        <v>414</v>
      </c>
      <c r="G270" s="12" t="s">
        <v>1307</v>
      </c>
      <c r="H270" s="13"/>
      <c r="I270" s="13"/>
      <c r="J270" s="9" t="s">
        <v>39</v>
      </c>
      <c r="K270" s="9" t="s">
        <v>1604</v>
      </c>
      <c r="L270" s="9" t="s">
        <v>1605</v>
      </c>
      <c r="M270" s="9" t="s">
        <v>1606</v>
      </c>
      <c r="N270" s="9" t="s">
        <v>91</v>
      </c>
      <c r="O270" s="134">
        <v>46073.0</v>
      </c>
      <c r="P270" s="9" t="s">
        <v>1607</v>
      </c>
      <c r="Q270" s="9" t="s">
        <v>1608</v>
      </c>
      <c r="R270" s="134">
        <v>46091.0</v>
      </c>
      <c r="S270" s="131"/>
      <c r="T270" s="130"/>
      <c r="U270" s="130"/>
      <c r="V270" s="125" t="s">
        <v>1609</v>
      </c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</row>
    <row r="271">
      <c r="A271" s="88" t="s">
        <v>1610</v>
      </c>
      <c r="B271" s="10"/>
      <c r="C271" s="10" t="s">
        <v>34</v>
      </c>
      <c r="D271" s="124" t="s">
        <v>1611</v>
      </c>
      <c r="E271" s="9" t="s">
        <v>51</v>
      </c>
      <c r="F271" s="9" t="s">
        <v>86</v>
      </c>
      <c r="G271" s="12" t="s">
        <v>1612</v>
      </c>
      <c r="H271" s="13"/>
      <c r="I271" s="13"/>
      <c r="J271" s="9" t="s">
        <v>39</v>
      </c>
      <c r="K271" s="9" t="s">
        <v>1486</v>
      </c>
      <c r="L271" s="9" t="s">
        <v>1598</v>
      </c>
      <c r="M271" s="9" t="s">
        <v>1599</v>
      </c>
      <c r="N271" s="9" t="s">
        <v>91</v>
      </c>
      <c r="O271" s="134">
        <v>46073.0</v>
      </c>
      <c r="P271" s="9" t="s">
        <v>612</v>
      </c>
      <c r="Q271" s="9" t="s">
        <v>606</v>
      </c>
      <c r="R271" s="134">
        <v>46086.0</v>
      </c>
      <c r="S271" s="131"/>
      <c r="T271" s="130"/>
      <c r="U271" s="130"/>
      <c r="V271" s="125" t="s">
        <v>1613</v>
      </c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5"/>
    </row>
    <row r="272">
      <c r="A272" s="88" t="s">
        <v>1614</v>
      </c>
      <c r="B272" s="10"/>
      <c r="C272" s="10" t="s">
        <v>34</v>
      </c>
      <c r="D272" s="124" t="s">
        <v>462</v>
      </c>
      <c r="E272" s="9" t="s">
        <v>188</v>
      </c>
      <c r="F272" s="9" t="s">
        <v>52</v>
      </c>
      <c r="G272" s="12" t="s">
        <v>1615</v>
      </c>
      <c r="H272" s="13"/>
      <c r="I272" s="13"/>
      <c r="J272" s="9" t="s">
        <v>39</v>
      </c>
      <c r="K272" s="9" t="s">
        <v>663</v>
      </c>
      <c r="L272" s="9" t="s">
        <v>1144</v>
      </c>
      <c r="M272" s="9" t="s">
        <v>1429</v>
      </c>
      <c r="N272" s="9" t="s">
        <v>91</v>
      </c>
      <c r="O272" s="134">
        <v>46076.0</v>
      </c>
      <c r="P272" s="9" t="s">
        <v>1616</v>
      </c>
      <c r="Q272" s="9" t="s">
        <v>1617</v>
      </c>
      <c r="R272" s="164">
        <v>46080.0</v>
      </c>
      <c r="S272" s="131"/>
      <c r="T272" s="130"/>
      <c r="U272" s="130"/>
      <c r="V272" s="125" t="s">
        <v>1618</v>
      </c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</row>
    <row r="273">
      <c r="A273" s="88" t="s">
        <v>1619</v>
      </c>
      <c r="B273" s="10"/>
      <c r="C273" s="10" t="s">
        <v>34</v>
      </c>
      <c r="D273" s="124" t="s">
        <v>1066</v>
      </c>
      <c r="E273" s="9" t="s">
        <v>65</v>
      </c>
      <c r="F273" s="9" t="s">
        <v>86</v>
      </c>
      <c r="G273" s="12" t="s">
        <v>1620</v>
      </c>
      <c r="H273" s="13"/>
      <c r="I273" s="13"/>
      <c r="J273" s="9" t="s">
        <v>39</v>
      </c>
      <c r="K273" s="9" t="s">
        <v>358</v>
      </c>
      <c r="L273" s="9" t="s">
        <v>262</v>
      </c>
      <c r="M273" s="9" t="s">
        <v>124</v>
      </c>
      <c r="N273" s="9" t="s">
        <v>91</v>
      </c>
      <c r="O273" s="134">
        <v>46076.0</v>
      </c>
      <c r="P273" s="121" t="s">
        <v>1621</v>
      </c>
      <c r="Q273" s="167" t="s">
        <v>1622</v>
      </c>
      <c r="R273" s="168"/>
      <c r="S273" s="168"/>
      <c r="T273" s="130"/>
      <c r="U273" s="130"/>
      <c r="V273" s="125" t="s">
        <v>1623</v>
      </c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</row>
    <row r="274">
      <c r="A274" s="88" t="s">
        <v>1624</v>
      </c>
      <c r="B274" s="10"/>
      <c r="C274" s="10" t="s">
        <v>34</v>
      </c>
      <c r="D274" s="124" t="s">
        <v>1625</v>
      </c>
      <c r="E274" s="9" t="s">
        <v>65</v>
      </c>
      <c r="F274" s="9" t="s">
        <v>86</v>
      </c>
      <c r="G274" s="12" t="s">
        <v>1626</v>
      </c>
      <c r="H274" s="13"/>
      <c r="I274" s="13"/>
      <c r="J274" s="9" t="s">
        <v>39</v>
      </c>
      <c r="K274" s="9" t="s">
        <v>1627</v>
      </c>
      <c r="L274" s="9" t="s">
        <v>1628</v>
      </c>
      <c r="M274" s="138">
        <f>2349064968596</f>
        <v>2349064968596</v>
      </c>
      <c r="N274" s="9" t="s">
        <v>91</v>
      </c>
      <c r="O274" s="134">
        <v>46076.0</v>
      </c>
      <c r="P274" s="9" t="s">
        <v>1629</v>
      </c>
      <c r="Q274" s="9" t="s">
        <v>1630</v>
      </c>
      <c r="R274" s="134">
        <v>46076.0</v>
      </c>
      <c r="S274" s="131"/>
      <c r="T274" s="130"/>
      <c r="U274" s="130"/>
      <c r="V274" s="125" t="s">
        <v>1631</v>
      </c>
      <c r="W274" s="125"/>
      <c r="X274" s="125"/>
      <c r="Y274" s="125"/>
      <c r="Z274" s="125"/>
      <c r="AA274" s="125"/>
      <c r="AB274" s="125"/>
      <c r="AC274" s="125"/>
      <c r="AD274" s="125"/>
      <c r="AE274" s="125"/>
      <c r="AF274" s="125"/>
    </row>
    <row r="275">
      <c r="A275" s="88" t="s">
        <v>1632</v>
      </c>
      <c r="B275" s="10"/>
      <c r="C275" s="10" t="s">
        <v>34</v>
      </c>
      <c r="D275" s="124" t="s">
        <v>1066</v>
      </c>
      <c r="E275" s="9" t="s">
        <v>1142</v>
      </c>
      <c r="F275" s="9" t="s">
        <v>86</v>
      </c>
      <c r="G275" s="12" t="s">
        <v>1633</v>
      </c>
      <c r="H275" s="13"/>
      <c r="I275" s="13"/>
      <c r="J275" s="9" t="s">
        <v>39</v>
      </c>
      <c r="K275" s="9" t="s">
        <v>358</v>
      </c>
      <c r="L275" s="9" t="s">
        <v>1634</v>
      </c>
      <c r="M275" s="9" t="s">
        <v>1635</v>
      </c>
      <c r="N275" s="9" t="s">
        <v>91</v>
      </c>
      <c r="O275" s="134">
        <v>46076.0</v>
      </c>
      <c r="P275" s="138"/>
      <c r="Q275" s="138"/>
      <c r="R275" s="138"/>
      <c r="S275" s="131"/>
      <c r="T275" s="130"/>
      <c r="U275" s="130"/>
      <c r="V275" s="125" t="s">
        <v>1636</v>
      </c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5"/>
    </row>
    <row r="276">
      <c r="A276" s="88" t="s">
        <v>1637</v>
      </c>
      <c r="B276" s="10"/>
      <c r="C276" s="10" t="s">
        <v>34</v>
      </c>
      <c r="D276" s="169" t="s">
        <v>1066</v>
      </c>
      <c r="E276" s="169" t="s">
        <v>1142</v>
      </c>
      <c r="F276" s="169" t="s">
        <v>1638</v>
      </c>
      <c r="G276" s="169" t="s">
        <v>1639</v>
      </c>
      <c r="H276" s="170"/>
      <c r="I276" s="170"/>
      <c r="J276" s="169" t="s">
        <v>39</v>
      </c>
      <c r="K276" s="169" t="s">
        <v>1640</v>
      </c>
      <c r="L276" s="171" t="s">
        <v>262</v>
      </c>
      <c r="M276" s="169" t="s">
        <v>124</v>
      </c>
      <c r="N276" s="169" t="s">
        <v>91</v>
      </c>
      <c r="O276" s="172">
        <v>46076.0</v>
      </c>
      <c r="P276" s="173"/>
      <c r="Q276" s="173"/>
      <c r="R276" s="173"/>
      <c r="S276" s="174"/>
      <c r="T276" s="130"/>
      <c r="U276" s="130"/>
      <c r="V276" s="125" t="s">
        <v>1641</v>
      </c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25"/>
    </row>
    <row r="277">
      <c r="A277" s="88" t="s">
        <v>1642</v>
      </c>
      <c r="B277" s="10"/>
      <c r="C277" s="10" t="s">
        <v>34</v>
      </c>
      <c r="D277" s="124" t="s">
        <v>1066</v>
      </c>
      <c r="E277" s="9" t="s">
        <v>65</v>
      </c>
      <c r="F277" s="9" t="s">
        <v>86</v>
      </c>
      <c r="G277" s="12" t="s">
        <v>1643</v>
      </c>
      <c r="H277" s="13"/>
      <c r="I277" s="13"/>
      <c r="J277" s="9" t="s">
        <v>39</v>
      </c>
      <c r="K277" s="9" t="s">
        <v>789</v>
      </c>
      <c r="L277" s="9" t="s">
        <v>262</v>
      </c>
      <c r="M277" s="9" t="s">
        <v>124</v>
      </c>
      <c r="N277" s="9" t="s">
        <v>91</v>
      </c>
      <c r="O277" s="134">
        <v>46076.0</v>
      </c>
      <c r="P277" s="9" t="s">
        <v>1644</v>
      </c>
      <c r="Q277" s="9" t="s">
        <v>1645</v>
      </c>
      <c r="R277" s="134">
        <v>46090.0</v>
      </c>
      <c r="S277" s="131"/>
      <c r="T277" s="130"/>
      <c r="U277" s="130"/>
      <c r="V277" s="125" t="s">
        <v>1646</v>
      </c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</row>
    <row r="278">
      <c r="A278" s="88" t="s">
        <v>1647</v>
      </c>
      <c r="B278" s="10"/>
      <c r="C278" s="10" t="s">
        <v>34</v>
      </c>
      <c r="D278" s="124" t="s">
        <v>1648</v>
      </c>
      <c r="E278" s="9" t="s">
        <v>1270</v>
      </c>
      <c r="F278" s="9" t="s">
        <v>52</v>
      </c>
      <c r="G278" s="12" t="s">
        <v>1649</v>
      </c>
      <c r="H278" s="13"/>
      <c r="I278" s="13"/>
      <c r="J278" s="9" t="s">
        <v>39</v>
      </c>
      <c r="K278" s="9" t="s">
        <v>358</v>
      </c>
      <c r="L278" s="9" t="s">
        <v>1650</v>
      </c>
      <c r="M278" s="138">
        <f>2347040636887</f>
        <v>2347040636887</v>
      </c>
      <c r="N278" s="9" t="s">
        <v>91</v>
      </c>
      <c r="O278" s="134">
        <v>46077.0</v>
      </c>
      <c r="P278" s="138"/>
      <c r="Q278" s="138"/>
      <c r="R278" s="9" t="s">
        <v>1651</v>
      </c>
      <c r="S278" s="131"/>
      <c r="T278" s="130"/>
      <c r="U278" s="130"/>
      <c r="V278" s="125" t="s">
        <v>1652</v>
      </c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</row>
    <row r="279">
      <c r="A279" s="88" t="s">
        <v>1653</v>
      </c>
      <c r="B279" s="10"/>
      <c r="C279" s="10" t="s">
        <v>34</v>
      </c>
      <c r="D279" s="124" t="s">
        <v>406</v>
      </c>
      <c r="E279" s="9" t="s">
        <v>1116</v>
      </c>
      <c r="F279" s="9" t="s">
        <v>86</v>
      </c>
      <c r="G279" s="12" t="s">
        <v>1654</v>
      </c>
      <c r="H279" s="13"/>
      <c r="I279" s="13"/>
      <c r="J279" s="9" t="s">
        <v>39</v>
      </c>
      <c r="K279" s="9" t="s">
        <v>625</v>
      </c>
      <c r="L279" s="9" t="s">
        <v>1655</v>
      </c>
      <c r="M279" s="9" t="s">
        <v>1656</v>
      </c>
      <c r="N279" s="9" t="s">
        <v>91</v>
      </c>
      <c r="O279" s="134">
        <v>46077.0</v>
      </c>
      <c r="P279" s="9" t="s">
        <v>1657</v>
      </c>
      <c r="Q279" s="9" t="s">
        <v>1449</v>
      </c>
      <c r="R279" s="134">
        <v>46081.0</v>
      </c>
      <c r="S279" s="132" t="s">
        <v>1658</v>
      </c>
      <c r="T279" s="130"/>
      <c r="U279" s="130"/>
      <c r="V279" s="125" t="s">
        <v>1659</v>
      </c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/>
    </row>
    <row r="280">
      <c r="A280" s="88" t="s">
        <v>1660</v>
      </c>
      <c r="B280" s="10"/>
      <c r="C280" s="10" t="s">
        <v>34</v>
      </c>
      <c r="D280" s="159" t="s">
        <v>1102</v>
      </c>
      <c r="E280" s="9" t="s">
        <v>1112</v>
      </c>
      <c r="F280" s="9" t="s">
        <v>414</v>
      </c>
      <c r="G280" s="12" t="s">
        <v>604</v>
      </c>
      <c r="H280" s="13"/>
      <c r="I280" s="13"/>
      <c r="J280" s="9" t="s">
        <v>39</v>
      </c>
      <c r="K280" s="9" t="s">
        <v>436</v>
      </c>
      <c r="L280" s="9" t="s">
        <v>1661</v>
      </c>
      <c r="M280" s="138">
        <f>2347069024243</f>
        <v>2347069024243</v>
      </c>
      <c r="N280" s="9" t="s">
        <v>91</v>
      </c>
      <c r="O280" s="134">
        <v>46077.0</v>
      </c>
      <c r="P280" s="9" t="s">
        <v>1662</v>
      </c>
      <c r="Q280" s="9" t="s">
        <v>1663</v>
      </c>
      <c r="R280" s="134">
        <v>46081.0</v>
      </c>
      <c r="S280" s="131"/>
      <c r="T280" s="130"/>
      <c r="U280" s="130"/>
      <c r="V280" s="125" t="s">
        <v>1664</v>
      </c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</row>
    <row r="281">
      <c r="A281" s="88" t="s">
        <v>1665</v>
      </c>
      <c r="B281" s="10"/>
      <c r="C281" s="10" t="s">
        <v>34</v>
      </c>
      <c r="D281" s="152" t="s">
        <v>1666</v>
      </c>
      <c r="E281" s="9" t="s">
        <v>1519</v>
      </c>
      <c r="F281" s="9" t="s">
        <v>1667</v>
      </c>
      <c r="G281" s="12" t="s">
        <v>1668</v>
      </c>
      <c r="H281" s="13"/>
      <c r="I281" s="13"/>
      <c r="J281" s="9" t="s">
        <v>201</v>
      </c>
      <c r="K281" s="138"/>
      <c r="L281" s="9" t="s">
        <v>1669</v>
      </c>
      <c r="M281" s="138">
        <f>2349014714505</f>
        <v>2349014714505</v>
      </c>
      <c r="N281" s="9" t="s">
        <v>91</v>
      </c>
      <c r="O281" s="134">
        <v>46078.0</v>
      </c>
      <c r="P281" s="138"/>
      <c r="Q281" s="138"/>
      <c r="R281" s="138"/>
      <c r="S281" s="131"/>
      <c r="T281" s="130"/>
      <c r="U281" s="130"/>
      <c r="V281" s="125" t="s">
        <v>1670</v>
      </c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5"/>
    </row>
    <row r="282">
      <c r="A282" s="88" t="s">
        <v>1671</v>
      </c>
      <c r="B282" s="10"/>
      <c r="C282" s="10" t="s">
        <v>34</v>
      </c>
      <c r="D282" s="124" t="s">
        <v>1386</v>
      </c>
      <c r="E282" s="9" t="s">
        <v>129</v>
      </c>
      <c r="F282" s="9" t="s">
        <v>52</v>
      </c>
      <c r="G282" s="12" t="s">
        <v>1672</v>
      </c>
      <c r="H282" s="13"/>
      <c r="I282" s="13"/>
      <c r="J282" s="9" t="s">
        <v>39</v>
      </c>
      <c r="K282" s="9" t="s">
        <v>443</v>
      </c>
      <c r="L282" s="9" t="s">
        <v>750</v>
      </c>
      <c r="M282" s="9" t="s">
        <v>1673</v>
      </c>
      <c r="N282" s="9" t="s">
        <v>91</v>
      </c>
      <c r="O282" s="134">
        <v>46078.0</v>
      </c>
      <c r="P282" s="9" t="s">
        <v>1674</v>
      </c>
      <c r="Q282" s="9" t="s">
        <v>1675</v>
      </c>
      <c r="R282" s="134">
        <v>46078.0</v>
      </c>
      <c r="S282" s="131"/>
      <c r="T282" s="130"/>
      <c r="U282" s="130"/>
      <c r="V282" s="125" t="s">
        <v>1676</v>
      </c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</row>
    <row r="283">
      <c r="A283" s="88" t="s">
        <v>1677</v>
      </c>
      <c r="B283" s="10"/>
      <c r="C283" s="10" t="s">
        <v>34</v>
      </c>
      <c r="D283" s="124" t="s">
        <v>1678</v>
      </c>
      <c r="E283" s="9" t="s">
        <v>129</v>
      </c>
      <c r="F283" s="9" t="s">
        <v>37</v>
      </c>
      <c r="G283" s="12" t="s">
        <v>1679</v>
      </c>
      <c r="H283" s="13"/>
      <c r="I283" s="13"/>
      <c r="J283" s="9" t="s">
        <v>39</v>
      </c>
      <c r="K283" s="9" t="s">
        <v>340</v>
      </c>
      <c r="L283" s="9" t="s">
        <v>1661</v>
      </c>
      <c r="M283" s="138">
        <f>2347069024243</f>
        <v>2347069024243</v>
      </c>
      <c r="N283" s="9" t="s">
        <v>91</v>
      </c>
      <c r="O283" s="134">
        <v>46080.0</v>
      </c>
      <c r="P283" s="9" t="s">
        <v>1144</v>
      </c>
      <c r="Q283" s="9" t="s">
        <v>1429</v>
      </c>
      <c r="R283" s="134">
        <v>46078.0</v>
      </c>
      <c r="S283" s="131"/>
      <c r="T283" s="130"/>
      <c r="U283" s="130"/>
      <c r="V283" s="125" t="s">
        <v>1680</v>
      </c>
      <c r="W283" s="125"/>
      <c r="X283" s="125"/>
      <c r="Y283" s="125"/>
      <c r="Z283" s="125"/>
      <c r="AA283" s="125"/>
      <c r="AB283" s="125"/>
      <c r="AC283" s="125"/>
      <c r="AD283" s="125"/>
      <c r="AE283" s="125"/>
      <c r="AF283" s="125"/>
    </row>
    <row r="284">
      <c r="A284" s="88" t="s">
        <v>1681</v>
      </c>
      <c r="B284" s="10"/>
      <c r="C284" s="10" t="s">
        <v>34</v>
      </c>
      <c r="D284" s="124" t="s">
        <v>369</v>
      </c>
      <c r="E284" s="9" t="s">
        <v>1112</v>
      </c>
      <c r="F284" s="9" t="s">
        <v>37</v>
      </c>
      <c r="G284" s="12" t="s">
        <v>371</v>
      </c>
      <c r="H284" s="13"/>
      <c r="I284" s="13"/>
      <c r="J284" s="9" t="s">
        <v>39</v>
      </c>
      <c r="K284" s="9" t="s">
        <v>457</v>
      </c>
      <c r="L284" s="9" t="s">
        <v>1682</v>
      </c>
      <c r="M284" s="9" t="s">
        <v>112</v>
      </c>
      <c r="N284" s="9" t="s">
        <v>91</v>
      </c>
      <c r="O284" s="134">
        <v>46080.0</v>
      </c>
      <c r="P284" s="9" t="s">
        <v>750</v>
      </c>
      <c r="Q284" s="9" t="s">
        <v>1683</v>
      </c>
      <c r="R284" s="134">
        <v>46086.0</v>
      </c>
      <c r="S284" s="131"/>
      <c r="T284" s="130"/>
      <c r="U284" s="130"/>
      <c r="V284" s="125" t="s">
        <v>1684</v>
      </c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</row>
    <row r="285">
      <c r="A285" s="88" t="s">
        <v>1685</v>
      </c>
      <c r="B285" s="10"/>
      <c r="C285" s="10" t="s">
        <v>34</v>
      </c>
      <c r="D285" s="124" t="s">
        <v>1686</v>
      </c>
      <c r="E285" s="9" t="s">
        <v>1687</v>
      </c>
      <c r="F285" s="9" t="s">
        <v>37</v>
      </c>
      <c r="G285" s="12" t="s">
        <v>1688</v>
      </c>
      <c r="H285" s="13"/>
      <c r="I285" s="13"/>
      <c r="J285" s="9" t="s">
        <v>39</v>
      </c>
      <c r="K285" s="9" t="s">
        <v>358</v>
      </c>
      <c r="L285" s="9" t="s">
        <v>183</v>
      </c>
      <c r="M285" s="175" t="s">
        <v>42</v>
      </c>
      <c r="N285" s="9" t="s">
        <v>91</v>
      </c>
      <c r="O285" s="134">
        <v>46035.0</v>
      </c>
      <c r="P285" s="9" t="s">
        <v>1032</v>
      </c>
      <c r="Q285" s="9" t="s">
        <v>488</v>
      </c>
      <c r="R285" s="134">
        <v>46081.0</v>
      </c>
      <c r="S285" s="131"/>
      <c r="T285" s="130"/>
      <c r="U285" s="130"/>
      <c r="V285" s="125" t="s">
        <v>1689</v>
      </c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</row>
    <row r="286">
      <c r="A286" s="88" t="s">
        <v>1690</v>
      </c>
      <c r="B286" s="10"/>
      <c r="C286" s="10" t="s">
        <v>34</v>
      </c>
      <c r="D286" s="124" t="s">
        <v>1333</v>
      </c>
      <c r="E286" s="9" t="s">
        <v>139</v>
      </c>
      <c r="F286" s="9" t="s">
        <v>52</v>
      </c>
      <c r="G286" s="12" t="s">
        <v>1691</v>
      </c>
      <c r="H286" s="13"/>
      <c r="I286" s="13"/>
      <c r="J286" s="9" t="s">
        <v>39</v>
      </c>
      <c r="K286" s="9" t="s">
        <v>358</v>
      </c>
      <c r="L286" s="9" t="s">
        <v>1682</v>
      </c>
      <c r="M286" s="9" t="s">
        <v>112</v>
      </c>
      <c r="N286" s="9" t="s">
        <v>1098</v>
      </c>
      <c r="O286" s="134">
        <v>46083.0</v>
      </c>
      <c r="P286" s="9" t="s">
        <v>612</v>
      </c>
      <c r="Q286" s="9" t="s">
        <v>606</v>
      </c>
      <c r="R286" s="134">
        <v>46083.0</v>
      </c>
      <c r="S286" s="132" t="s">
        <v>1692</v>
      </c>
      <c r="T286" s="130"/>
      <c r="U286" s="130"/>
      <c r="V286" s="125" t="s">
        <v>1693</v>
      </c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</row>
    <row r="287">
      <c r="A287" s="88" t="s">
        <v>1694</v>
      </c>
      <c r="B287" s="10"/>
      <c r="C287" s="10" t="s">
        <v>1445</v>
      </c>
      <c r="D287" s="176" t="s">
        <v>1695</v>
      </c>
      <c r="E287" s="9" t="s">
        <v>139</v>
      </c>
      <c r="F287" s="9" t="s">
        <v>37</v>
      </c>
      <c r="G287" s="12" t="s">
        <v>1696</v>
      </c>
      <c r="H287" s="13"/>
      <c r="I287" s="13"/>
      <c r="J287" s="9" t="s">
        <v>39</v>
      </c>
      <c r="K287" s="9" t="s">
        <v>358</v>
      </c>
      <c r="L287" s="9" t="s">
        <v>750</v>
      </c>
      <c r="M287" s="9" t="s">
        <v>1673</v>
      </c>
      <c r="N287" s="9" t="s">
        <v>43</v>
      </c>
      <c r="O287" s="134">
        <v>46083.0</v>
      </c>
      <c r="P287" s="9" t="s">
        <v>612</v>
      </c>
      <c r="Q287" s="9" t="s">
        <v>606</v>
      </c>
      <c r="R287" s="134">
        <v>46083.0</v>
      </c>
      <c r="S287" s="131"/>
      <c r="T287" s="130"/>
      <c r="U287" s="130"/>
      <c r="V287" s="125" t="s">
        <v>1697</v>
      </c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</row>
    <row r="288">
      <c r="A288" s="88" t="s">
        <v>1698</v>
      </c>
      <c r="B288" s="10"/>
      <c r="C288" s="10" t="s">
        <v>34</v>
      </c>
      <c r="D288" s="124" t="s">
        <v>382</v>
      </c>
      <c r="E288" s="9" t="s">
        <v>169</v>
      </c>
      <c r="F288" s="9" t="s">
        <v>52</v>
      </c>
      <c r="G288" s="12" t="s">
        <v>1699</v>
      </c>
      <c r="H288" s="13"/>
      <c r="I288" s="13"/>
      <c r="J288" s="9" t="s">
        <v>39</v>
      </c>
      <c r="K288" s="9" t="s">
        <v>340</v>
      </c>
      <c r="L288" s="9" t="s">
        <v>1682</v>
      </c>
      <c r="M288" s="9" t="s">
        <v>112</v>
      </c>
      <c r="N288" s="9" t="s">
        <v>43</v>
      </c>
      <c r="O288" s="134">
        <v>46083.0</v>
      </c>
      <c r="P288" s="9" t="s">
        <v>1700</v>
      </c>
      <c r="Q288" s="9" t="s">
        <v>1701</v>
      </c>
      <c r="R288" s="134">
        <v>46083.0</v>
      </c>
      <c r="S288" s="132" t="s">
        <v>1702</v>
      </c>
      <c r="T288" s="130"/>
      <c r="U288" s="130"/>
      <c r="V288" s="125" t="s">
        <v>1703</v>
      </c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</row>
    <row r="289">
      <c r="A289" s="88" t="s">
        <v>1704</v>
      </c>
      <c r="B289" s="10"/>
      <c r="C289" s="10" t="s">
        <v>34</v>
      </c>
      <c r="D289" s="124" t="s">
        <v>1686</v>
      </c>
      <c r="E289" s="9" t="s">
        <v>1705</v>
      </c>
      <c r="F289" s="9" t="s">
        <v>414</v>
      </c>
      <c r="G289" s="12" t="s">
        <v>1706</v>
      </c>
      <c r="H289" s="13"/>
      <c r="I289" s="13"/>
      <c r="J289" s="9" t="s">
        <v>39</v>
      </c>
      <c r="K289" s="9" t="s">
        <v>358</v>
      </c>
      <c r="L289" s="9" t="s">
        <v>183</v>
      </c>
      <c r="M289" s="175" t="s">
        <v>42</v>
      </c>
      <c r="N289" s="146" t="s">
        <v>43</v>
      </c>
      <c r="O289" s="134">
        <v>46085.0</v>
      </c>
      <c r="P289" s="9" t="s">
        <v>1707</v>
      </c>
      <c r="Q289" s="9" t="s">
        <v>1708</v>
      </c>
      <c r="R289" s="134">
        <v>46095.0</v>
      </c>
      <c r="S289" s="131"/>
      <c r="T289" s="130"/>
      <c r="U289" s="130"/>
      <c r="V289" s="125" t="s">
        <v>1709</v>
      </c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</row>
    <row r="290">
      <c r="A290" s="88" t="s">
        <v>1710</v>
      </c>
      <c r="B290" s="10"/>
      <c r="C290" s="10" t="s">
        <v>34</v>
      </c>
      <c r="D290" s="124" t="s">
        <v>1686</v>
      </c>
      <c r="E290" s="9" t="s">
        <v>1687</v>
      </c>
      <c r="F290" s="9" t="s">
        <v>37</v>
      </c>
      <c r="G290" s="12" t="s">
        <v>1711</v>
      </c>
      <c r="H290" s="13"/>
      <c r="I290" s="13"/>
      <c r="J290" s="9" t="s">
        <v>39</v>
      </c>
      <c r="K290" s="9" t="s">
        <v>358</v>
      </c>
      <c r="L290" s="9" t="s">
        <v>183</v>
      </c>
      <c r="M290" s="175" t="s">
        <v>42</v>
      </c>
      <c r="N290" s="9" t="s">
        <v>287</v>
      </c>
      <c r="O290" s="134">
        <v>46044.0</v>
      </c>
      <c r="P290" s="9" t="s">
        <v>1650</v>
      </c>
      <c r="Q290" s="138">
        <f>2347040636887</f>
        <v>2347040636887</v>
      </c>
      <c r="R290" s="134">
        <v>46086.0</v>
      </c>
      <c r="S290" s="132" t="s">
        <v>1712</v>
      </c>
      <c r="T290" s="130"/>
      <c r="U290" s="130"/>
      <c r="V290" s="125" t="s">
        <v>1713</v>
      </c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5"/>
    </row>
    <row r="291">
      <c r="A291" s="88" t="s">
        <v>1714</v>
      </c>
      <c r="B291" s="10"/>
      <c r="C291" s="10" t="s">
        <v>34</v>
      </c>
      <c r="D291" s="124" t="s">
        <v>382</v>
      </c>
      <c r="E291" s="9" t="s">
        <v>283</v>
      </c>
      <c r="F291" s="9" t="s">
        <v>52</v>
      </c>
      <c r="G291" s="12" t="s">
        <v>1715</v>
      </c>
      <c r="H291" s="13"/>
      <c r="I291" s="13"/>
      <c r="J291" s="9" t="s">
        <v>39</v>
      </c>
      <c r="K291" s="9" t="s">
        <v>663</v>
      </c>
      <c r="L291" s="9" t="s">
        <v>1716</v>
      </c>
      <c r="M291" s="9" t="s">
        <v>1548</v>
      </c>
      <c r="N291" s="9" t="s">
        <v>91</v>
      </c>
      <c r="O291" s="134">
        <v>46086.0</v>
      </c>
      <c r="P291" s="9" t="s">
        <v>134</v>
      </c>
      <c r="Q291" s="9" t="s">
        <v>112</v>
      </c>
      <c r="R291" s="134">
        <v>46086.0</v>
      </c>
      <c r="S291" s="131"/>
      <c r="T291" s="130"/>
      <c r="U291" s="130"/>
      <c r="V291" s="125" t="s">
        <v>1717</v>
      </c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</row>
    <row r="292">
      <c r="A292" s="88" t="s">
        <v>1718</v>
      </c>
      <c r="B292" s="10"/>
      <c r="C292" s="10" t="s">
        <v>34</v>
      </c>
      <c r="D292" s="124" t="s">
        <v>1386</v>
      </c>
      <c r="E292" s="9" t="s">
        <v>218</v>
      </c>
      <c r="F292" s="9" t="s">
        <v>52</v>
      </c>
      <c r="G292" s="12" t="s">
        <v>1719</v>
      </c>
      <c r="H292" s="13"/>
      <c r="I292" s="13"/>
      <c r="J292" s="9" t="s">
        <v>39</v>
      </c>
      <c r="K292" s="9" t="s">
        <v>443</v>
      </c>
      <c r="L292" s="9" t="s">
        <v>183</v>
      </c>
      <c r="M292" s="175" t="s">
        <v>42</v>
      </c>
      <c r="N292" s="9" t="s">
        <v>91</v>
      </c>
      <c r="O292" s="134">
        <v>46086.0</v>
      </c>
      <c r="P292" s="9" t="s">
        <v>1720</v>
      </c>
      <c r="Q292" s="138">
        <f>2347067852062</f>
        <v>2347067852062</v>
      </c>
      <c r="R292" s="134">
        <v>46092.0</v>
      </c>
      <c r="S292" s="131"/>
      <c r="T292" s="130"/>
      <c r="U292" s="130"/>
      <c r="V292" s="125" t="s">
        <v>1721</v>
      </c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</row>
    <row r="293">
      <c r="A293" s="88" t="s">
        <v>1722</v>
      </c>
      <c r="B293" s="10"/>
      <c r="C293" s="10" t="s">
        <v>34</v>
      </c>
      <c r="D293" s="124" t="s">
        <v>1386</v>
      </c>
      <c r="E293" s="9" t="s">
        <v>218</v>
      </c>
      <c r="F293" s="9" t="s">
        <v>52</v>
      </c>
      <c r="G293" s="12" t="s">
        <v>1723</v>
      </c>
      <c r="H293" s="13"/>
      <c r="I293" s="13"/>
      <c r="J293" s="9" t="s">
        <v>39</v>
      </c>
      <c r="K293" s="9" t="s">
        <v>471</v>
      </c>
      <c r="L293" s="9" t="s">
        <v>183</v>
      </c>
      <c r="M293" s="175" t="s">
        <v>545</v>
      </c>
      <c r="N293" s="9" t="s">
        <v>91</v>
      </c>
      <c r="O293" s="134">
        <v>46087.0</v>
      </c>
      <c r="P293" s="9" t="s">
        <v>1724</v>
      </c>
      <c r="Q293" s="9" t="s">
        <v>1725</v>
      </c>
      <c r="R293" s="134">
        <v>46087.0</v>
      </c>
      <c r="S293" s="131"/>
      <c r="T293" s="130"/>
      <c r="U293" s="130"/>
      <c r="V293" s="125" t="s">
        <v>1726</v>
      </c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</row>
    <row r="294">
      <c r="A294" s="88" t="s">
        <v>1727</v>
      </c>
      <c r="B294" s="10"/>
      <c r="C294" s="10" t="s">
        <v>34</v>
      </c>
      <c r="D294" s="124" t="s">
        <v>406</v>
      </c>
      <c r="E294" s="9" t="s">
        <v>1728</v>
      </c>
      <c r="F294" s="9" t="s">
        <v>86</v>
      </c>
      <c r="G294" s="12" t="s">
        <v>408</v>
      </c>
      <c r="H294" s="13"/>
      <c r="I294" s="13"/>
      <c r="J294" s="9" t="s">
        <v>39</v>
      </c>
      <c r="K294" s="9" t="s">
        <v>1729</v>
      </c>
      <c r="L294" s="9" t="s">
        <v>410</v>
      </c>
      <c r="M294" s="9" t="s">
        <v>1701</v>
      </c>
      <c r="N294" s="9" t="s">
        <v>43</v>
      </c>
      <c r="O294" s="134">
        <v>46087.0</v>
      </c>
      <c r="P294" s="9" t="s">
        <v>1730</v>
      </c>
      <c r="Q294" s="9" t="s">
        <v>1731</v>
      </c>
      <c r="R294" s="134">
        <v>46094.0</v>
      </c>
      <c r="S294" s="131"/>
      <c r="T294" s="130"/>
      <c r="U294" s="130"/>
      <c r="V294" s="125" t="s">
        <v>1732</v>
      </c>
      <c r="W294" s="125"/>
      <c r="X294" s="125"/>
      <c r="Y294" s="125"/>
      <c r="Z294" s="125"/>
      <c r="AA294" s="125"/>
      <c r="AB294" s="125"/>
      <c r="AC294" s="125"/>
      <c r="AD294" s="125"/>
      <c r="AE294" s="125"/>
      <c r="AF294" s="125"/>
    </row>
    <row r="295">
      <c r="A295" s="88" t="s">
        <v>1733</v>
      </c>
      <c r="B295" s="10"/>
      <c r="C295" s="10" t="s">
        <v>34</v>
      </c>
      <c r="D295" s="124" t="s">
        <v>406</v>
      </c>
      <c r="E295" s="9" t="s">
        <v>1728</v>
      </c>
      <c r="F295" s="9" t="s">
        <v>37</v>
      </c>
      <c r="G295" s="12" t="s">
        <v>1734</v>
      </c>
      <c r="H295" s="13"/>
      <c r="I295" s="13"/>
      <c r="J295" s="9" t="s">
        <v>39</v>
      </c>
      <c r="K295" s="9" t="s">
        <v>471</v>
      </c>
      <c r="L295" s="9" t="s">
        <v>262</v>
      </c>
      <c r="M295" s="9" t="s">
        <v>124</v>
      </c>
      <c r="N295" s="9" t="s">
        <v>91</v>
      </c>
      <c r="O295" s="134">
        <v>46087.0</v>
      </c>
      <c r="P295" s="9" t="s">
        <v>1735</v>
      </c>
      <c r="Q295" s="9" t="s">
        <v>1736</v>
      </c>
      <c r="R295" s="9" t="s">
        <v>1737</v>
      </c>
      <c r="S295" s="131"/>
      <c r="T295" s="130"/>
      <c r="U295" s="130"/>
      <c r="V295" s="125" t="s">
        <v>1738</v>
      </c>
      <c r="W295" s="125"/>
      <c r="X295" s="125"/>
      <c r="Y295" s="125"/>
      <c r="Z295" s="125"/>
      <c r="AA295" s="125"/>
      <c r="AB295" s="125"/>
      <c r="AC295" s="125"/>
      <c r="AD295" s="125"/>
      <c r="AE295" s="125"/>
      <c r="AF295" s="125"/>
    </row>
    <row r="296">
      <c r="A296" s="88" t="s">
        <v>1739</v>
      </c>
      <c r="B296" s="10"/>
      <c r="C296" s="10" t="s">
        <v>34</v>
      </c>
      <c r="D296" s="124" t="s">
        <v>356</v>
      </c>
      <c r="E296" s="124" t="s">
        <v>1270</v>
      </c>
      <c r="F296" s="124" t="s">
        <v>52</v>
      </c>
      <c r="G296" s="124" t="s">
        <v>1740</v>
      </c>
      <c r="H296" s="177"/>
      <c r="I296" s="177"/>
      <c r="J296" s="124" t="s">
        <v>39</v>
      </c>
      <c r="K296" s="124" t="s">
        <v>401</v>
      </c>
      <c r="L296" s="124" t="s">
        <v>1741</v>
      </c>
      <c r="M296" s="124" t="s">
        <v>1742</v>
      </c>
      <c r="N296" s="124" t="s">
        <v>43</v>
      </c>
      <c r="O296" s="136">
        <v>46087.0</v>
      </c>
      <c r="P296" s="178"/>
      <c r="Q296" s="178"/>
      <c r="R296" s="178"/>
      <c r="S296" s="179"/>
      <c r="T296" s="130"/>
      <c r="U296" s="130"/>
      <c r="V296" s="125" t="s">
        <v>1743</v>
      </c>
      <c r="W296" s="125"/>
      <c r="X296" s="125"/>
      <c r="Y296" s="125"/>
      <c r="Z296" s="125"/>
      <c r="AA296" s="125"/>
      <c r="AB296" s="125"/>
      <c r="AC296" s="125"/>
      <c r="AD296" s="125"/>
      <c r="AE296" s="125"/>
      <c r="AF296" s="125"/>
    </row>
    <row r="297">
      <c r="A297" s="88" t="s">
        <v>1744</v>
      </c>
      <c r="B297" s="10"/>
      <c r="C297" s="10" t="s">
        <v>34</v>
      </c>
      <c r="D297" s="124" t="s">
        <v>356</v>
      </c>
      <c r="E297" s="9" t="s">
        <v>65</v>
      </c>
      <c r="F297" s="9" t="s">
        <v>37</v>
      </c>
      <c r="G297" s="12" t="s">
        <v>1745</v>
      </c>
      <c r="H297" s="13"/>
      <c r="I297" s="13"/>
      <c r="J297" s="9" t="s">
        <v>39</v>
      </c>
      <c r="K297" s="9" t="s">
        <v>1411</v>
      </c>
      <c r="L297" s="9" t="s">
        <v>1746</v>
      </c>
      <c r="M297" s="9" t="s">
        <v>1747</v>
      </c>
      <c r="N297" s="9" t="s">
        <v>287</v>
      </c>
      <c r="O297" s="134">
        <v>46088.0</v>
      </c>
      <c r="P297" s="9" t="s">
        <v>1748</v>
      </c>
      <c r="Q297" s="9" t="s">
        <v>1749</v>
      </c>
      <c r="R297" s="134">
        <v>46088.0</v>
      </c>
      <c r="S297" s="131"/>
      <c r="T297" s="130"/>
      <c r="U297" s="130"/>
      <c r="V297" s="125" t="s">
        <v>1750</v>
      </c>
      <c r="W297" s="125"/>
      <c r="X297" s="125"/>
      <c r="Y297" s="125"/>
      <c r="Z297" s="125"/>
      <c r="AA297" s="125"/>
      <c r="AB297" s="125"/>
      <c r="AC297" s="125"/>
      <c r="AD297" s="125"/>
      <c r="AE297" s="125"/>
      <c r="AF297" s="125"/>
    </row>
    <row r="298">
      <c r="A298" s="88" t="s">
        <v>1751</v>
      </c>
      <c r="B298" s="10"/>
      <c r="C298" s="10" t="s">
        <v>34</v>
      </c>
      <c r="D298" s="124" t="s">
        <v>35</v>
      </c>
      <c r="E298" s="9" t="s">
        <v>129</v>
      </c>
      <c r="F298" s="9" t="s">
        <v>37</v>
      </c>
      <c r="G298" s="12" t="s">
        <v>1752</v>
      </c>
      <c r="H298" s="13"/>
      <c r="I298" s="13"/>
      <c r="J298" s="9" t="s">
        <v>39</v>
      </c>
      <c r="K298" s="9" t="s">
        <v>326</v>
      </c>
      <c r="L298" s="9" t="s">
        <v>735</v>
      </c>
      <c r="M298" s="9" t="s">
        <v>153</v>
      </c>
      <c r="N298" s="9" t="s">
        <v>287</v>
      </c>
      <c r="O298" s="134">
        <v>46074.0</v>
      </c>
      <c r="P298" s="9" t="s">
        <v>735</v>
      </c>
      <c r="Q298" s="9" t="s">
        <v>153</v>
      </c>
      <c r="R298" s="134">
        <v>46088.0</v>
      </c>
      <c r="S298" s="131"/>
      <c r="T298" s="130"/>
      <c r="U298" s="130"/>
      <c r="V298" s="125" t="s">
        <v>1753</v>
      </c>
      <c r="W298" s="125"/>
      <c r="X298" s="125"/>
      <c r="Y298" s="125"/>
      <c r="Z298" s="125"/>
      <c r="AA298" s="125"/>
      <c r="AB298" s="125"/>
      <c r="AC298" s="125"/>
      <c r="AD298" s="125"/>
      <c r="AE298" s="125"/>
      <c r="AF298" s="125"/>
    </row>
    <row r="299">
      <c r="A299" s="88" t="s">
        <v>1754</v>
      </c>
      <c r="B299" s="10"/>
      <c r="C299" s="10" t="s">
        <v>34</v>
      </c>
      <c r="D299" s="124" t="s">
        <v>1287</v>
      </c>
      <c r="E299" s="9" t="s">
        <v>188</v>
      </c>
      <c r="F299" s="9" t="s">
        <v>52</v>
      </c>
      <c r="G299" s="12" t="s">
        <v>1755</v>
      </c>
      <c r="H299" s="13"/>
      <c r="I299" s="13"/>
      <c r="J299" s="9" t="s">
        <v>39</v>
      </c>
      <c r="K299" s="9" t="s">
        <v>340</v>
      </c>
      <c r="L299" s="9" t="s">
        <v>783</v>
      </c>
      <c r="M299" s="138">
        <f>2348137676322</f>
        <v>2348137676322</v>
      </c>
      <c r="N299" s="9" t="s">
        <v>43</v>
      </c>
      <c r="O299" s="134">
        <v>46088.0</v>
      </c>
      <c r="P299" s="9" t="s">
        <v>1746</v>
      </c>
      <c r="Q299" s="9" t="s">
        <v>1747</v>
      </c>
      <c r="R299" s="134">
        <v>46088.0</v>
      </c>
      <c r="S299" s="131"/>
      <c r="T299" s="130"/>
      <c r="U299" s="130"/>
      <c r="V299" s="125" t="s">
        <v>1756</v>
      </c>
      <c r="W299" s="125"/>
      <c r="X299" s="125"/>
      <c r="Y299" s="125"/>
      <c r="Z299" s="125"/>
      <c r="AA299" s="125"/>
      <c r="AB299" s="125"/>
      <c r="AC299" s="125"/>
      <c r="AD299" s="125"/>
      <c r="AE299" s="125"/>
      <c r="AF299" s="125"/>
    </row>
    <row r="300">
      <c r="A300" s="88" t="s">
        <v>1757</v>
      </c>
      <c r="B300" s="10"/>
      <c r="C300" s="10" t="s">
        <v>34</v>
      </c>
      <c r="D300" s="124" t="s">
        <v>406</v>
      </c>
      <c r="E300" s="9" t="s">
        <v>1728</v>
      </c>
      <c r="F300" s="9" t="s">
        <v>37</v>
      </c>
      <c r="G300" s="12" t="s">
        <v>1758</v>
      </c>
      <c r="H300" s="13"/>
      <c r="I300" s="13"/>
      <c r="J300" s="9" t="s">
        <v>39</v>
      </c>
      <c r="K300" s="9" t="s">
        <v>430</v>
      </c>
      <c r="L300" s="9" t="s">
        <v>262</v>
      </c>
      <c r="M300" s="9" t="s">
        <v>124</v>
      </c>
      <c r="N300" s="9" t="s">
        <v>91</v>
      </c>
      <c r="O300" s="134">
        <v>46088.0</v>
      </c>
      <c r="P300" s="9" t="s">
        <v>913</v>
      </c>
      <c r="Q300" s="138">
        <f>2348165523297</f>
        <v>2348165523297</v>
      </c>
      <c r="R300" s="134">
        <v>46088.0</v>
      </c>
      <c r="S300" s="131"/>
      <c r="T300" s="130"/>
      <c r="U300" s="130"/>
      <c r="V300" s="125" t="s">
        <v>1759</v>
      </c>
      <c r="W300" s="125"/>
      <c r="X300" s="125"/>
      <c r="Y300" s="125"/>
      <c r="Z300" s="125"/>
      <c r="AA300" s="125"/>
      <c r="AB300" s="125"/>
      <c r="AC300" s="125"/>
      <c r="AD300" s="125"/>
      <c r="AE300" s="125"/>
      <c r="AF300" s="125"/>
    </row>
    <row r="301">
      <c r="A301" s="88" t="s">
        <v>1760</v>
      </c>
      <c r="B301" s="10"/>
      <c r="C301" s="10" t="s">
        <v>34</v>
      </c>
      <c r="D301" s="124" t="s">
        <v>1102</v>
      </c>
      <c r="E301" s="9" t="s">
        <v>1761</v>
      </c>
      <c r="F301" s="9" t="s">
        <v>37</v>
      </c>
      <c r="G301" s="12" t="s">
        <v>1762</v>
      </c>
      <c r="H301" s="13"/>
      <c r="I301" s="13"/>
      <c r="J301" s="9" t="s">
        <v>39</v>
      </c>
      <c r="K301" s="9" t="s">
        <v>720</v>
      </c>
      <c r="L301" s="9" t="s">
        <v>1644</v>
      </c>
      <c r="M301" s="9" t="s">
        <v>1645</v>
      </c>
      <c r="N301" s="9" t="s">
        <v>43</v>
      </c>
      <c r="O301" s="134">
        <v>46090.0</v>
      </c>
      <c r="P301" s="9" t="s">
        <v>1644</v>
      </c>
      <c r="Q301" s="9" t="s">
        <v>1645</v>
      </c>
      <c r="R301" s="134">
        <v>46090.0</v>
      </c>
      <c r="S301" s="131"/>
      <c r="T301" s="130"/>
      <c r="U301" s="130"/>
      <c r="V301" s="125" t="s">
        <v>1763</v>
      </c>
      <c r="W301" s="125"/>
      <c r="X301" s="125"/>
      <c r="Y301" s="125"/>
      <c r="Z301" s="125"/>
      <c r="AA301" s="125"/>
      <c r="AB301" s="125"/>
      <c r="AC301" s="125"/>
      <c r="AD301" s="125"/>
      <c r="AE301" s="125"/>
      <c r="AF301" s="125"/>
    </row>
    <row r="302">
      <c r="A302" s="88" t="s">
        <v>1764</v>
      </c>
      <c r="B302" s="10"/>
      <c r="C302" s="10" t="s">
        <v>34</v>
      </c>
      <c r="D302" s="124" t="s">
        <v>1066</v>
      </c>
      <c r="E302" s="9" t="s">
        <v>65</v>
      </c>
      <c r="F302" s="9" t="s">
        <v>86</v>
      </c>
      <c r="G302" s="180" t="s">
        <v>1765</v>
      </c>
      <c r="H302" s="181"/>
      <c r="I302" s="181"/>
      <c r="J302" s="9" t="s">
        <v>1377</v>
      </c>
      <c r="K302" s="9" t="s">
        <v>122</v>
      </c>
      <c r="L302" s="9" t="s">
        <v>262</v>
      </c>
      <c r="M302" s="9" t="s">
        <v>124</v>
      </c>
      <c r="N302" s="9" t="s">
        <v>91</v>
      </c>
      <c r="O302" s="134">
        <v>46090.0</v>
      </c>
      <c r="P302" s="9" t="s">
        <v>1766</v>
      </c>
      <c r="Q302" s="9" t="s">
        <v>1767</v>
      </c>
      <c r="R302" s="134">
        <v>46090.0</v>
      </c>
      <c r="S302" s="131"/>
      <c r="T302" s="130"/>
      <c r="U302" s="130"/>
      <c r="V302" s="125" t="s">
        <v>1768</v>
      </c>
      <c r="W302" s="125"/>
      <c r="X302" s="125"/>
      <c r="Y302" s="125"/>
      <c r="Z302" s="125"/>
      <c r="AA302" s="125"/>
      <c r="AB302" s="125"/>
      <c r="AC302" s="125"/>
      <c r="AD302" s="125"/>
      <c r="AE302" s="125"/>
      <c r="AF302" s="125"/>
    </row>
    <row r="303">
      <c r="A303" s="88" t="s">
        <v>1769</v>
      </c>
      <c r="B303" s="10"/>
      <c r="C303" s="10" t="s">
        <v>34</v>
      </c>
      <c r="D303" s="124" t="s">
        <v>1386</v>
      </c>
      <c r="E303" s="9" t="s">
        <v>218</v>
      </c>
      <c r="F303" s="9" t="s">
        <v>52</v>
      </c>
      <c r="G303" s="12" t="s">
        <v>1770</v>
      </c>
      <c r="H303" s="13"/>
      <c r="I303" s="13"/>
      <c r="J303" s="9" t="s">
        <v>39</v>
      </c>
      <c r="K303" s="9" t="s">
        <v>443</v>
      </c>
      <c r="L303" s="9" t="s">
        <v>183</v>
      </c>
      <c r="M303" s="175" t="s">
        <v>42</v>
      </c>
      <c r="N303" s="9" t="s">
        <v>91</v>
      </c>
      <c r="O303" s="134">
        <v>46091.0</v>
      </c>
      <c r="P303" s="9" t="s">
        <v>1720</v>
      </c>
      <c r="Q303" s="138">
        <f>2347067852062</f>
        <v>2347067852062</v>
      </c>
      <c r="R303" s="134">
        <v>46091.0</v>
      </c>
      <c r="S303" s="131"/>
      <c r="T303" s="130"/>
      <c r="U303" s="130"/>
      <c r="V303" s="125" t="s">
        <v>1771</v>
      </c>
      <c r="W303" s="125"/>
      <c r="X303" s="125"/>
      <c r="Y303" s="125"/>
      <c r="Z303" s="125"/>
      <c r="AA303" s="125"/>
      <c r="AB303" s="125"/>
      <c r="AC303" s="125"/>
      <c r="AD303" s="125"/>
      <c r="AE303" s="125"/>
      <c r="AF303" s="125"/>
    </row>
    <row r="304">
      <c r="A304" s="88" t="s">
        <v>1772</v>
      </c>
      <c r="B304" s="10"/>
      <c r="C304" s="10" t="s">
        <v>34</v>
      </c>
      <c r="D304" s="182" t="s">
        <v>224</v>
      </c>
      <c r="E304" s="9" t="s">
        <v>85</v>
      </c>
      <c r="F304" s="9" t="s">
        <v>86</v>
      </c>
      <c r="G304" s="180" t="s">
        <v>1773</v>
      </c>
      <c r="H304" s="181"/>
      <c r="I304" s="181"/>
      <c r="J304" s="9" t="s">
        <v>228</v>
      </c>
      <c r="K304" s="9" t="s">
        <v>122</v>
      </c>
      <c r="L304" s="9" t="s">
        <v>262</v>
      </c>
      <c r="M304" s="9" t="s">
        <v>124</v>
      </c>
      <c r="N304" s="9" t="s">
        <v>91</v>
      </c>
      <c r="O304" s="134">
        <v>46091.0</v>
      </c>
      <c r="P304" s="9" t="s">
        <v>1774</v>
      </c>
      <c r="Q304" s="138">
        <f>2348151039966</f>
        <v>2348151039966</v>
      </c>
      <c r="R304" s="183">
        <v>46091.0</v>
      </c>
      <c r="S304" s="132" t="s">
        <v>1775</v>
      </c>
      <c r="T304" s="130"/>
      <c r="U304" s="130"/>
      <c r="V304" s="125" t="s">
        <v>1776</v>
      </c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</row>
    <row r="305">
      <c r="A305" s="88" t="s">
        <v>1777</v>
      </c>
      <c r="B305" s="10"/>
      <c r="C305" s="10" t="s">
        <v>34</v>
      </c>
      <c r="D305" s="124" t="s">
        <v>624</v>
      </c>
      <c r="E305" s="9" t="s">
        <v>65</v>
      </c>
      <c r="F305" s="9" t="s">
        <v>86</v>
      </c>
      <c r="G305" s="12" t="s">
        <v>1778</v>
      </c>
      <c r="H305" s="13"/>
      <c r="I305" s="13"/>
      <c r="J305" s="9" t="s">
        <v>39</v>
      </c>
      <c r="K305" s="9" t="s">
        <v>663</v>
      </c>
      <c r="L305" s="9" t="s">
        <v>1607</v>
      </c>
      <c r="M305" s="9" t="s">
        <v>1779</v>
      </c>
      <c r="N305" s="9" t="s">
        <v>91</v>
      </c>
      <c r="O305" s="134">
        <v>46091.0</v>
      </c>
      <c r="P305" s="9" t="s">
        <v>1506</v>
      </c>
      <c r="Q305" s="138">
        <f>2348103367143</f>
        <v>2348103367143</v>
      </c>
      <c r="R305" s="134">
        <v>46091.0</v>
      </c>
      <c r="S305" s="131"/>
      <c r="T305" s="130"/>
      <c r="U305" s="130"/>
      <c r="V305" s="125" t="s">
        <v>1780</v>
      </c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</row>
    <row r="306">
      <c r="A306" s="88" t="s">
        <v>1781</v>
      </c>
      <c r="B306" s="10"/>
      <c r="C306" s="10" t="s">
        <v>34</v>
      </c>
      <c r="D306" s="124" t="s">
        <v>462</v>
      </c>
      <c r="E306" s="9" t="s">
        <v>65</v>
      </c>
      <c r="F306" s="9" t="s">
        <v>37</v>
      </c>
      <c r="G306" s="12" t="s">
        <v>1782</v>
      </c>
      <c r="H306" s="13"/>
      <c r="I306" s="13"/>
      <c r="J306" s="9" t="s">
        <v>39</v>
      </c>
      <c r="K306" s="9" t="s">
        <v>471</v>
      </c>
      <c r="L306" s="9" t="s">
        <v>1607</v>
      </c>
      <c r="M306" s="9" t="s">
        <v>1779</v>
      </c>
      <c r="N306" s="9" t="s">
        <v>91</v>
      </c>
      <c r="O306" s="9" t="s">
        <v>1309</v>
      </c>
      <c r="P306" s="9" t="s">
        <v>1783</v>
      </c>
      <c r="Q306" s="9" t="s">
        <v>1324</v>
      </c>
      <c r="R306" s="134">
        <v>46092.0</v>
      </c>
      <c r="S306" s="131"/>
      <c r="T306" s="130"/>
      <c r="U306" s="130"/>
      <c r="V306" s="125" t="s">
        <v>1784</v>
      </c>
      <c r="W306" s="125"/>
      <c r="X306" s="125"/>
      <c r="Y306" s="125"/>
      <c r="Z306" s="125"/>
      <c r="AA306" s="125"/>
      <c r="AB306" s="125"/>
      <c r="AC306" s="125"/>
      <c r="AD306" s="125"/>
      <c r="AE306" s="125"/>
      <c r="AF306" s="125"/>
    </row>
    <row r="307">
      <c r="A307" s="88" t="s">
        <v>1785</v>
      </c>
      <c r="B307" s="10"/>
      <c r="C307" s="10" t="s">
        <v>34</v>
      </c>
      <c r="D307" s="124" t="s">
        <v>356</v>
      </c>
      <c r="E307" s="9" t="s">
        <v>1270</v>
      </c>
      <c r="F307" s="9" t="s">
        <v>37</v>
      </c>
      <c r="G307" s="12" t="s">
        <v>1786</v>
      </c>
      <c r="H307" s="13"/>
      <c r="I307" s="13"/>
      <c r="J307" s="9" t="s">
        <v>39</v>
      </c>
      <c r="K307" s="9" t="s">
        <v>663</v>
      </c>
      <c r="L307" s="9" t="s">
        <v>973</v>
      </c>
      <c r="M307" s="9" t="s">
        <v>124</v>
      </c>
      <c r="N307" s="9" t="s">
        <v>579</v>
      </c>
      <c r="O307" s="134">
        <v>46091.0</v>
      </c>
      <c r="P307" s="9" t="s">
        <v>1787</v>
      </c>
      <c r="Q307" s="138">
        <f>2347036020042</f>
        <v>2347036020042</v>
      </c>
      <c r="R307" s="164">
        <v>46097.0</v>
      </c>
      <c r="S307" s="131"/>
      <c r="T307" s="130"/>
      <c r="U307" s="130"/>
      <c r="V307" s="125" t="s">
        <v>1788</v>
      </c>
      <c r="W307" s="125"/>
      <c r="X307" s="125"/>
      <c r="Y307" s="125"/>
      <c r="Z307" s="125"/>
      <c r="AA307" s="125"/>
      <c r="AB307" s="125"/>
      <c r="AC307" s="125"/>
      <c r="AD307" s="125"/>
      <c r="AE307" s="125"/>
      <c r="AF307" s="125"/>
    </row>
    <row r="308">
      <c r="A308" s="88" t="s">
        <v>1789</v>
      </c>
      <c r="B308" s="10"/>
      <c r="C308" s="10" t="s">
        <v>34</v>
      </c>
      <c r="D308" s="124" t="s">
        <v>1102</v>
      </c>
      <c r="E308" s="9" t="s">
        <v>1761</v>
      </c>
      <c r="F308" s="9" t="s">
        <v>414</v>
      </c>
      <c r="G308" s="12" t="s">
        <v>1790</v>
      </c>
      <c r="H308" s="13"/>
      <c r="I308" s="13"/>
      <c r="J308" s="9" t="s">
        <v>39</v>
      </c>
      <c r="K308" s="9" t="s">
        <v>430</v>
      </c>
      <c r="L308" s="9" t="s">
        <v>183</v>
      </c>
      <c r="M308" s="175" t="s">
        <v>42</v>
      </c>
      <c r="N308" s="9" t="s">
        <v>91</v>
      </c>
      <c r="O308" s="134">
        <v>46091.0</v>
      </c>
      <c r="P308" s="9" t="s">
        <v>495</v>
      </c>
      <c r="Q308" s="138">
        <f>2349070536253</f>
        <v>2349070536253</v>
      </c>
      <c r="R308" s="134">
        <v>46091.0</v>
      </c>
      <c r="S308" s="131"/>
      <c r="T308" s="130"/>
      <c r="U308" s="130"/>
      <c r="V308" s="125" t="s">
        <v>1791</v>
      </c>
      <c r="W308" s="125"/>
      <c r="X308" s="125"/>
      <c r="Y308" s="125"/>
      <c r="Z308" s="125"/>
      <c r="AA308" s="125"/>
      <c r="AB308" s="125"/>
      <c r="AC308" s="125"/>
      <c r="AD308" s="125"/>
      <c r="AE308" s="125"/>
      <c r="AF308" s="125"/>
    </row>
    <row r="309">
      <c r="A309" s="88" t="s">
        <v>1792</v>
      </c>
      <c r="B309" s="10"/>
      <c r="C309" s="10" t="s">
        <v>34</v>
      </c>
      <c r="D309" s="124" t="s">
        <v>97</v>
      </c>
      <c r="E309" s="9" t="s">
        <v>139</v>
      </c>
      <c r="F309" s="9" t="s">
        <v>37</v>
      </c>
      <c r="G309" s="12" t="s">
        <v>1793</v>
      </c>
      <c r="H309" s="13"/>
      <c r="I309" s="13"/>
      <c r="J309" s="9" t="s">
        <v>39</v>
      </c>
      <c r="K309" s="9" t="s">
        <v>471</v>
      </c>
      <c r="L309" s="9" t="s">
        <v>262</v>
      </c>
      <c r="M309" s="9" t="s">
        <v>124</v>
      </c>
      <c r="N309" s="9" t="s">
        <v>91</v>
      </c>
      <c r="O309" s="134">
        <v>46092.0</v>
      </c>
      <c r="P309" s="9" t="s">
        <v>1794</v>
      </c>
      <c r="Q309" s="138">
        <f>2349067112641</f>
        <v>2349067112641</v>
      </c>
      <c r="R309" s="134">
        <v>46092.0</v>
      </c>
      <c r="S309" s="131"/>
      <c r="T309" s="130"/>
      <c r="U309" s="130"/>
      <c r="V309" s="125" t="s">
        <v>1795</v>
      </c>
      <c r="W309" s="125"/>
      <c r="X309" s="125"/>
      <c r="Y309" s="125"/>
      <c r="Z309" s="125"/>
      <c r="AA309" s="125"/>
      <c r="AB309" s="125"/>
      <c r="AC309" s="125"/>
      <c r="AD309" s="125"/>
      <c r="AE309" s="125"/>
      <c r="AF309" s="125"/>
    </row>
    <row r="310">
      <c r="A310" s="88" t="s">
        <v>1796</v>
      </c>
      <c r="B310" s="10"/>
      <c r="C310" s="10" t="s">
        <v>34</v>
      </c>
      <c r="D310" s="124" t="s">
        <v>1386</v>
      </c>
      <c r="E310" s="9" t="s">
        <v>36</v>
      </c>
      <c r="F310" s="9" t="s">
        <v>52</v>
      </c>
      <c r="G310" s="12" t="s">
        <v>1797</v>
      </c>
      <c r="H310" s="13"/>
      <c r="I310" s="13"/>
      <c r="J310" s="9" t="s">
        <v>39</v>
      </c>
      <c r="K310" s="9" t="s">
        <v>471</v>
      </c>
      <c r="L310" s="9" t="s">
        <v>495</v>
      </c>
      <c r="M310" s="138">
        <f>2349070536253</f>
        <v>2349070536253</v>
      </c>
      <c r="N310" s="9" t="s">
        <v>91</v>
      </c>
      <c r="O310" s="134">
        <v>46093.0</v>
      </c>
      <c r="P310" s="9" t="s">
        <v>1720</v>
      </c>
      <c r="Q310" s="138">
        <f>2347067852062</f>
        <v>2347067852062</v>
      </c>
      <c r="R310" s="134">
        <v>46093.0</v>
      </c>
      <c r="S310" s="132" t="s">
        <v>1798</v>
      </c>
      <c r="T310" s="130"/>
      <c r="U310" s="130"/>
      <c r="V310" s="125" t="s">
        <v>1799</v>
      </c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</row>
    <row r="311">
      <c r="A311" s="88" t="s">
        <v>1800</v>
      </c>
      <c r="B311" s="10"/>
      <c r="C311" s="10" t="s">
        <v>34</v>
      </c>
      <c r="D311" s="124" t="s">
        <v>1801</v>
      </c>
      <c r="E311" s="9" t="s">
        <v>65</v>
      </c>
      <c r="F311" s="9" t="s">
        <v>52</v>
      </c>
      <c r="G311" s="12" t="s">
        <v>1802</v>
      </c>
      <c r="H311" s="13"/>
      <c r="I311" s="13"/>
      <c r="J311" s="9" t="s">
        <v>39</v>
      </c>
      <c r="K311" s="9" t="s">
        <v>443</v>
      </c>
      <c r="L311" s="9" t="s">
        <v>1720</v>
      </c>
      <c r="M311" s="138">
        <f>2347067852062</f>
        <v>2347067852062</v>
      </c>
      <c r="N311" s="9" t="s">
        <v>91</v>
      </c>
      <c r="O311" s="134">
        <v>46093.0</v>
      </c>
      <c r="P311" s="9" t="s">
        <v>783</v>
      </c>
      <c r="Q311" s="9" t="s">
        <v>1803</v>
      </c>
      <c r="R311" s="134">
        <v>46098.0</v>
      </c>
      <c r="S311" s="131"/>
      <c r="T311" s="130"/>
      <c r="U311" s="130"/>
      <c r="V311" s="125" t="s">
        <v>1804</v>
      </c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</row>
    <row r="312">
      <c r="A312" s="88" t="s">
        <v>1805</v>
      </c>
      <c r="B312" s="10"/>
      <c r="C312" s="10" t="s">
        <v>34</v>
      </c>
      <c r="D312" s="124" t="s">
        <v>617</v>
      </c>
      <c r="E312" s="9" t="s">
        <v>65</v>
      </c>
      <c r="F312" s="9" t="s">
        <v>52</v>
      </c>
      <c r="G312" s="12" t="s">
        <v>1806</v>
      </c>
      <c r="H312" s="13"/>
      <c r="I312" s="13"/>
      <c r="J312" s="9" t="s">
        <v>39</v>
      </c>
      <c r="K312" s="9" t="s">
        <v>841</v>
      </c>
      <c r="L312" s="9" t="s">
        <v>970</v>
      </c>
      <c r="M312" s="138">
        <f>2349137123168</f>
        <v>2349137123168</v>
      </c>
      <c r="N312" s="9" t="s">
        <v>91</v>
      </c>
      <c r="O312" s="134">
        <v>46094.0</v>
      </c>
      <c r="P312" s="9" t="s">
        <v>431</v>
      </c>
      <c r="Q312" s="9" t="s">
        <v>1807</v>
      </c>
      <c r="R312" s="134">
        <v>46097.0</v>
      </c>
      <c r="S312" s="131"/>
      <c r="T312" s="130"/>
      <c r="U312" s="130"/>
      <c r="V312" s="125" t="s">
        <v>1808</v>
      </c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</row>
    <row r="313">
      <c r="A313" s="88" t="s">
        <v>1809</v>
      </c>
      <c r="B313" s="10"/>
      <c r="C313" s="10" t="s">
        <v>34</v>
      </c>
      <c r="D313" s="124" t="s">
        <v>1810</v>
      </c>
      <c r="E313" s="9" t="s">
        <v>65</v>
      </c>
      <c r="F313" s="9" t="s">
        <v>37</v>
      </c>
      <c r="G313" s="12" t="s">
        <v>1811</v>
      </c>
      <c r="H313" s="13"/>
      <c r="I313" s="13"/>
      <c r="J313" s="9" t="s">
        <v>39</v>
      </c>
      <c r="K313" s="9" t="s">
        <v>841</v>
      </c>
      <c r="L313" s="9" t="s">
        <v>1730</v>
      </c>
      <c r="M313" s="138"/>
      <c r="N313" s="9" t="s">
        <v>91</v>
      </c>
      <c r="O313" s="134">
        <v>46094.0</v>
      </c>
      <c r="P313" s="9" t="s">
        <v>1812</v>
      </c>
      <c r="Q313" s="9" t="s">
        <v>1813</v>
      </c>
      <c r="R313" s="146" t="s">
        <v>798</v>
      </c>
      <c r="S313" s="131"/>
      <c r="T313" s="130"/>
      <c r="U313" s="130"/>
      <c r="V313" s="125" t="s">
        <v>1814</v>
      </c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</row>
    <row r="314">
      <c r="A314" s="88" t="s">
        <v>1815</v>
      </c>
      <c r="B314" s="10"/>
      <c r="C314" s="10" t="s">
        <v>34</v>
      </c>
      <c r="D314" s="124" t="s">
        <v>1409</v>
      </c>
      <c r="E314" s="9" t="s">
        <v>139</v>
      </c>
      <c r="F314" s="9" t="s">
        <v>1565</v>
      </c>
      <c r="G314" s="12" t="s">
        <v>1816</v>
      </c>
      <c r="H314" s="13"/>
      <c r="I314" s="13"/>
      <c r="J314" s="9" t="s">
        <v>39</v>
      </c>
      <c r="K314" s="9" t="s">
        <v>658</v>
      </c>
      <c r="L314" s="9" t="s">
        <v>333</v>
      </c>
      <c r="M314" s="9" t="s">
        <v>1817</v>
      </c>
      <c r="N314" s="9" t="s">
        <v>91</v>
      </c>
      <c r="O314" s="134">
        <v>46094.0</v>
      </c>
      <c r="P314" s="9" t="s">
        <v>1766</v>
      </c>
      <c r="Q314" s="9" t="s">
        <v>1767</v>
      </c>
      <c r="R314" s="134">
        <v>46095.0</v>
      </c>
      <c r="S314" s="131"/>
      <c r="T314" s="130"/>
      <c r="U314" s="130"/>
      <c r="V314" s="125" t="s">
        <v>1818</v>
      </c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/>
    </row>
    <row r="315">
      <c r="A315" s="88" t="s">
        <v>1819</v>
      </c>
      <c r="B315" s="10"/>
      <c r="C315" s="10" t="s">
        <v>34</v>
      </c>
      <c r="D315" s="124" t="s">
        <v>1386</v>
      </c>
      <c r="E315" s="9" t="s">
        <v>218</v>
      </c>
      <c r="F315" s="9" t="s">
        <v>52</v>
      </c>
      <c r="G315" s="12" t="s">
        <v>1820</v>
      </c>
      <c r="H315" s="13"/>
      <c r="I315" s="13"/>
      <c r="J315" s="9" t="s">
        <v>39</v>
      </c>
      <c r="K315" s="9" t="s">
        <v>663</v>
      </c>
      <c r="L315" s="9" t="s">
        <v>1821</v>
      </c>
      <c r="M315" s="9" t="s">
        <v>1822</v>
      </c>
      <c r="N315" s="9" t="s">
        <v>91</v>
      </c>
      <c r="O315" s="134">
        <v>46094.0</v>
      </c>
      <c r="P315" s="138"/>
      <c r="Q315" s="138"/>
      <c r="R315" s="138"/>
      <c r="S315" s="131"/>
      <c r="T315" s="130"/>
      <c r="U315" s="130"/>
      <c r="V315" s="125" t="s">
        <v>1823</v>
      </c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</row>
    <row r="316">
      <c r="A316" s="88" t="s">
        <v>1824</v>
      </c>
      <c r="B316" s="10"/>
      <c r="C316" s="10" t="s">
        <v>34</v>
      </c>
      <c r="D316" s="124" t="s">
        <v>128</v>
      </c>
      <c r="E316" s="9" t="s">
        <v>218</v>
      </c>
      <c r="F316" s="9" t="s">
        <v>37</v>
      </c>
      <c r="G316" s="139"/>
      <c r="H316" s="140"/>
      <c r="I316" s="140"/>
      <c r="J316" s="9" t="s">
        <v>39</v>
      </c>
      <c r="K316" s="138"/>
      <c r="L316" s="138"/>
      <c r="M316" s="138"/>
      <c r="N316" s="138"/>
      <c r="O316" s="138"/>
      <c r="P316" s="138"/>
      <c r="Q316" s="138"/>
      <c r="R316" s="138"/>
      <c r="S316" s="131"/>
      <c r="T316" s="130"/>
      <c r="U316" s="130"/>
      <c r="V316" s="125" t="s">
        <v>1825</v>
      </c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</row>
    <row r="317">
      <c r="A317" s="88" t="s">
        <v>1826</v>
      </c>
      <c r="B317" s="10"/>
      <c r="C317" s="10" t="s">
        <v>34</v>
      </c>
      <c r="D317" s="124" t="s">
        <v>1827</v>
      </c>
      <c r="E317" s="9" t="s">
        <v>1512</v>
      </c>
      <c r="F317" s="9" t="s">
        <v>122</v>
      </c>
      <c r="G317" s="12" t="s">
        <v>1828</v>
      </c>
      <c r="H317" s="13"/>
      <c r="I317" s="13"/>
      <c r="J317" s="9" t="s">
        <v>68</v>
      </c>
      <c r="K317" s="9" t="s">
        <v>358</v>
      </c>
      <c r="L317" s="9" t="s">
        <v>1829</v>
      </c>
      <c r="M317" s="138">
        <f>2349137123168</f>
        <v>2349137123168</v>
      </c>
      <c r="N317" s="9" t="s">
        <v>91</v>
      </c>
      <c r="O317" s="134">
        <v>46095.0</v>
      </c>
      <c r="P317" s="9" t="s">
        <v>1830</v>
      </c>
      <c r="Q317" s="138">
        <f>2348137226383</f>
        <v>2348137226383</v>
      </c>
      <c r="R317" s="134">
        <v>46115.0</v>
      </c>
      <c r="S317" s="131"/>
      <c r="T317" s="130"/>
      <c r="U317" s="130"/>
      <c r="V317" s="125" t="s">
        <v>1831</v>
      </c>
      <c r="W317" s="125"/>
      <c r="X317" s="125"/>
      <c r="Y317" s="125"/>
      <c r="Z317" s="125"/>
      <c r="AA317" s="125"/>
      <c r="AB317" s="125"/>
      <c r="AC317" s="125"/>
      <c r="AD317" s="125"/>
      <c r="AE317" s="125"/>
      <c r="AF317" s="125"/>
    </row>
    <row r="318">
      <c r="A318" s="88" t="s">
        <v>1832</v>
      </c>
      <c r="B318" s="10"/>
      <c r="C318" s="10" t="s">
        <v>1403</v>
      </c>
      <c r="D318" s="184" t="s">
        <v>50</v>
      </c>
      <c r="E318" s="9" t="s">
        <v>370</v>
      </c>
      <c r="F318" s="9" t="s">
        <v>52</v>
      </c>
      <c r="G318" s="12" t="s">
        <v>1833</v>
      </c>
      <c r="H318" s="13"/>
      <c r="I318" s="13"/>
      <c r="J318" s="9" t="s">
        <v>39</v>
      </c>
      <c r="K318" s="9" t="s">
        <v>1834</v>
      </c>
      <c r="L318" s="9" t="s">
        <v>1835</v>
      </c>
      <c r="M318" s="9" t="s">
        <v>1836</v>
      </c>
      <c r="N318" s="9" t="s">
        <v>91</v>
      </c>
      <c r="O318" s="134">
        <v>46095.0</v>
      </c>
      <c r="P318" s="9" t="s">
        <v>1829</v>
      </c>
      <c r="Q318" s="138">
        <f>2349137123168</f>
        <v>2349137123168</v>
      </c>
      <c r="R318" s="134">
        <v>46095.0</v>
      </c>
      <c r="S318" s="134"/>
      <c r="T318" s="130"/>
      <c r="U318" s="130"/>
      <c r="V318" s="125" t="s">
        <v>1837</v>
      </c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</row>
    <row r="319">
      <c r="A319" s="88" t="s">
        <v>1838</v>
      </c>
      <c r="B319" s="10"/>
      <c r="C319" s="10" t="s">
        <v>34</v>
      </c>
      <c r="D319" s="124" t="s">
        <v>1359</v>
      </c>
      <c r="E319" s="9" t="s">
        <v>65</v>
      </c>
      <c r="F319" s="9" t="s">
        <v>1360</v>
      </c>
      <c r="G319" s="12" t="s">
        <v>1839</v>
      </c>
      <c r="H319" s="13"/>
      <c r="I319" s="13"/>
      <c r="J319" s="9" t="s">
        <v>1362</v>
      </c>
      <c r="K319" s="9" t="s">
        <v>122</v>
      </c>
      <c r="L319" s="9" t="s">
        <v>1840</v>
      </c>
      <c r="M319" s="138">
        <f>2348148422331</f>
        <v>2348148422331</v>
      </c>
      <c r="N319" s="9" t="s">
        <v>122</v>
      </c>
      <c r="O319" s="9" t="s">
        <v>1841</v>
      </c>
      <c r="P319" s="9" t="s">
        <v>1842</v>
      </c>
      <c r="Q319" s="138">
        <f>2348165523297</f>
        <v>2348165523297</v>
      </c>
      <c r="R319" s="185">
        <v>46119.0</v>
      </c>
      <c r="S319" s="131"/>
      <c r="T319" s="130"/>
      <c r="U319" s="130"/>
      <c r="V319" s="125" t="s">
        <v>1843</v>
      </c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</row>
    <row r="320">
      <c r="A320" s="88" t="s">
        <v>1844</v>
      </c>
      <c r="B320" s="10"/>
      <c r="C320" s="10" t="s">
        <v>34</v>
      </c>
      <c r="D320" s="124" t="s">
        <v>1066</v>
      </c>
      <c r="E320" s="9" t="s">
        <v>370</v>
      </c>
      <c r="F320" s="9" t="s">
        <v>86</v>
      </c>
      <c r="G320" s="180" t="s">
        <v>1845</v>
      </c>
      <c r="H320" s="181"/>
      <c r="I320" s="181"/>
      <c r="J320" s="9" t="s">
        <v>39</v>
      </c>
      <c r="K320" s="9" t="s">
        <v>122</v>
      </c>
      <c r="L320" s="9" t="s">
        <v>1846</v>
      </c>
      <c r="M320" s="9" t="s">
        <v>124</v>
      </c>
      <c r="N320" s="9" t="s">
        <v>91</v>
      </c>
      <c r="O320" s="134">
        <v>46095.0</v>
      </c>
      <c r="P320" s="9" t="s">
        <v>721</v>
      </c>
      <c r="Q320" s="9" t="s">
        <v>1847</v>
      </c>
      <c r="R320" s="134">
        <v>46095.0</v>
      </c>
      <c r="S320" s="131"/>
      <c r="T320" s="130"/>
      <c r="U320" s="130"/>
      <c r="V320" s="125" t="s">
        <v>1848</v>
      </c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</row>
    <row r="321">
      <c r="A321" s="88" t="s">
        <v>1849</v>
      </c>
      <c r="B321" s="10"/>
      <c r="C321" s="10" t="s">
        <v>34</v>
      </c>
      <c r="D321" s="124" t="s">
        <v>356</v>
      </c>
      <c r="E321" s="9" t="s">
        <v>65</v>
      </c>
      <c r="F321" s="9" t="s">
        <v>37</v>
      </c>
      <c r="G321" s="12" t="s">
        <v>1850</v>
      </c>
      <c r="H321" s="13"/>
      <c r="I321" s="13"/>
      <c r="J321" s="9" t="s">
        <v>39</v>
      </c>
      <c r="K321" s="9" t="s">
        <v>358</v>
      </c>
      <c r="L321" s="9" t="s">
        <v>844</v>
      </c>
      <c r="M321" s="9" t="s">
        <v>1523</v>
      </c>
      <c r="N321" s="9" t="s">
        <v>91</v>
      </c>
      <c r="O321" s="134">
        <v>46098.0</v>
      </c>
      <c r="P321" s="9" t="s">
        <v>1851</v>
      </c>
      <c r="Q321" s="138">
        <f>2347030251517</f>
        <v>2347030251517</v>
      </c>
      <c r="R321" s="134">
        <v>46102.0</v>
      </c>
      <c r="S321" s="131"/>
      <c r="T321" s="130"/>
      <c r="U321" s="130"/>
      <c r="V321" s="125" t="s">
        <v>1852</v>
      </c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</row>
    <row r="322">
      <c r="A322" s="186" t="s">
        <v>1853</v>
      </c>
      <c r="B322" s="10"/>
      <c r="C322" s="10" t="s">
        <v>34</v>
      </c>
      <c r="D322" s="124" t="s">
        <v>356</v>
      </c>
      <c r="E322" s="9" t="s">
        <v>1270</v>
      </c>
      <c r="F322" s="9" t="s">
        <v>52</v>
      </c>
      <c r="G322" s="187" t="s">
        <v>1854</v>
      </c>
      <c r="H322" s="188"/>
      <c r="I322" s="188"/>
      <c r="J322" s="9" t="s">
        <v>39</v>
      </c>
      <c r="K322" s="9" t="s">
        <v>358</v>
      </c>
      <c r="L322" s="9" t="s">
        <v>1855</v>
      </c>
      <c r="M322" s="9" t="s">
        <v>1856</v>
      </c>
      <c r="N322" s="9" t="s">
        <v>287</v>
      </c>
      <c r="O322" s="134">
        <v>46099.0</v>
      </c>
      <c r="P322" s="9" t="s">
        <v>844</v>
      </c>
      <c r="Q322" s="9" t="s">
        <v>1523</v>
      </c>
      <c r="R322" s="134">
        <v>46107.0</v>
      </c>
      <c r="S322" s="4"/>
      <c r="T322" s="138"/>
      <c r="U322" s="138"/>
      <c r="V322" s="9" t="s">
        <v>1857</v>
      </c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>
      <c r="A323" s="186" t="s">
        <v>1858</v>
      </c>
      <c r="B323" s="10"/>
      <c r="C323" s="10" t="s">
        <v>34</v>
      </c>
      <c r="D323" s="124" t="s">
        <v>406</v>
      </c>
      <c r="E323" s="9" t="s">
        <v>1728</v>
      </c>
      <c r="F323" s="9" t="s">
        <v>37</v>
      </c>
      <c r="G323" s="12" t="s">
        <v>1859</v>
      </c>
      <c r="H323" s="13"/>
      <c r="I323" s="13"/>
      <c r="J323" s="9" t="s">
        <v>39</v>
      </c>
      <c r="K323" s="9" t="s">
        <v>358</v>
      </c>
      <c r="L323" s="9" t="s">
        <v>1829</v>
      </c>
      <c r="M323" s="138">
        <f>2349137123168</f>
        <v>2349137123168</v>
      </c>
      <c r="N323" s="9" t="s">
        <v>91</v>
      </c>
      <c r="O323" s="134">
        <v>46100.0</v>
      </c>
      <c r="P323" s="9" t="s">
        <v>783</v>
      </c>
      <c r="Q323" s="138">
        <f>2348137676322</f>
        <v>2348137676322</v>
      </c>
      <c r="R323" s="189">
        <v>46101.0</v>
      </c>
      <c r="S323" s="4"/>
      <c r="T323" s="138"/>
      <c r="U323" s="138"/>
      <c r="V323" s="9" t="s">
        <v>1860</v>
      </c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>
      <c r="A324" s="186" t="s">
        <v>1861</v>
      </c>
      <c r="B324" s="10"/>
      <c r="C324" s="10" t="s">
        <v>1445</v>
      </c>
      <c r="D324" s="176" t="s">
        <v>1102</v>
      </c>
      <c r="E324" s="9" t="s">
        <v>1761</v>
      </c>
      <c r="F324" s="9" t="s">
        <v>37</v>
      </c>
      <c r="G324" s="12" t="s">
        <v>1762</v>
      </c>
      <c r="H324" s="13"/>
      <c r="I324" s="13"/>
      <c r="J324" s="9" t="s">
        <v>39</v>
      </c>
      <c r="K324" s="9" t="s">
        <v>358</v>
      </c>
      <c r="L324" s="9" t="s">
        <v>1644</v>
      </c>
      <c r="M324" s="9" t="s">
        <v>1645</v>
      </c>
      <c r="N324" s="9" t="s">
        <v>43</v>
      </c>
      <c r="O324" s="134">
        <v>46100.0</v>
      </c>
      <c r="P324" s="9" t="s">
        <v>1862</v>
      </c>
      <c r="Q324" s="190" t="s">
        <v>1847</v>
      </c>
      <c r="R324" s="9" t="s">
        <v>1445</v>
      </c>
      <c r="S324" s="4"/>
      <c r="T324" s="138"/>
      <c r="U324" s="138"/>
      <c r="V324" s="9" t="s">
        <v>1863</v>
      </c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>
      <c r="A325" s="186" t="s">
        <v>1864</v>
      </c>
      <c r="B325" s="10"/>
      <c r="C325" s="10" t="s">
        <v>1403</v>
      </c>
      <c r="D325" s="176" t="s">
        <v>1810</v>
      </c>
      <c r="E325" s="9" t="s">
        <v>51</v>
      </c>
      <c r="F325" s="9" t="s">
        <v>52</v>
      </c>
      <c r="G325" s="12" t="s">
        <v>1865</v>
      </c>
      <c r="H325" s="13"/>
      <c r="I325" s="13"/>
      <c r="J325" s="9" t="s">
        <v>39</v>
      </c>
      <c r="K325" s="9" t="s">
        <v>326</v>
      </c>
      <c r="L325" s="9" t="s">
        <v>1866</v>
      </c>
      <c r="M325" s="138">
        <f>2347042397112</f>
        <v>2347042397112</v>
      </c>
      <c r="N325" s="9" t="s">
        <v>91</v>
      </c>
      <c r="O325" s="134">
        <v>46101.0</v>
      </c>
      <c r="P325" s="138"/>
      <c r="Q325" s="138"/>
      <c r="R325" s="9" t="s">
        <v>1867</v>
      </c>
      <c r="S325" s="4"/>
      <c r="T325" s="138"/>
      <c r="U325" s="138"/>
      <c r="V325" s="9" t="s">
        <v>1868</v>
      </c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>
      <c r="A326" s="186" t="s">
        <v>1869</v>
      </c>
      <c r="B326" s="10"/>
      <c r="C326" s="10" t="s">
        <v>34</v>
      </c>
      <c r="D326" s="124" t="s">
        <v>356</v>
      </c>
      <c r="E326" s="9" t="s">
        <v>1270</v>
      </c>
      <c r="F326" s="9" t="s">
        <v>52</v>
      </c>
      <c r="G326" s="12" t="s">
        <v>1870</v>
      </c>
      <c r="H326" s="13"/>
      <c r="I326" s="13"/>
      <c r="J326" s="9" t="s">
        <v>39</v>
      </c>
      <c r="K326" s="9" t="s">
        <v>430</v>
      </c>
      <c r="L326" s="9" t="s">
        <v>1871</v>
      </c>
      <c r="M326" s="9" t="s">
        <v>1872</v>
      </c>
      <c r="N326" s="9" t="s">
        <v>91</v>
      </c>
      <c r="O326" s="134">
        <v>46102.0</v>
      </c>
      <c r="P326" s="9" t="s">
        <v>1873</v>
      </c>
      <c r="Q326" s="138">
        <f>2349060695934</f>
        <v>2349060695934</v>
      </c>
      <c r="R326" s="9" t="s">
        <v>1874</v>
      </c>
      <c r="S326" s="4"/>
      <c r="T326" s="138"/>
      <c r="U326" s="138"/>
      <c r="V326" s="9" t="s">
        <v>1875</v>
      </c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>
      <c r="A327" s="186" t="s">
        <v>1876</v>
      </c>
      <c r="B327" s="10"/>
      <c r="C327" s="10" t="s">
        <v>34</v>
      </c>
      <c r="D327" s="124" t="s">
        <v>1877</v>
      </c>
      <c r="E327" s="9" t="s">
        <v>51</v>
      </c>
      <c r="F327" s="9" t="s">
        <v>37</v>
      </c>
      <c r="G327" s="12" t="s">
        <v>1878</v>
      </c>
      <c r="H327" s="13"/>
      <c r="I327" s="13"/>
      <c r="J327" s="9" t="s">
        <v>39</v>
      </c>
      <c r="K327" s="9" t="s">
        <v>924</v>
      </c>
      <c r="L327" s="9" t="s">
        <v>451</v>
      </c>
      <c r="M327" s="9" t="s">
        <v>1879</v>
      </c>
      <c r="N327" s="9" t="s">
        <v>91</v>
      </c>
      <c r="O327" s="134">
        <v>46102.0</v>
      </c>
      <c r="P327" s="9" t="s">
        <v>1880</v>
      </c>
      <c r="Q327" s="138">
        <f>2347030251517</f>
        <v>2347030251517</v>
      </c>
      <c r="R327" s="134">
        <v>46107.0</v>
      </c>
      <c r="S327" s="4"/>
      <c r="T327" s="138"/>
      <c r="U327" s="138"/>
      <c r="V327" s="9" t="s">
        <v>1881</v>
      </c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>
      <c r="A328" s="186" t="s">
        <v>1882</v>
      </c>
      <c r="B328" s="10"/>
      <c r="C328" s="10" t="s">
        <v>34</v>
      </c>
      <c r="D328" s="124" t="s">
        <v>1883</v>
      </c>
      <c r="E328" s="9" t="s">
        <v>1728</v>
      </c>
      <c r="F328" s="9" t="s">
        <v>37</v>
      </c>
      <c r="G328" s="12" t="s">
        <v>1884</v>
      </c>
      <c r="H328" s="13"/>
      <c r="I328" s="13"/>
      <c r="J328" s="9" t="s">
        <v>39</v>
      </c>
      <c r="K328" s="9" t="s">
        <v>122</v>
      </c>
      <c r="L328" s="9" t="s">
        <v>1525</v>
      </c>
      <c r="M328" s="138">
        <f>2349035711584</f>
        <v>2349035711584</v>
      </c>
      <c r="N328" s="9" t="s">
        <v>91</v>
      </c>
      <c r="O328" s="134">
        <v>46104.0</v>
      </c>
      <c r="P328" s="9" t="s">
        <v>1885</v>
      </c>
      <c r="Q328" s="138"/>
      <c r="R328" s="134">
        <v>46108.0</v>
      </c>
      <c r="S328" s="4"/>
      <c r="T328" s="138"/>
      <c r="U328" s="138"/>
      <c r="V328" s="9" t="s">
        <v>1886</v>
      </c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>
      <c r="A329" s="186" t="s">
        <v>1887</v>
      </c>
      <c r="B329" s="10"/>
      <c r="C329" s="10" t="s">
        <v>34</v>
      </c>
      <c r="D329" s="124" t="s">
        <v>356</v>
      </c>
      <c r="E329" s="9" t="s">
        <v>1270</v>
      </c>
      <c r="F329" s="9" t="s">
        <v>52</v>
      </c>
      <c r="G329" s="191" t="s">
        <v>1888</v>
      </c>
      <c r="H329" s="192"/>
      <c r="I329" s="192"/>
      <c r="J329" s="9" t="s">
        <v>39</v>
      </c>
      <c r="K329" s="9" t="s">
        <v>663</v>
      </c>
      <c r="L329" s="9" t="s">
        <v>735</v>
      </c>
      <c r="M329" s="9" t="s">
        <v>153</v>
      </c>
      <c r="N329" s="9" t="s">
        <v>579</v>
      </c>
      <c r="O329" s="134">
        <v>46105.0</v>
      </c>
      <c r="P329" s="9" t="s">
        <v>1607</v>
      </c>
      <c r="Q329" s="138">
        <f>2348137226383</f>
        <v>2348137226383</v>
      </c>
      <c r="R329" s="138"/>
      <c r="S329" s="4"/>
      <c r="T329" s="138"/>
      <c r="U329" s="138"/>
      <c r="V329" s="9" t="s">
        <v>1889</v>
      </c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>
      <c r="A330" s="186" t="s">
        <v>1890</v>
      </c>
      <c r="B330" s="10"/>
      <c r="C330" s="10" t="s">
        <v>34</v>
      </c>
      <c r="D330" s="176" t="s">
        <v>617</v>
      </c>
      <c r="E330" s="9" t="s">
        <v>571</v>
      </c>
      <c r="F330" s="9" t="s">
        <v>52</v>
      </c>
      <c r="G330" s="12" t="s">
        <v>1891</v>
      </c>
      <c r="H330" s="13"/>
      <c r="I330" s="13"/>
      <c r="J330" s="9" t="s">
        <v>39</v>
      </c>
      <c r="K330" s="9" t="s">
        <v>471</v>
      </c>
      <c r="L330" s="9" t="s">
        <v>1892</v>
      </c>
      <c r="M330" s="9" t="s">
        <v>1448</v>
      </c>
      <c r="N330" s="9" t="s">
        <v>91</v>
      </c>
      <c r="O330" s="134">
        <v>46105.0</v>
      </c>
      <c r="P330" s="9" t="s">
        <v>320</v>
      </c>
      <c r="Q330" s="9" t="s">
        <v>321</v>
      </c>
      <c r="R330" s="183">
        <v>46107.0</v>
      </c>
      <c r="S330" s="4"/>
      <c r="T330" s="138"/>
      <c r="U330" s="138"/>
      <c r="V330" s="9" t="s">
        <v>1893</v>
      </c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>
      <c r="A331" s="186" t="s">
        <v>1894</v>
      </c>
      <c r="B331" s="10"/>
      <c r="C331" s="10" t="s">
        <v>1403</v>
      </c>
      <c r="D331" s="124" t="s">
        <v>1102</v>
      </c>
      <c r="E331" s="9" t="s">
        <v>1112</v>
      </c>
      <c r="F331" s="9" t="s">
        <v>37</v>
      </c>
      <c r="G331" s="12" t="s">
        <v>1895</v>
      </c>
      <c r="H331" s="13"/>
      <c r="I331" s="13"/>
      <c r="J331" s="9" t="s">
        <v>39</v>
      </c>
      <c r="K331" s="9" t="s">
        <v>1104</v>
      </c>
      <c r="L331" s="9" t="s">
        <v>540</v>
      </c>
      <c r="M331" s="175" t="s">
        <v>42</v>
      </c>
      <c r="N331" s="9" t="s">
        <v>91</v>
      </c>
      <c r="O331" s="134">
        <v>46107.0</v>
      </c>
      <c r="P331" s="9" t="s">
        <v>750</v>
      </c>
      <c r="Q331" s="9" t="s">
        <v>395</v>
      </c>
      <c r="R331" s="134">
        <v>46108.0</v>
      </c>
      <c r="S331" s="4"/>
      <c r="T331" s="138"/>
      <c r="U331" s="138"/>
      <c r="V331" s="9" t="s">
        <v>1896</v>
      </c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>
      <c r="A332" s="186" t="s">
        <v>1897</v>
      </c>
      <c r="B332" s="10"/>
      <c r="C332" s="10" t="s">
        <v>34</v>
      </c>
      <c r="D332" s="124" t="s">
        <v>1898</v>
      </c>
      <c r="E332" s="9" t="s">
        <v>65</v>
      </c>
      <c r="F332" s="9" t="s">
        <v>122</v>
      </c>
      <c r="G332" s="12" t="s">
        <v>1899</v>
      </c>
      <c r="H332" s="13"/>
      <c r="I332" s="13"/>
      <c r="J332" s="9" t="s">
        <v>1900</v>
      </c>
      <c r="K332" s="9" t="s">
        <v>122</v>
      </c>
      <c r="L332" s="9" t="s">
        <v>844</v>
      </c>
      <c r="M332" s="91" t="s">
        <v>90</v>
      </c>
      <c r="N332" s="9" t="s">
        <v>91</v>
      </c>
      <c r="O332" s="134">
        <v>46107.0</v>
      </c>
      <c r="P332" s="138"/>
      <c r="Q332" s="138"/>
      <c r="R332" s="9" t="s">
        <v>1874</v>
      </c>
      <c r="S332" s="4"/>
      <c r="T332" s="138"/>
      <c r="U332" s="138"/>
      <c r="V332" s="9" t="s">
        <v>1901</v>
      </c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>
      <c r="A333" s="186" t="s">
        <v>1902</v>
      </c>
      <c r="B333" s="10"/>
      <c r="C333" s="10" t="s">
        <v>34</v>
      </c>
      <c r="D333" s="124" t="s">
        <v>1648</v>
      </c>
      <c r="E333" s="9" t="s">
        <v>1270</v>
      </c>
      <c r="F333" s="9" t="s">
        <v>37</v>
      </c>
      <c r="G333" s="12" t="s">
        <v>1903</v>
      </c>
      <c r="H333" s="13"/>
      <c r="I333" s="13"/>
      <c r="J333" s="9" t="s">
        <v>39</v>
      </c>
      <c r="K333" s="9" t="s">
        <v>663</v>
      </c>
      <c r="L333" s="9" t="s">
        <v>1607</v>
      </c>
      <c r="M333" s="9" t="s">
        <v>1608</v>
      </c>
      <c r="N333" s="9" t="s">
        <v>91</v>
      </c>
      <c r="O333" s="134">
        <v>46107.0</v>
      </c>
      <c r="P333" s="9" t="s">
        <v>211</v>
      </c>
      <c r="Q333" s="190" t="s">
        <v>1904</v>
      </c>
      <c r="R333" s="9" t="s">
        <v>1905</v>
      </c>
      <c r="S333" s="4"/>
      <c r="T333" s="138"/>
      <c r="U333" s="138"/>
      <c r="V333" s="9" t="s">
        <v>1906</v>
      </c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>
      <c r="A334" s="186" t="s">
        <v>1907</v>
      </c>
      <c r="B334" s="10"/>
      <c r="C334" s="10" t="s">
        <v>34</v>
      </c>
      <c r="D334" s="124" t="s">
        <v>1066</v>
      </c>
      <c r="E334" s="9" t="s">
        <v>311</v>
      </c>
      <c r="F334" s="9" t="s">
        <v>86</v>
      </c>
      <c r="G334" s="12" t="s">
        <v>1908</v>
      </c>
      <c r="H334" s="13">
        <v>100000.0</v>
      </c>
      <c r="I334" s="13"/>
      <c r="J334" s="9" t="s">
        <v>39</v>
      </c>
      <c r="K334" s="9" t="s">
        <v>1627</v>
      </c>
      <c r="L334" s="9" t="s">
        <v>341</v>
      </c>
      <c r="M334" s="9" t="s">
        <v>1909</v>
      </c>
      <c r="N334" s="9" t="s">
        <v>91</v>
      </c>
      <c r="O334" s="134">
        <v>46108.0</v>
      </c>
      <c r="P334" s="9" t="s">
        <v>913</v>
      </c>
      <c r="Q334" s="9" t="s">
        <v>1910</v>
      </c>
      <c r="R334" s="183">
        <v>46132.0</v>
      </c>
      <c r="S334" s="4"/>
      <c r="T334" s="138"/>
      <c r="U334" s="138"/>
      <c r="V334" s="9" t="s">
        <v>1911</v>
      </c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>
      <c r="A335" s="186" t="s">
        <v>1912</v>
      </c>
      <c r="B335" s="10"/>
      <c r="C335" s="10" t="s">
        <v>34</v>
      </c>
      <c r="D335" s="124" t="s">
        <v>1466</v>
      </c>
      <c r="E335" s="9" t="s">
        <v>65</v>
      </c>
      <c r="F335" s="9" t="s">
        <v>37</v>
      </c>
      <c r="G335" s="12" t="s">
        <v>1913</v>
      </c>
      <c r="H335" s="13"/>
      <c r="I335" s="13"/>
      <c r="J335" s="9" t="s">
        <v>228</v>
      </c>
      <c r="K335" s="9" t="s">
        <v>122</v>
      </c>
      <c r="L335" s="9" t="s">
        <v>100</v>
      </c>
      <c r="M335" s="133" t="s">
        <v>101</v>
      </c>
      <c r="N335" s="9" t="s">
        <v>91</v>
      </c>
      <c r="O335" s="134">
        <v>46108.0</v>
      </c>
      <c r="P335" s="9" t="s">
        <v>1914</v>
      </c>
      <c r="Q335" s="138">
        <f>2349167371765</f>
        <v>2349167371765</v>
      </c>
      <c r="R335" s="134">
        <v>46108.0</v>
      </c>
      <c r="S335" s="4"/>
      <c r="T335" s="138"/>
      <c r="U335" s="138"/>
      <c r="V335" s="9" t="s">
        <v>1915</v>
      </c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>
      <c r="A336" s="186" t="s">
        <v>1916</v>
      </c>
      <c r="B336" s="10"/>
      <c r="C336" s="10" t="s">
        <v>1283</v>
      </c>
      <c r="D336" s="147" t="s">
        <v>462</v>
      </c>
      <c r="E336" s="9" t="s">
        <v>51</v>
      </c>
      <c r="F336" s="9" t="s">
        <v>52</v>
      </c>
      <c r="G336" s="139"/>
      <c r="H336" s="140"/>
      <c r="I336" s="140"/>
      <c r="J336" s="138"/>
      <c r="K336" s="138"/>
      <c r="L336" s="138"/>
      <c r="M336" s="138"/>
      <c r="N336" s="138"/>
      <c r="O336" s="138"/>
      <c r="P336" s="138"/>
      <c r="Q336" s="138"/>
      <c r="R336" s="138"/>
      <c r="S336" s="4"/>
      <c r="T336" s="138"/>
      <c r="U336" s="138"/>
      <c r="V336" s="9" t="s">
        <v>1917</v>
      </c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>
      <c r="A337" s="186" t="s">
        <v>1918</v>
      </c>
      <c r="B337" s="10"/>
      <c r="C337" s="10" t="s">
        <v>34</v>
      </c>
      <c r="D337" s="124" t="s">
        <v>1481</v>
      </c>
      <c r="E337" s="9" t="s">
        <v>65</v>
      </c>
      <c r="F337" s="9" t="s">
        <v>52</v>
      </c>
      <c r="G337" s="12" t="s">
        <v>1919</v>
      </c>
      <c r="H337" s="13"/>
      <c r="I337" s="13"/>
      <c r="J337" s="9" t="s">
        <v>39</v>
      </c>
      <c r="K337" s="9" t="s">
        <v>358</v>
      </c>
      <c r="L337" s="9" t="s">
        <v>1616</v>
      </c>
      <c r="M337" s="9" t="s">
        <v>1548</v>
      </c>
      <c r="N337" s="9" t="s">
        <v>91</v>
      </c>
      <c r="O337" s="134">
        <v>46114.0</v>
      </c>
      <c r="P337" s="138"/>
      <c r="Q337" s="138"/>
      <c r="R337" s="138"/>
      <c r="S337" s="4"/>
      <c r="T337" s="138"/>
      <c r="U337" s="138"/>
      <c r="V337" s="9" t="s">
        <v>1920</v>
      </c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>
      <c r="A338" s="186" t="s">
        <v>1921</v>
      </c>
      <c r="B338" s="193"/>
      <c r="C338" s="193" t="s">
        <v>34</v>
      </c>
      <c r="D338" s="194" t="s">
        <v>1386</v>
      </c>
      <c r="E338" s="9" t="s">
        <v>218</v>
      </c>
      <c r="F338" s="9" t="s">
        <v>52</v>
      </c>
      <c r="G338" s="12" t="s">
        <v>1922</v>
      </c>
      <c r="H338" s="13"/>
      <c r="I338" s="13"/>
      <c r="J338" s="9" t="s">
        <v>39</v>
      </c>
      <c r="K338" s="195">
        <v>0.91</v>
      </c>
      <c r="L338" s="9" t="s">
        <v>1821</v>
      </c>
      <c r="M338" s="9" t="s">
        <v>1923</v>
      </c>
      <c r="N338" s="9" t="s">
        <v>91</v>
      </c>
      <c r="O338" s="134">
        <v>46091.0</v>
      </c>
      <c r="P338" s="9" t="s">
        <v>1924</v>
      </c>
      <c r="Q338" s="9" t="s">
        <v>1817</v>
      </c>
      <c r="R338" s="134">
        <v>46091.0</v>
      </c>
      <c r="S338" s="4"/>
      <c r="T338" s="196" t="s">
        <v>1925</v>
      </c>
      <c r="U338" s="9"/>
      <c r="V338" s="9" t="s">
        <v>1926</v>
      </c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>
      <c r="A339" s="186" t="s">
        <v>1927</v>
      </c>
      <c r="B339" s="10"/>
      <c r="C339" s="10" t="s">
        <v>34</v>
      </c>
      <c r="D339" s="182" t="s">
        <v>108</v>
      </c>
      <c r="E339" s="9" t="s">
        <v>65</v>
      </c>
      <c r="F339" s="9" t="s">
        <v>52</v>
      </c>
      <c r="G339" s="12" t="s">
        <v>1928</v>
      </c>
      <c r="H339" s="13"/>
      <c r="I339" s="13"/>
      <c r="J339" s="9" t="s">
        <v>39</v>
      </c>
      <c r="K339" s="9" t="s">
        <v>443</v>
      </c>
      <c r="L339" s="9" t="s">
        <v>163</v>
      </c>
      <c r="M339" s="9" t="s">
        <v>667</v>
      </c>
      <c r="N339" s="9" t="s">
        <v>91</v>
      </c>
      <c r="O339" s="134">
        <v>46113.0</v>
      </c>
      <c r="P339" s="9" t="s">
        <v>750</v>
      </c>
      <c r="Q339" s="9" t="s">
        <v>395</v>
      </c>
      <c r="R339" s="183">
        <v>46116.0</v>
      </c>
      <c r="S339" s="4"/>
      <c r="T339" s="138"/>
      <c r="U339" s="138"/>
      <c r="V339" s="9" t="s">
        <v>1929</v>
      </c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>
      <c r="A340" s="186" t="s">
        <v>1930</v>
      </c>
      <c r="B340" s="10"/>
      <c r="C340" s="10" t="s">
        <v>1445</v>
      </c>
      <c r="D340" s="182" t="s">
        <v>617</v>
      </c>
      <c r="E340" s="9" t="s">
        <v>571</v>
      </c>
      <c r="F340" s="9" t="s">
        <v>52</v>
      </c>
      <c r="G340" s="12" t="s">
        <v>1931</v>
      </c>
      <c r="H340" s="13">
        <v>330000.0</v>
      </c>
      <c r="I340" s="13"/>
      <c r="J340" s="9" t="s">
        <v>39</v>
      </c>
      <c r="K340" s="9" t="s">
        <v>663</v>
      </c>
      <c r="L340" s="9" t="s">
        <v>844</v>
      </c>
      <c r="M340" s="9" t="s">
        <v>90</v>
      </c>
      <c r="N340" s="9" t="s">
        <v>91</v>
      </c>
      <c r="O340" s="9" t="s">
        <v>1867</v>
      </c>
      <c r="P340" s="9" t="s">
        <v>1932</v>
      </c>
      <c r="Q340" s="9" t="s">
        <v>1933</v>
      </c>
      <c r="R340" s="9" t="s">
        <v>1445</v>
      </c>
      <c r="S340" s="4"/>
      <c r="T340" s="138"/>
      <c r="U340" s="138"/>
      <c r="V340" s="9" t="s">
        <v>1934</v>
      </c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>
      <c r="A341" s="186" t="s">
        <v>1935</v>
      </c>
      <c r="B341" s="197">
        <v>0.7602383217599709</v>
      </c>
      <c r="C341" s="193" t="s">
        <v>34</v>
      </c>
      <c r="D341" s="124" t="s">
        <v>84</v>
      </c>
      <c r="E341" s="9" t="s">
        <v>370</v>
      </c>
      <c r="F341" s="9" t="s">
        <v>52</v>
      </c>
      <c r="G341" s="12" t="s">
        <v>1936</v>
      </c>
      <c r="H341" s="13"/>
      <c r="I341" s="13"/>
      <c r="J341" s="9" t="s">
        <v>39</v>
      </c>
      <c r="K341" s="9" t="s">
        <v>358</v>
      </c>
      <c r="L341" s="9" t="s">
        <v>1616</v>
      </c>
      <c r="M341" s="9" t="s">
        <v>1548</v>
      </c>
      <c r="N341" s="9" t="s">
        <v>91</v>
      </c>
      <c r="O341" s="134">
        <v>46115.0</v>
      </c>
      <c r="P341" s="198" t="s">
        <v>306</v>
      </c>
      <c r="Q341" s="175" t="s">
        <v>307</v>
      </c>
      <c r="R341" s="134">
        <v>46115.0</v>
      </c>
      <c r="S341" s="199">
        <v>0.5830748958323966</v>
      </c>
      <c r="T341" s="138"/>
      <c r="U341" s="138"/>
      <c r="V341" s="9" t="s">
        <v>1937</v>
      </c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>
      <c r="A342" s="186" t="s">
        <v>1938</v>
      </c>
      <c r="B342" s="197">
        <v>0.7601979050959926</v>
      </c>
      <c r="C342" s="193" t="s">
        <v>34</v>
      </c>
      <c r="D342" s="182" t="s">
        <v>1939</v>
      </c>
      <c r="E342" s="9" t="s">
        <v>1940</v>
      </c>
      <c r="F342" s="9" t="s">
        <v>37</v>
      </c>
      <c r="G342" s="12" t="s">
        <v>1941</v>
      </c>
      <c r="H342" s="13">
        <v>500000.0</v>
      </c>
      <c r="I342" s="13"/>
      <c r="J342" s="9" t="s">
        <v>39</v>
      </c>
      <c r="K342" s="9" t="s">
        <v>443</v>
      </c>
      <c r="L342" s="200" t="s">
        <v>183</v>
      </c>
      <c r="M342" s="175" t="s">
        <v>42</v>
      </c>
      <c r="N342" s="9" t="s">
        <v>43</v>
      </c>
      <c r="O342" s="134">
        <v>46115.0</v>
      </c>
      <c r="P342" s="9" t="s">
        <v>1942</v>
      </c>
      <c r="Q342" s="9" t="s">
        <v>1943</v>
      </c>
      <c r="R342" s="9" t="s">
        <v>1944</v>
      </c>
      <c r="S342" s="199">
        <v>0.6052592013875255</v>
      </c>
      <c r="T342" s="138"/>
      <c r="U342" s="138"/>
      <c r="V342" s="9" t="s">
        <v>1945</v>
      </c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>
      <c r="A343" s="186" t="s">
        <v>1946</v>
      </c>
      <c r="B343" s="197">
        <v>0.7601259606453823</v>
      </c>
      <c r="C343" s="193" t="s">
        <v>34</v>
      </c>
      <c r="D343" s="182" t="s">
        <v>1947</v>
      </c>
      <c r="E343" s="9" t="s">
        <v>1948</v>
      </c>
      <c r="F343" s="9" t="s">
        <v>37</v>
      </c>
      <c r="G343" s="12" t="s">
        <v>1949</v>
      </c>
      <c r="H343" s="13">
        <v>1000000.0</v>
      </c>
      <c r="I343" s="13"/>
      <c r="J343" s="9" t="s">
        <v>39</v>
      </c>
      <c r="K343" s="9" t="s">
        <v>1104</v>
      </c>
      <c r="L343" s="200" t="s">
        <v>183</v>
      </c>
      <c r="M343" s="175" t="s">
        <v>545</v>
      </c>
      <c r="N343" s="9" t="s">
        <v>91</v>
      </c>
      <c r="O343" s="134">
        <v>46115.0</v>
      </c>
      <c r="P343" s="9" t="s">
        <v>1950</v>
      </c>
      <c r="Q343" s="9" t="s">
        <v>1951</v>
      </c>
      <c r="R343" s="9" t="s">
        <v>1396</v>
      </c>
      <c r="S343" s="4"/>
      <c r="T343" s="138"/>
      <c r="U343" s="138"/>
      <c r="V343" s="9" t="s">
        <v>1952</v>
      </c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>
      <c r="A344" s="186" t="s">
        <v>1953</v>
      </c>
      <c r="B344" s="197">
        <v>0.47239486110629514</v>
      </c>
      <c r="C344" s="193" t="s">
        <v>34</v>
      </c>
      <c r="D344" s="201" t="s">
        <v>1954</v>
      </c>
      <c r="E344" s="9" t="s">
        <v>1955</v>
      </c>
      <c r="F344" s="9" t="s">
        <v>37</v>
      </c>
      <c r="G344" s="12" t="s">
        <v>1956</v>
      </c>
      <c r="H344" s="13"/>
      <c r="I344" s="13"/>
      <c r="J344" s="9" t="s">
        <v>39</v>
      </c>
      <c r="K344" s="9" t="s">
        <v>358</v>
      </c>
      <c r="L344" s="9" t="s">
        <v>735</v>
      </c>
      <c r="M344" s="9" t="s">
        <v>1957</v>
      </c>
      <c r="N344" s="9" t="s">
        <v>43</v>
      </c>
      <c r="O344" s="134">
        <v>46116.0</v>
      </c>
      <c r="P344" s="9" t="s">
        <v>1958</v>
      </c>
      <c r="Q344" s="190" t="s">
        <v>1959</v>
      </c>
      <c r="R344" s="9" t="s">
        <v>1960</v>
      </c>
      <c r="S344" s="4"/>
      <c r="T344" s="138"/>
      <c r="U344" s="138"/>
      <c r="V344" s="9" t="s">
        <v>1961</v>
      </c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>
      <c r="A345" s="186" t="s">
        <v>1962</v>
      </c>
      <c r="B345" s="197">
        <v>0.4761144328658702</v>
      </c>
      <c r="C345" s="193" t="s">
        <v>34</v>
      </c>
      <c r="D345" s="124" t="s">
        <v>1102</v>
      </c>
      <c r="E345" s="9" t="s">
        <v>1761</v>
      </c>
      <c r="F345" s="9" t="s">
        <v>37</v>
      </c>
      <c r="G345" s="12" t="s">
        <v>1963</v>
      </c>
      <c r="H345" s="13">
        <v>660000.0</v>
      </c>
      <c r="I345" s="13"/>
      <c r="J345" s="9" t="s">
        <v>39</v>
      </c>
      <c r="K345" s="9" t="s">
        <v>430</v>
      </c>
      <c r="L345" s="9" t="s">
        <v>1964</v>
      </c>
      <c r="M345" s="9" t="s">
        <v>1965</v>
      </c>
      <c r="N345" s="9" t="s">
        <v>43</v>
      </c>
      <c r="O345" s="134">
        <v>46116.0</v>
      </c>
      <c r="P345" s="9" t="s">
        <v>1966</v>
      </c>
      <c r="Q345" s="9" t="s">
        <v>1967</v>
      </c>
      <c r="R345" s="9" t="s">
        <v>1968</v>
      </c>
      <c r="S345" s="4"/>
      <c r="T345" s="138"/>
      <c r="U345" s="138"/>
      <c r="V345" s="9" t="s">
        <v>1969</v>
      </c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>
      <c r="A346" s="186" t="s">
        <v>1970</v>
      </c>
      <c r="B346" s="202"/>
      <c r="C346" s="10" t="s">
        <v>34</v>
      </c>
      <c r="D346" s="182" t="s">
        <v>1134</v>
      </c>
      <c r="E346" s="9" t="s">
        <v>1270</v>
      </c>
      <c r="F346" s="9" t="s">
        <v>52</v>
      </c>
      <c r="G346" s="12" t="s">
        <v>1971</v>
      </c>
      <c r="H346" s="13"/>
      <c r="I346" s="13"/>
      <c r="J346" s="9" t="s">
        <v>39</v>
      </c>
      <c r="K346" s="9" t="s">
        <v>1104</v>
      </c>
      <c r="L346" s="9" t="s">
        <v>1766</v>
      </c>
      <c r="M346" s="9" t="s">
        <v>1767</v>
      </c>
      <c r="N346" s="9" t="s">
        <v>91</v>
      </c>
      <c r="O346" s="134">
        <v>46111.0</v>
      </c>
      <c r="P346" s="9" t="s">
        <v>735</v>
      </c>
      <c r="Q346" s="9" t="s">
        <v>153</v>
      </c>
      <c r="R346" s="183">
        <v>46120.0</v>
      </c>
      <c r="S346" s="4"/>
      <c r="T346" s="138"/>
      <c r="U346" s="138"/>
      <c r="V346" s="9" t="s">
        <v>1972</v>
      </c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>
      <c r="A347" s="186" t="s">
        <v>1973</v>
      </c>
      <c r="B347" s="197">
        <v>0.7033221527817659</v>
      </c>
      <c r="C347" s="193" t="s">
        <v>1403</v>
      </c>
      <c r="D347" s="124" t="s">
        <v>1274</v>
      </c>
      <c r="E347" s="9" t="s">
        <v>1974</v>
      </c>
      <c r="F347" s="9" t="s">
        <v>37</v>
      </c>
      <c r="G347" s="12" t="s">
        <v>1975</v>
      </c>
      <c r="H347" s="13"/>
      <c r="I347" s="13"/>
      <c r="J347" s="9" t="s">
        <v>39</v>
      </c>
      <c r="K347" s="9" t="s">
        <v>358</v>
      </c>
      <c r="L347" s="9" t="s">
        <v>1976</v>
      </c>
      <c r="M347" s="138">
        <f>2349038269473</f>
        <v>2349038269473</v>
      </c>
      <c r="N347" s="9" t="s">
        <v>43</v>
      </c>
      <c r="O347" s="134">
        <v>46116.0</v>
      </c>
      <c r="P347" s="9" t="s">
        <v>1851</v>
      </c>
      <c r="Q347" s="9" t="s">
        <v>1977</v>
      </c>
      <c r="R347" s="134">
        <v>46120.0</v>
      </c>
      <c r="S347" s="4"/>
      <c r="T347" s="138"/>
      <c r="U347" s="138"/>
      <c r="V347" s="9" t="s">
        <v>1978</v>
      </c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>
      <c r="A348" s="186" t="s">
        <v>1979</v>
      </c>
      <c r="B348" s="202"/>
      <c r="C348" s="10" t="s">
        <v>34</v>
      </c>
      <c r="D348" s="124" t="s">
        <v>1980</v>
      </c>
      <c r="E348" s="9" t="s">
        <v>65</v>
      </c>
      <c r="F348" s="9" t="s">
        <v>52</v>
      </c>
      <c r="G348" s="12" t="s">
        <v>1981</v>
      </c>
      <c r="H348" s="13"/>
      <c r="I348" s="13"/>
      <c r="J348" s="9" t="s">
        <v>39</v>
      </c>
      <c r="K348" s="9" t="s">
        <v>358</v>
      </c>
      <c r="L348" s="9" t="s">
        <v>262</v>
      </c>
      <c r="M348" s="9" t="s">
        <v>124</v>
      </c>
      <c r="N348" s="9" t="s">
        <v>43</v>
      </c>
      <c r="O348" s="134">
        <v>46119.0</v>
      </c>
      <c r="P348" s="9" t="s">
        <v>1982</v>
      </c>
      <c r="Q348" s="9" t="s">
        <v>1983</v>
      </c>
      <c r="R348" s="134">
        <v>46119.0</v>
      </c>
      <c r="S348" s="4"/>
      <c r="T348" s="138"/>
      <c r="U348" s="138"/>
      <c r="V348" s="9" t="s">
        <v>1984</v>
      </c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>
      <c r="A349" s="186" t="s">
        <v>1985</v>
      </c>
      <c r="B349" s="197">
        <v>0.7867156134307152</v>
      </c>
      <c r="C349" s="193" t="s">
        <v>34</v>
      </c>
      <c r="D349" s="124" t="s">
        <v>1102</v>
      </c>
      <c r="E349" s="9" t="s">
        <v>129</v>
      </c>
      <c r="F349" s="9" t="s">
        <v>37</v>
      </c>
      <c r="G349" s="12" t="s">
        <v>1986</v>
      </c>
      <c r="H349" s="13"/>
      <c r="I349" s="13"/>
      <c r="J349" s="9" t="s">
        <v>39</v>
      </c>
      <c r="K349" s="9" t="s">
        <v>471</v>
      </c>
      <c r="L349" s="9" t="s">
        <v>735</v>
      </c>
      <c r="M349" s="9" t="s">
        <v>153</v>
      </c>
      <c r="N349" s="9" t="s">
        <v>43</v>
      </c>
      <c r="O349" s="134">
        <v>46119.0</v>
      </c>
      <c r="P349" s="9" t="s">
        <v>1987</v>
      </c>
      <c r="Q349" s="9" t="s">
        <v>1988</v>
      </c>
      <c r="R349" s="134">
        <v>46119.0</v>
      </c>
      <c r="S349" s="4"/>
      <c r="T349" s="138"/>
      <c r="U349" s="138"/>
      <c r="V349" s="9" t="s">
        <v>1989</v>
      </c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>
      <c r="A350" s="186" t="s">
        <v>1990</v>
      </c>
      <c r="B350" s="197">
        <v>0.7865778240739019</v>
      </c>
      <c r="C350" s="193" t="s">
        <v>34</v>
      </c>
      <c r="D350" s="182" t="s">
        <v>1991</v>
      </c>
      <c r="E350" s="9" t="s">
        <v>1992</v>
      </c>
      <c r="F350" s="9" t="s">
        <v>52</v>
      </c>
      <c r="G350" s="12" t="s">
        <v>1993</v>
      </c>
      <c r="H350" s="13">
        <v>150000.0</v>
      </c>
      <c r="I350" s="13"/>
      <c r="J350" s="9" t="s">
        <v>39</v>
      </c>
      <c r="K350" s="9" t="s">
        <v>477</v>
      </c>
      <c r="L350" s="9" t="s">
        <v>1987</v>
      </c>
      <c r="M350" s="167" t="s">
        <v>1988</v>
      </c>
      <c r="N350" s="9" t="s">
        <v>43</v>
      </c>
      <c r="O350" s="134">
        <v>46119.0</v>
      </c>
      <c r="P350" s="9" t="s">
        <v>1842</v>
      </c>
      <c r="Q350" s="9" t="s">
        <v>1994</v>
      </c>
      <c r="R350" s="9" t="s">
        <v>1995</v>
      </c>
      <c r="S350" s="4"/>
      <c r="T350" s="138"/>
      <c r="U350" s="138"/>
      <c r="V350" s="9" t="s">
        <v>1996</v>
      </c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>
      <c r="A351" s="88" t="s">
        <v>1997</v>
      </c>
      <c r="B351" s="10" t="s">
        <v>1998</v>
      </c>
      <c r="C351" s="10" t="s">
        <v>34</v>
      </c>
      <c r="D351" s="182" t="s">
        <v>1999</v>
      </c>
      <c r="E351" s="9" t="s">
        <v>139</v>
      </c>
      <c r="F351" s="9" t="s">
        <v>37</v>
      </c>
      <c r="G351" s="12" t="s">
        <v>2000</v>
      </c>
      <c r="H351" s="13">
        <v>1770000.0</v>
      </c>
      <c r="I351" s="13"/>
      <c r="J351" s="9" t="s">
        <v>39</v>
      </c>
      <c r="K351" s="9" t="s">
        <v>358</v>
      </c>
      <c r="L351" s="9" t="s">
        <v>540</v>
      </c>
      <c r="M351" s="9" t="s">
        <v>2001</v>
      </c>
      <c r="N351" s="9" t="s">
        <v>91</v>
      </c>
      <c r="O351" s="9" t="s">
        <v>1960</v>
      </c>
      <c r="P351" s="9" t="s">
        <v>2002</v>
      </c>
      <c r="Q351" s="9" t="s">
        <v>2003</v>
      </c>
      <c r="R351" s="9" t="s">
        <v>2004</v>
      </c>
      <c r="S351" s="4"/>
      <c r="T351" s="138"/>
      <c r="U351" s="138"/>
      <c r="V351" s="9" t="s">
        <v>2005</v>
      </c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>
      <c r="A352" s="88" t="s">
        <v>2006</v>
      </c>
      <c r="B352" s="10" t="s">
        <v>2007</v>
      </c>
      <c r="C352" s="10" t="s">
        <v>34</v>
      </c>
      <c r="D352" s="154" t="s">
        <v>1954</v>
      </c>
      <c r="E352" s="9" t="s">
        <v>1687</v>
      </c>
      <c r="F352" s="9" t="s">
        <v>37</v>
      </c>
      <c r="G352" s="12" t="s">
        <v>2008</v>
      </c>
      <c r="H352" s="13">
        <v>1000000.0</v>
      </c>
      <c r="I352" s="13"/>
      <c r="J352" s="9" t="s">
        <v>39</v>
      </c>
      <c r="K352" s="9" t="s">
        <v>358</v>
      </c>
      <c r="L352" s="9" t="s">
        <v>320</v>
      </c>
      <c r="M352" s="9" t="s">
        <v>2009</v>
      </c>
      <c r="N352" s="9" t="s">
        <v>91</v>
      </c>
      <c r="O352" s="9" t="s">
        <v>1960</v>
      </c>
      <c r="P352" s="9" t="s">
        <v>2010</v>
      </c>
      <c r="Q352" s="9" t="s">
        <v>2011</v>
      </c>
      <c r="R352" s="9" t="s">
        <v>2012</v>
      </c>
      <c r="S352" s="203" t="s">
        <v>2013</v>
      </c>
      <c r="T352" s="138"/>
      <c r="U352" s="138"/>
      <c r="V352" s="9" t="s">
        <v>2014</v>
      </c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>
      <c r="A353" s="88" t="s">
        <v>2015</v>
      </c>
      <c r="B353" s="10" t="s">
        <v>2016</v>
      </c>
      <c r="C353" s="10" t="s">
        <v>34</v>
      </c>
      <c r="D353" s="154" t="s">
        <v>1954</v>
      </c>
      <c r="E353" s="9" t="s">
        <v>1687</v>
      </c>
      <c r="F353" s="9" t="s">
        <v>37</v>
      </c>
      <c r="G353" s="12" t="s">
        <v>2017</v>
      </c>
      <c r="H353" s="13">
        <v>870000.0</v>
      </c>
      <c r="I353" s="13"/>
      <c r="J353" s="9" t="s">
        <v>39</v>
      </c>
      <c r="K353" s="9" t="s">
        <v>720</v>
      </c>
      <c r="L353" s="9" t="s">
        <v>253</v>
      </c>
      <c r="M353" s="9" t="s">
        <v>1817</v>
      </c>
      <c r="N353" s="9" t="s">
        <v>91</v>
      </c>
      <c r="O353" s="9" t="s">
        <v>1960</v>
      </c>
      <c r="P353" s="9" t="s">
        <v>1942</v>
      </c>
      <c r="Q353" s="9" t="s">
        <v>1943</v>
      </c>
      <c r="R353" s="9" t="s">
        <v>1960</v>
      </c>
      <c r="S353" s="203" t="s">
        <v>2018</v>
      </c>
      <c r="T353" s="138"/>
      <c r="U353" s="138"/>
      <c r="V353" s="9" t="s">
        <v>2019</v>
      </c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>
      <c r="A354" s="88" t="s">
        <v>2020</v>
      </c>
      <c r="B354" s="10" t="s">
        <v>2021</v>
      </c>
      <c r="C354" s="10" t="s">
        <v>34</v>
      </c>
      <c r="D354" s="154" t="s">
        <v>2022</v>
      </c>
      <c r="E354" s="9" t="s">
        <v>65</v>
      </c>
      <c r="F354" s="9" t="s">
        <v>86</v>
      </c>
      <c r="G354" s="12" t="s">
        <v>2023</v>
      </c>
      <c r="H354" s="13">
        <v>125000.0</v>
      </c>
      <c r="I354" s="13"/>
      <c r="J354" s="9" t="s">
        <v>39</v>
      </c>
      <c r="K354" s="9" t="s">
        <v>122</v>
      </c>
      <c r="L354" s="9" t="s">
        <v>262</v>
      </c>
      <c r="M354" s="9" t="s">
        <v>2024</v>
      </c>
      <c r="N354" s="9" t="s">
        <v>91</v>
      </c>
      <c r="O354" s="9" t="s">
        <v>2025</v>
      </c>
      <c r="P354" s="9" t="s">
        <v>2026</v>
      </c>
      <c r="Q354" s="9" t="s">
        <v>2027</v>
      </c>
      <c r="R354" s="9" t="s">
        <v>2025</v>
      </c>
      <c r="S354" s="203" t="s">
        <v>2028</v>
      </c>
      <c r="T354" s="138"/>
      <c r="U354" s="138"/>
      <c r="V354" s="9" t="s">
        <v>2029</v>
      </c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>
      <c r="A355" s="88" t="s">
        <v>2030</v>
      </c>
      <c r="B355" s="10" t="s">
        <v>2031</v>
      </c>
      <c r="C355" s="10" t="s">
        <v>34</v>
      </c>
      <c r="D355" s="154" t="s">
        <v>108</v>
      </c>
      <c r="E355" s="9" t="s">
        <v>65</v>
      </c>
      <c r="F355" s="9" t="s">
        <v>52</v>
      </c>
      <c r="G355" s="12" t="s">
        <v>2032</v>
      </c>
      <c r="H355" s="13">
        <v>575000.0</v>
      </c>
      <c r="I355" s="13"/>
      <c r="J355" s="9" t="s">
        <v>39</v>
      </c>
      <c r="K355" s="9" t="s">
        <v>471</v>
      </c>
      <c r="L355" s="9" t="s">
        <v>2033</v>
      </c>
      <c r="M355" s="9" t="s">
        <v>2034</v>
      </c>
      <c r="N355" s="9" t="s">
        <v>91</v>
      </c>
      <c r="O355" s="9" t="s">
        <v>2025</v>
      </c>
      <c r="P355" s="9" t="s">
        <v>2035</v>
      </c>
      <c r="Q355" s="9" t="s">
        <v>2036</v>
      </c>
      <c r="R355" s="9" t="s">
        <v>2025</v>
      </c>
      <c r="S355" s="203" t="s">
        <v>940</v>
      </c>
      <c r="T355" s="138"/>
      <c r="U355" s="138"/>
      <c r="V355" s="9" t="s">
        <v>2037</v>
      </c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>
      <c r="A356" s="88" t="s">
        <v>2038</v>
      </c>
      <c r="B356" s="10" t="s">
        <v>2039</v>
      </c>
      <c r="C356" s="10" t="s">
        <v>34</v>
      </c>
      <c r="D356" s="182" t="s">
        <v>258</v>
      </c>
      <c r="E356" s="9" t="s">
        <v>283</v>
      </c>
      <c r="F356" s="9" t="s">
        <v>52</v>
      </c>
      <c r="G356" s="12" t="s">
        <v>2040</v>
      </c>
      <c r="H356" s="13">
        <v>400000.0</v>
      </c>
      <c r="I356" s="13"/>
      <c r="J356" s="9" t="s">
        <v>39</v>
      </c>
      <c r="K356" s="9" t="s">
        <v>663</v>
      </c>
      <c r="L356" s="9" t="s">
        <v>2035</v>
      </c>
      <c r="M356" s="9" t="s">
        <v>2036</v>
      </c>
      <c r="N356" s="9" t="s">
        <v>43</v>
      </c>
      <c r="O356" s="9" t="s">
        <v>2025</v>
      </c>
      <c r="P356" s="9" t="s">
        <v>883</v>
      </c>
      <c r="Q356" s="9" t="s">
        <v>2041</v>
      </c>
      <c r="R356" s="9" t="s">
        <v>2042</v>
      </c>
      <c r="S356" s="203" t="s">
        <v>2043</v>
      </c>
      <c r="T356" s="138"/>
      <c r="U356" s="138"/>
      <c r="V356" s="9" t="s">
        <v>2044</v>
      </c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>
      <c r="A357" s="88" t="s">
        <v>2045</v>
      </c>
      <c r="B357" s="10" t="s">
        <v>2046</v>
      </c>
      <c r="C357" s="10" t="s">
        <v>34</v>
      </c>
      <c r="D357" s="182" t="s">
        <v>108</v>
      </c>
      <c r="E357" s="9" t="s">
        <v>65</v>
      </c>
      <c r="F357" s="9" t="s">
        <v>52</v>
      </c>
      <c r="G357" s="12" t="s">
        <v>2047</v>
      </c>
      <c r="H357" s="13">
        <v>570000.0</v>
      </c>
      <c r="I357" s="13"/>
      <c r="J357" s="9" t="s">
        <v>39</v>
      </c>
      <c r="K357" s="9" t="s">
        <v>443</v>
      </c>
      <c r="L357" s="9" t="s">
        <v>2048</v>
      </c>
      <c r="M357" s="9" t="s">
        <v>2034</v>
      </c>
      <c r="N357" s="9" t="s">
        <v>91</v>
      </c>
      <c r="O357" s="9" t="s">
        <v>2025</v>
      </c>
      <c r="P357" s="9" t="s">
        <v>253</v>
      </c>
      <c r="Q357" s="9" t="s">
        <v>1817</v>
      </c>
      <c r="R357" s="9" t="s">
        <v>2025</v>
      </c>
      <c r="S357" s="203" t="s">
        <v>2049</v>
      </c>
      <c r="T357" s="138"/>
      <c r="U357" s="138"/>
      <c r="V357" s="9" t="s">
        <v>2050</v>
      </c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>
      <c r="A358" s="88" t="s">
        <v>2051</v>
      </c>
      <c r="B358" s="10" t="s">
        <v>2052</v>
      </c>
      <c r="C358" s="10" t="s">
        <v>34</v>
      </c>
      <c r="D358" s="154" t="s">
        <v>2053</v>
      </c>
      <c r="E358" s="9" t="s">
        <v>65</v>
      </c>
      <c r="F358" s="9" t="s">
        <v>2054</v>
      </c>
      <c r="G358" s="12" t="s">
        <v>2055</v>
      </c>
      <c r="H358" s="13">
        <v>210000.0</v>
      </c>
      <c r="I358" s="13"/>
      <c r="J358" s="9" t="s">
        <v>1362</v>
      </c>
      <c r="K358" s="9" t="s">
        <v>122</v>
      </c>
      <c r="L358" s="9" t="s">
        <v>984</v>
      </c>
      <c r="M358" s="138"/>
      <c r="N358" s="9" t="s">
        <v>91</v>
      </c>
      <c r="O358" s="9" t="s">
        <v>2025</v>
      </c>
      <c r="P358" s="9" t="s">
        <v>2056</v>
      </c>
      <c r="Q358" s="9" t="s">
        <v>1673</v>
      </c>
      <c r="R358" s="9" t="s">
        <v>2025</v>
      </c>
      <c r="S358" s="203" t="s">
        <v>2057</v>
      </c>
      <c r="T358" s="138"/>
      <c r="U358" s="138"/>
      <c r="V358" s="9" t="s">
        <v>2058</v>
      </c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>
      <c r="A359" s="186" t="s">
        <v>2059</v>
      </c>
      <c r="B359" s="10" t="s">
        <v>2060</v>
      </c>
      <c r="C359" s="10" t="s">
        <v>1445</v>
      </c>
      <c r="D359" s="9" t="s">
        <v>258</v>
      </c>
      <c r="E359" s="9" t="s">
        <v>65</v>
      </c>
      <c r="F359" s="9" t="s">
        <v>52</v>
      </c>
      <c r="G359" s="12" t="s">
        <v>2061</v>
      </c>
      <c r="H359" s="13">
        <v>500000.0</v>
      </c>
      <c r="I359" s="13"/>
      <c r="J359" s="9" t="s">
        <v>39</v>
      </c>
      <c r="K359" s="9" t="s">
        <v>457</v>
      </c>
      <c r="L359" s="9" t="s">
        <v>394</v>
      </c>
      <c r="M359" s="9" t="s">
        <v>1673</v>
      </c>
      <c r="N359" s="9" t="s">
        <v>91</v>
      </c>
      <c r="O359" s="9" t="s">
        <v>2025</v>
      </c>
      <c r="P359" s="204" t="s">
        <v>750</v>
      </c>
      <c r="Q359" s="205" t="s">
        <v>2062</v>
      </c>
      <c r="R359" s="146" t="s">
        <v>1445</v>
      </c>
      <c r="S359" s="4"/>
      <c r="T359" s="138"/>
      <c r="U359" s="138"/>
      <c r="V359" s="9" t="s">
        <v>2063</v>
      </c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>
      <c r="A360" s="186" t="s">
        <v>2064</v>
      </c>
      <c r="B360" s="10" t="s">
        <v>2065</v>
      </c>
      <c r="C360" s="10" t="s">
        <v>34</v>
      </c>
      <c r="D360" s="154" t="s">
        <v>2066</v>
      </c>
      <c r="E360" s="9" t="s">
        <v>2067</v>
      </c>
      <c r="F360" s="9" t="s">
        <v>86</v>
      </c>
      <c r="G360" s="12" t="s">
        <v>2068</v>
      </c>
      <c r="H360" s="13">
        <v>230000.0</v>
      </c>
      <c r="I360" s="13"/>
      <c r="J360" s="9" t="s">
        <v>39</v>
      </c>
      <c r="K360" s="9" t="s">
        <v>732</v>
      </c>
      <c r="L360" s="9" t="s">
        <v>2069</v>
      </c>
      <c r="M360" s="9" t="s">
        <v>2070</v>
      </c>
      <c r="N360" s="9" t="s">
        <v>91</v>
      </c>
      <c r="O360" s="9" t="s">
        <v>2071</v>
      </c>
      <c r="P360" s="9" t="s">
        <v>2072</v>
      </c>
      <c r="Q360" s="9" t="s">
        <v>2073</v>
      </c>
      <c r="R360" s="9" t="s">
        <v>2071</v>
      </c>
      <c r="S360" s="203" t="s">
        <v>2074</v>
      </c>
      <c r="T360" s="138"/>
      <c r="U360" s="138"/>
      <c r="V360" s="9" t="s">
        <v>2075</v>
      </c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>
      <c r="A361" s="186" t="s">
        <v>2076</v>
      </c>
      <c r="B361" s="10" t="s">
        <v>2077</v>
      </c>
      <c r="C361" s="10" t="s">
        <v>1445</v>
      </c>
      <c r="D361" s="182" t="s">
        <v>2078</v>
      </c>
      <c r="E361" s="9" t="s">
        <v>2067</v>
      </c>
      <c r="F361" s="9" t="s">
        <v>52</v>
      </c>
      <c r="G361" s="12" t="s">
        <v>1482</v>
      </c>
      <c r="H361" s="13">
        <v>300000.0</v>
      </c>
      <c r="I361" s="13"/>
      <c r="J361" s="9" t="s">
        <v>2079</v>
      </c>
      <c r="K361" s="9" t="s">
        <v>706</v>
      </c>
      <c r="L361" s="9" t="s">
        <v>2080</v>
      </c>
      <c r="M361" s="9" t="s">
        <v>2081</v>
      </c>
      <c r="N361" s="9" t="s">
        <v>43</v>
      </c>
      <c r="O361" s="9" t="s">
        <v>2071</v>
      </c>
      <c r="P361" s="9" t="s">
        <v>173</v>
      </c>
      <c r="Q361" s="9" t="s">
        <v>2082</v>
      </c>
      <c r="R361" s="9" t="s">
        <v>1445</v>
      </c>
      <c r="S361" s="4"/>
      <c r="T361" s="138"/>
      <c r="U361" s="138"/>
      <c r="V361" s="9" t="s">
        <v>2083</v>
      </c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>
      <c r="A362" s="186" t="s">
        <v>2084</v>
      </c>
      <c r="B362" s="10" t="s">
        <v>2085</v>
      </c>
      <c r="C362" s="10" t="s">
        <v>34</v>
      </c>
      <c r="D362" s="182" t="s">
        <v>2086</v>
      </c>
      <c r="E362" s="9" t="s">
        <v>2067</v>
      </c>
      <c r="F362" s="9" t="s">
        <v>52</v>
      </c>
      <c r="G362" s="12" t="s">
        <v>2087</v>
      </c>
      <c r="H362" s="13">
        <v>780000.0</v>
      </c>
      <c r="I362" s="13"/>
      <c r="J362" s="9" t="s">
        <v>39</v>
      </c>
      <c r="K362" s="9" t="s">
        <v>77</v>
      </c>
      <c r="L362" s="9" t="s">
        <v>2088</v>
      </c>
      <c r="M362" s="9" t="s">
        <v>2089</v>
      </c>
      <c r="N362" s="9" t="s">
        <v>91</v>
      </c>
      <c r="O362" s="9" t="s">
        <v>2071</v>
      </c>
      <c r="P362" s="9" t="s">
        <v>2090</v>
      </c>
      <c r="Q362" s="9" t="s">
        <v>2091</v>
      </c>
      <c r="R362" s="9" t="s">
        <v>1396</v>
      </c>
      <c r="S362" s="4"/>
      <c r="T362" s="138"/>
      <c r="U362" s="138"/>
      <c r="V362" s="9" t="s">
        <v>2092</v>
      </c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>
      <c r="A363" s="186" t="s">
        <v>2093</v>
      </c>
      <c r="B363" s="10" t="s">
        <v>2094</v>
      </c>
      <c r="C363" s="10" t="s">
        <v>34</v>
      </c>
      <c r="D363" s="182" t="s">
        <v>2066</v>
      </c>
      <c r="E363" s="9" t="s">
        <v>2095</v>
      </c>
      <c r="F363" s="9" t="s">
        <v>86</v>
      </c>
      <c r="G363" s="12" t="s">
        <v>2096</v>
      </c>
      <c r="H363" s="13">
        <v>160000.0</v>
      </c>
      <c r="I363" s="13"/>
      <c r="J363" s="9" t="s">
        <v>39</v>
      </c>
      <c r="K363" s="9" t="s">
        <v>576</v>
      </c>
      <c r="L363" s="9" t="s">
        <v>540</v>
      </c>
      <c r="M363" s="9" t="s">
        <v>2001</v>
      </c>
      <c r="N363" s="9" t="s">
        <v>91</v>
      </c>
      <c r="O363" s="9" t="s">
        <v>1995</v>
      </c>
      <c r="P363" s="9" t="s">
        <v>2097</v>
      </c>
      <c r="Q363" s="9" t="s">
        <v>2098</v>
      </c>
      <c r="R363" s="9" t="s">
        <v>2099</v>
      </c>
      <c r="S363" s="203" t="s">
        <v>2100</v>
      </c>
      <c r="T363" s="138"/>
      <c r="U363" s="138"/>
      <c r="V363" s="9" t="s">
        <v>2101</v>
      </c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>
      <c r="A364" s="186" t="s">
        <v>2102</v>
      </c>
      <c r="B364" s="10" t="s">
        <v>2103</v>
      </c>
      <c r="C364" s="10" t="s">
        <v>34</v>
      </c>
      <c r="D364" s="9" t="s">
        <v>2104</v>
      </c>
      <c r="E364" s="9" t="s">
        <v>65</v>
      </c>
      <c r="F364" s="9" t="s">
        <v>338</v>
      </c>
      <c r="G364" s="12" t="s">
        <v>1109</v>
      </c>
      <c r="H364" s="140"/>
      <c r="I364" s="140"/>
      <c r="J364" s="9" t="s">
        <v>39</v>
      </c>
      <c r="K364" s="9" t="s">
        <v>77</v>
      </c>
      <c r="L364" s="9" t="s">
        <v>1964</v>
      </c>
      <c r="M364" s="9" t="s">
        <v>1965</v>
      </c>
      <c r="N364" s="9" t="s">
        <v>91</v>
      </c>
      <c r="O364" s="9" t="s">
        <v>1995</v>
      </c>
      <c r="P364" s="138"/>
      <c r="Q364" s="138"/>
      <c r="R364" s="134">
        <v>46127.0</v>
      </c>
      <c r="S364" s="4"/>
      <c r="T364" s="138"/>
      <c r="U364" s="138"/>
      <c r="V364" s="9" t="s">
        <v>2105</v>
      </c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>
      <c r="A365" s="186" t="s">
        <v>2106</v>
      </c>
      <c r="B365" s="10" t="s">
        <v>2107</v>
      </c>
      <c r="C365" s="10" t="s">
        <v>34</v>
      </c>
      <c r="D365" s="9" t="s">
        <v>2108</v>
      </c>
      <c r="E365" s="9" t="s">
        <v>370</v>
      </c>
      <c r="F365" s="9" t="s">
        <v>338</v>
      </c>
      <c r="G365" s="12" t="s">
        <v>2109</v>
      </c>
      <c r="H365" s="140"/>
      <c r="I365" s="140"/>
      <c r="J365" s="9" t="s">
        <v>39</v>
      </c>
      <c r="K365" s="9" t="s">
        <v>40</v>
      </c>
      <c r="L365" s="9" t="s">
        <v>520</v>
      </c>
      <c r="M365" s="9" t="s">
        <v>2110</v>
      </c>
      <c r="N365" s="9" t="s">
        <v>91</v>
      </c>
      <c r="O365" s="9" t="s">
        <v>1995</v>
      </c>
      <c r="P365" s="138"/>
      <c r="Q365" s="138"/>
      <c r="R365" s="134">
        <v>46128.0</v>
      </c>
      <c r="S365" s="4"/>
      <c r="T365" s="138"/>
      <c r="U365" s="138"/>
      <c r="V365" s="9" t="s">
        <v>2111</v>
      </c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>
      <c r="A366" s="186" t="s">
        <v>2112</v>
      </c>
      <c r="B366" s="10" t="s">
        <v>2113</v>
      </c>
      <c r="C366" s="10" t="s">
        <v>34</v>
      </c>
      <c r="D366" s="9" t="s">
        <v>2114</v>
      </c>
      <c r="E366" s="9" t="s">
        <v>139</v>
      </c>
      <c r="F366" s="9" t="s">
        <v>324</v>
      </c>
      <c r="G366" s="12" t="s">
        <v>2115</v>
      </c>
      <c r="H366" s="140"/>
      <c r="I366" s="140"/>
      <c r="J366" s="9" t="s">
        <v>39</v>
      </c>
      <c r="K366" s="9" t="s">
        <v>77</v>
      </c>
      <c r="L366" s="9" t="s">
        <v>2116</v>
      </c>
      <c r="M366" s="9" t="s">
        <v>2117</v>
      </c>
      <c r="N366" s="9" t="s">
        <v>91</v>
      </c>
      <c r="O366" s="9" t="s">
        <v>1995</v>
      </c>
      <c r="P366" s="138"/>
      <c r="Q366" s="138"/>
      <c r="R366" s="134">
        <v>46129.0</v>
      </c>
      <c r="S366" s="4"/>
      <c r="T366" s="138"/>
      <c r="U366" s="138"/>
      <c r="V366" s="9" t="s">
        <v>2118</v>
      </c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>
      <c r="A367" s="186" t="s">
        <v>2119</v>
      </c>
      <c r="B367" s="10" t="s">
        <v>2120</v>
      </c>
      <c r="C367" s="10" t="s">
        <v>34</v>
      </c>
      <c r="D367" s="9" t="s">
        <v>617</v>
      </c>
      <c r="E367" s="9" t="s">
        <v>51</v>
      </c>
      <c r="F367" s="9" t="s">
        <v>1543</v>
      </c>
      <c r="G367" s="12" t="s">
        <v>2121</v>
      </c>
      <c r="H367" s="140"/>
      <c r="I367" s="140"/>
      <c r="J367" s="9" t="s">
        <v>39</v>
      </c>
      <c r="K367" s="9" t="s">
        <v>179</v>
      </c>
      <c r="L367" s="9" t="s">
        <v>183</v>
      </c>
      <c r="M367" s="9" t="s">
        <v>2001</v>
      </c>
      <c r="N367" s="9" t="s">
        <v>91</v>
      </c>
      <c r="O367" s="9" t="s">
        <v>1995</v>
      </c>
      <c r="P367" s="138"/>
      <c r="Q367" s="138"/>
      <c r="R367" s="134">
        <v>46130.0</v>
      </c>
      <c r="S367" s="4"/>
      <c r="T367" s="138"/>
      <c r="U367" s="138"/>
      <c r="V367" s="9" t="s">
        <v>2122</v>
      </c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>
      <c r="A368" s="186" t="s">
        <v>2123</v>
      </c>
      <c r="B368" s="10" t="s">
        <v>2124</v>
      </c>
      <c r="C368" s="10" t="s">
        <v>34</v>
      </c>
      <c r="D368" s="9" t="s">
        <v>2125</v>
      </c>
      <c r="E368" s="9" t="s">
        <v>65</v>
      </c>
      <c r="F368" s="9" t="s">
        <v>338</v>
      </c>
      <c r="G368" s="12" t="s">
        <v>2126</v>
      </c>
      <c r="H368" s="140"/>
      <c r="I368" s="140"/>
      <c r="J368" s="9" t="s">
        <v>39</v>
      </c>
      <c r="K368" s="9" t="s">
        <v>77</v>
      </c>
      <c r="L368" s="138"/>
      <c r="M368" s="138"/>
      <c r="N368" s="9" t="s">
        <v>43</v>
      </c>
      <c r="O368" s="9" t="s">
        <v>2127</v>
      </c>
      <c r="P368" s="138"/>
      <c r="Q368" s="138"/>
      <c r="R368" s="134">
        <v>46131.0</v>
      </c>
      <c r="S368" s="4"/>
      <c r="T368" s="138"/>
      <c r="U368" s="138"/>
      <c r="V368" s="9" t="s">
        <v>2128</v>
      </c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>
      <c r="A369" s="186" t="s">
        <v>2129</v>
      </c>
      <c r="B369" s="10" t="s">
        <v>2130</v>
      </c>
      <c r="C369" s="10" t="s">
        <v>34</v>
      </c>
      <c r="D369" s="9" t="s">
        <v>2131</v>
      </c>
      <c r="E369" s="9" t="s">
        <v>139</v>
      </c>
      <c r="F369" s="9" t="s">
        <v>2132</v>
      </c>
      <c r="G369" s="12" t="s">
        <v>2133</v>
      </c>
      <c r="H369" s="140"/>
      <c r="I369" s="140"/>
      <c r="J369" s="9" t="s">
        <v>201</v>
      </c>
      <c r="K369" s="138"/>
      <c r="L369" s="9" t="s">
        <v>2134</v>
      </c>
      <c r="M369" s="9" t="s">
        <v>2135</v>
      </c>
      <c r="N369" s="9" t="s">
        <v>91</v>
      </c>
      <c r="O369" s="9" t="s">
        <v>2127</v>
      </c>
      <c r="P369" s="138"/>
      <c r="Q369" s="138"/>
      <c r="R369" s="134">
        <v>46132.0</v>
      </c>
      <c r="S369" s="4"/>
      <c r="T369" s="138"/>
      <c r="U369" s="138"/>
      <c r="V369" s="9" t="s">
        <v>2136</v>
      </c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>
      <c r="A370" s="186" t="s">
        <v>2137</v>
      </c>
      <c r="B370" s="10" t="s">
        <v>2138</v>
      </c>
      <c r="C370" s="10" t="s">
        <v>34</v>
      </c>
      <c r="D370" s="9" t="s">
        <v>2139</v>
      </c>
      <c r="E370" s="9" t="s">
        <v>65</v>
      </c>
      <c r="F370" s="9" t="s">
        <v>338</v>
      </c>
      <c r="G370" s="12" t="s">
        <v>2140</v>
      </c>
      <c r="H370" s="140"/>
      <c r="I370" s="140"/>
      <c r="J370" s="9" t="s">
        <v>39</v>
      </c>
      <c r="K370" s="138"/>
      <c r="L370" s="9" t="s">
        <v>2141</v>
      </c>
      <c r="M370" s="9" t="s">
        <v>1817</v>
      </c>
      <c r="N370" s="9" t="s">
        <v>91</v>
      </c>
      <c r="O370" s="9" t="s">
        <v>2142</v>
      </c>
      <c r="P370" s="138"/>
      <c r="Q370" s="138"/>
      <c r="R370" s="134">
        <v>46133.0</v>
      </c>
      <c r="S370" s="4"/>
      <c r="T370" s="138"/>
      <c r="U370" s="138"/>
      <c r="V370" s="9" t="s">
        <v>2143</v>
      </c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>
      <c r="A371" s="186" t="s">
        <v>2144</v>
      </c>
      <c r="B371" s="10" t="s">
        <v>2145</v>
      </c>
      <c r="C371" s="10" t="s">
        <v>34</v>
      </c>
      <c r="D371" s="9" t="s">
        <v>2146</v>
      </c>
      <c r="E371" s="9" t="s">
        <v>65</v>
      </c>
      <c r="F371" s="138"/>
      <c r="G371" s="12" t="s">
        <v>2147</v>
      </c>
      <c r="H371" s="140"/>
      <c r="I371" s="140"/>
      <c r="J371" s="9" t="s">
        <v>68</v>
      </c>
      <c r="K371" s="138"/>
      <c r="L371" s="9" t="s">
        <v>2141</v>
      </c>
      <c r="M371" s="9" t="s">
        <v>1817</v>
      </c>
      <c r="N371" s="9" t="s">
        <v>91</v>
      </c>
      <c r="O371" s="9" t="s">
        <v>2142</v>
      </c>
      <c r="P371" s="138"/>
      <c r="Q371" s="138"/>
      <c r="R371" s="134">
        <v>46134.0</v>
      </c>
      <c r="S371" s="4"/>
      <c r="T371" s="138"/>
      <c r="U371" s="138"/>
      <c r="V371" s="9" t="s">
        <v>2148</v>
      </c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>
      <c r="A372" s="186" t="s">
        <v>2149</v>
      </c>
      <c r="B372" s="10" t="s">
        <v>2150</v>
      </c>
      <c r="C372" s="10" t="s">
        <v>34</v>
      </c>
      <c r="D372" s="9" t="s">
        <v>2151</v>
      </c>
      <c r="E372" s="9" t="s">
        <v>85</v>
      </c>
      <c r="F372" s="9" t="s">
        <v>1543</v>
      </c>
      <c r="G372" s="12" t="s">
        <v>2152</v>
      </c>
      <c r="H372" s="140"/>
      <c r="I372" s="140"/>
      <c r="J372" s="9" t="s">
        <v>39</v>
      </c>
      <c r="K372" s="9" t="s">
        <v>623</v>
      </c>
      <c r="L372" s="9" t="s">
        <v>183</v>
      </c>
      <c r="M372" s="9" t="s">
        <v>2001</v>
      </c>
      <c r="N372" s="9" t="s">
        <v>91</v>
      </c>
      <c r="O372" s="9" t="s">
        <v>1995</v>
      </c>
      <c r="P372" s="138"/>
      <c r="Q372" s="138"/>
      <c r="R372" s="134">
        <v>46135.0</v>
      </c>
      <c r="S372" s="4"/>
      <c r="T372" s="138"/>
      <c r="U372" s="138"/>
      <c r="V372" s="9" t="s">
        <v>2153</v>
      </c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>
      <c r="A373" s="186" t="s">
        <v>2154</v>
      </c>
      <c r="B373" s="10" t="s">
        <v>2155</v>
      </c>
      <c r="C373" s="10" t="s">
        <v>34</v>
      </c>
      <c r="D373" s="9" t="s">
        <v>2156</v>
      </c>
      <c r="E373" s="9" t="s">
        <v>51</v>
      </c>
      <c r="F373" s="9" t="s">
        <v>2157</v>
      </c>
      <c r="G373" s="12" t="s">
        <v>2158</v>
      </c>
      <c r="H373" s="140"/>
      <c r="I373" s="140"/>
      <c r="J373" s="138"/>
      <c r="K373" s="9" t="s">
        <v>77</v>
      </c>
      <c r="L373" s="9" t="s">
        <v>2159</v>
      </c>
      <c r="M373" s="9" t="s">
        <v>2160</v>
      </c>
      <c r="N373" s="9" t="s">
        <v>91</v>
      </c>
      <c r="O373" s="9" t="s">
        <v>1995</v>
      </c>
      <c r="P373" s="138"/>
      <c r="Q373" s="138"/>
      <c r="R373" s="134">
        <v>46136.0</v>
      </c>
      <c r="S373" s="4"/>
      <c r="T373" s="138"/>
      <c r="U373" s="138"/>
      <c r="V373" s="9" t="s">
        <v>2161</v>
      </c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>
      <c r="A374" s="186" t="s">
        <v>2162</v>
      </c>
      <c r="B374" s="10" t="s">
        <v>2163</v>
      </c>
      <c r="C374" s="10" t="s">
        <v>34</v>
      </c>
      <c r="D374" s="9" t="s">
        <v>1287</v>
      </c>
      <c r="E374" s="9" t="s">
        <v>139</v>
      </c>
      <c r="F374" s="9" t="s">
        <v>1543</v>
      </c>
      <c r="G374" s="12" t="s">
        <v>2164</v>
      </c>
      <c r="H374" s="140"/>
      <c r="I374" s="140"/>
      <c r="J374" s="138"/>
      <c r="K374" s="9" t="s">
        <v>179</v>
      </c>
      <c r="L374" s="9" t="s">
        <v>183</v>
      </c>
      <c r="M374" s="9" t="s">
        <v>2001</v>
      </c>
      <c r="N374" s="9" t="s">
        <v>43</v>
      </c>
      <c r="O374" s="9" t="s">
        <v>2165</v>
      </c>
      <c r="P374" s="138"/>
      <c r="Q374" s="138"/>
      <c r="R374" s="134">
        <v>46137.0</v>
      </c>
      <c r="S374" s="4"/>
      <c r="T374" s="138"/>
      <c r="U374" s="138"/>
      <c r="V374" s="9" t="s">
        <v>2166</v>
      </c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>
      <c r="A375" s="186" t="s">
        <v>2167</v>
      </c>
      <c r="B375" s="10" t="s">
        <v>2168</v>
      </c>
      <c r="C375" s="10" t="s">
        <v>34</v>
      </c>
      <c r="D375" s="9" t="s">
        <v>258</v>
      </c>
      <c r="E375" s="9" t="s">
        <v>283</v>
      </c>
      <c r="F375" s="9" t="s">
        <v>338</v>
      </c>
      <c r="G375" s="12" t="s">
        <v>887</v>
      </c>
      <c r="H375" s="140"/>
      <c r="I375" s="140"/>
      <c r="J375" s="9" t="s">
        <v>39</v>
      </c>
      <c r="K375" s="9" t="s">
        <v>54</v>
      </c>
      <c r="L375" s="9" t="s">
        <v>1499</v>
      </c>
      <c r="M375" s="9" t="s">
        <v>2011</v>
      </c>
      <c r="N375" s="9" t="s">
        <v>91</v>
      </c>
      <c r="O375" s="9" t="s">
        <v>2165</v>
      </c>
      <c r="P375" s="138"/>
      <c r="Q375" s="138"/>
      <c r="R375" s="134">
        <v>46138.0</v>
      </c>
      <c r="S375" s="4"/>
      <c r="T375" s="138"/>
      <c r="U375" s="138"/>
      <c r="V375" s="9" t="s">
        <v>2169</v>
      </c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>
      <c r="A376" s="186" t="s">
        <v>2170</v>
      </c>
      <c r="B376" s="10" t="s">
        <v>2171</v>
      </c>
      <c r="C376" s="10" t="s">
        <v>34</v>
      </c>
      <c r="D376" s="9" t="s">
        <v>798</v>
      </c>
      <c r="E376" s="9" t="s">
        <v>311</v>
      </c>
      <c r="F376" s="9" t="s">
        <v>338</v>
      </c>
      <c r="G376" s="12" t="s">
        <v>2172</v>
      </c>
      <c r="H376" s="140"/>
      <c r="I376" s="140"/>
      <c r="J376" s="9" t="s">
        <v>39</v>
      </c>
      <c r="K376" s="9" t="s">
        <v>623</v>
      </c>
      <c r="L376" s="9" t="s">
        <v>2173</v>
      </c>
      <c r="M376" s="9" t="s">
        <v>2174</v>
      </c>
      <c r="N376" s="9" t="s">
        <v>43</v>
      </c>
      <c r="O376" s="9" t="s">
        <v>2165</v>
      </c>
      <c r="P376" s="138"/>
      <c r="Q376" s="138"/>
      <c r="R376" s="134">
        <v>46139.0</v>
      </c>
      <c r="S376" s="4"/>
      <c r="T376" s="138"/>
      <c r="U376" s="138"/>
      <c r="V376" s="9" t="s">
        <v>2175</v>
      </c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>
      <c r="A377" s="186" t="s">
        <v>2176</v>
      </c>
      <c r="B377" s="10" t="s">
        <v>2177</v>
      </c>
      <c r="C377" s="10" t="s">
        <v>34</v>
      </c>
      <c r="D377" s="9" t="s">
        <v>2178</v>
      </c>
      <c r="E377" s="9" t="s">
        <v>65</v>
      </c>
      <c r="F377" s="9" t="s">
        <v>338</v>
      </c>
      <c r="G377" s="12" t="s">
        <v>2087</v>
      </c>
      <c r="H377" s="140"/>
      <c r="I377" s="140"/>
      <c r="J377" s="9" t="s">
        <v>39</v>
      </c>
      <c r="K377" s="9" t="s">
        <v>77</v>
      </c>
      <c r="L377" s="9" t="s">
        <v>2179</v>
      </c>
      <c r="M377" s="9" t="s">
        <v>2024</v>
      </c>
      <c r="N377" s="9" t="s">
        <v>43</v>
      </c>
      <c r="O377" s="9" t="s">
        <v>2180</v>
      </c>
      <c r="P377" s="138"/>
      <c r="Q377" s="138"/>
      <c r="R377" s="206">
        <v>46132.0</v>
      </c>
      <c r="S377" s="4"/>
      <c r="T377" s="138"/>
      <c r="U377" s="138"/>
      <c r="V377" s="9" t="s">
        <v>2181</v>
      </c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>
      <c r="A378" s="186" t="s">
        <v>2182</v>
      </c>
      <c r="B378" s="10" t="s">
        <v>2183</v>
      </c>
      <c r="C378" s="10" t="s">
        <v>34</v>
      </c>
      <c r="D378" s="9" t="s">
        <v>382</v>
      </c>
      <c r="E378" s="9" t="s">
        <v>85</v>
      </c>
      <c r="F378" s="9" t="s">
        <v>338</v>
      </c>
      <c r="G378" s="12" t="s">
        <v>2184</v>
      </c>
      <c r="H378" s="140"/>
      <c r="I378" s="140"/>
      <c r="J378" s="9" t="s">
        <v>39</v>
      </c>
      <c r="K378" s="9" t="s">
        <v>609</v>
      </c>
      <c r="L378" s="9" t="s">
        <v>2185</v>
      </c>
      <c r="M378" s="9" t="s">
        <v>2186</v>
      </c>
      <c r="N378" s="9" t="s">
        <v>43</v>
      </c>
      <c r="O378" s="9" t="s">
        <v>2187</v>
      </c>
      <c r="P378" s="138"/>
      <c r="Q378" s="138"/>
      <c r="R378" s="134">
        <v>46141.0</v>
      </c>
      <c r="S378" s="4"/>
      <c r="T378" s="138"/>
      <c r="U378" s="138"/>
      <c r="V378" s="9" t="s">
        <v>2188</v>
      </c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>
      <c r="A379" s="186" t="s">
        <v>2189</v>
      </c>
      <c r="B379" s="10" t="s">
        <v>2190</v>
      </c>
      <c r="C379" s="10" t="s">
        <v>34</v>
      </c>
      <c r="D379" s="9" t="s">
        <v>369</v>
      </c>
      <c r="E379" s="9" t="s">
        <v>129</v>
      </c>
      <c r="F379" s="9" t="s">
        <v>1543</v>
      </c>
      <c r="G379" s="12" t="s">
        <v>2191</v>
      </c>
      <c r="H379" s="140"/>
      <c r="I379" s="140"/>
      <c r="J379" s="9" t="s">
        <v>39</v>
      </c>
      <c r="K379" s="9" t="s">
        <v>533</v>
      </c>
      <c r="L379" s="9" t="s">
        <v>285</v>
      </c>
      <c r="M379" s="9" t="s">
        <v>2192</v>
      </c>
      <c r="N379" s="9" t="s">
        <v>43</v>
      </c>
      <c r="O379" s="9" t="s">
        <v>2193</v>
      </c>
      <c r="P379" s="138"/>
      <c r="Q379" s="138"/>
      <c r="R379" s="134">
        <v>46142.0</v>
      </c>
      <c r="S379" s="4"/>
      <c r="T379" s="138"/>
      <c r="U379" s="138"/>
      <c r="V379" s="9" t="s">
        <v>2194</v>
      </c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>
      <c r="A380" s="186" t="s">
        <v>2195</v>
      </c>
      <c r="B380" s="10" t="s">
        <v>2196</v>
      </c>
      <c r="C380" s="10" t="s">
        <v>34</v>
      </c>
      <c r="D380" s="9" t="s">
        <v>2197</v>
      </c>
      <c r="E380" s="9" t="s">
        <v>51</v>
      </c>
      <c r="F380" s="9" t="s">
        <v>338</v>
      </c>
      <c r="G380" s="139"/>
      <c r="H380" s="140"/>
      <c r="I380" s="140"/>
      <c r="J380" s="9" t="s">
        <v>39</v>
      </c>
      <c r="K380" s="138"/>
      <c r="L380" s="138"/>
      <c r="M380" s="138"/>
      <c r="N380" s="9" t="s">
        <v>91</v>
      </c>
      <c r="O380" s="9" t="s">
        <v>2193</v>
      </c>
      <c r="P380" s="138"/>
      <c r="Q380" s="138"/>
      <c r="R380" s="134">
        <v>46143.0</v>
      </c>
      <c r="S380" s="4"/>
      <c r="T380" s="138"/>
      <c r="U380" s="138"/>
      <c r="V380" s="9" t="s">
        <v>2198</v>
      </c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>
      <c r="A381" s="186" t="s">
        <v>2199</v>
      </c>
      <c r="B381" s="10" t="s">
        <v>2200</v>
      </c>
      <c r="C381" s="10" t="s">
        <v>34</v>
      </c>
      <c r="D381" s="9" t="s">
        <v>798</v>
      </c>
      <c r="E381" s="9" t="s">
        <v>169</v>
      </c>
      <c r="F381" s="9" t="s">
        <v>338</v>
      </c>
      <c r="G381" s="12" t="s">
        <v>2201</v>
      </c>
      <c r="H381" s="140"/>
      <c r="I381" s="140"/>
      <c r="J381" s="9" t="s">
        <v>39</v>
      </c>
      <c r="K381" s="9" t="s">
        <v>77</v>
      </c>
      <c r="L381" s="9" t="s">
        <v>2179</v>
      </c>
      <c r="M381" s="9" t="s">
        <v>2024</v>
      </c>
      <c r="N381" s="9" t="s">
        <v>2202</v>
      </c>
      <c r="O381" s="9" t="s">
        <v>2203</v>
      </c>
      <c r="P381" s="138"/>
      <c r="Q381" s="138"/>
      <c r="R381" s="134">
        <v>46144.0</v>
      </c>
      <c r="S381" s="203" t="s">
        <v>2202</v>
      </c>
      <c r="T381" s="138"/>
      <c r="U381" s="138"/>
      <c r="V381" s="9" t="s">
        <v>2204</v>
      </c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>
      <c r="A382" s="186" t="s">
        <v>2205</v>
      </c>
      <c r="B382" s="10" t="s">
        <v>2206</v>
      </c>
      <c r="C382" s="10" t="s">
        <v>34</v>
      </c>
      <c r="D382" s="9" t="s">
        <v>97</v>
      </c>
      <c r="E382" s="9" t="s">
        <v>51</v>
      </c>
      <c r="F382" s="9" t="s">
        <v>1543</v>
      </c>
      <c r="G382" s="12" t="s">
        <v>2207</v>
      </c>
      <c r="H382" s="140"/>
      <c r="I382" s="140"/>
      <c r="J382" s="9" t="s">
        <v>39</v>
      </c>
      <c r="K382" s="9" t="s">
        <v>609</v>
      </c>
      <c r="L382" s="9" t="s">
        <v>1241</v>
      </c>
      <c r="M382" s="9" t="s">
        <v>2208</v>
      </c>
      <c r="N382" s="9" t="s">
        <v>91</v>
      </c>
      <c r="O382" s="9" t="s">
        <v>2203</v>
      </c>
      <c r="P382" s="138"/>
      <c r="Q382" s="138"/>
      <c r="R382" s="134">
        <v>46145.0</v>
      </c>
      <c r="S382" s="4"/>
      <c r="T382" s="138"/>
      <c r="U382" s="138"/>
      <c r="V382" s="9" t="s">
        <v>2209</v>
      </c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>
      <c r="A383" s="186" t="s">
        <v>2210</v>
      </c>
      <c r="B383" s="10" t="s">
        <v>2211</v>
      </c>
      <c r="C383" s="10" t="s">
        <v>34</v>
      </c>
      <c r="D383" s="9" t="s">
        <v>2212</v>
      </c>
      <c r="E383" s="9" t="s">
        <v>283</v>
      </c>
      <c r="F383" s="9" t="s">
        <v>2213</v>
      </c>
      <c r="G383" s="12" t="s">
        <v>2214</v>
      </c>
      <c r="H383" s="140"/>
      <c r="I383" s="140"/>
      <c r="J383" s="9" t="s">
        <v>228</v>
      </c>
      <c r="K383" s="138"/>
      <c r="L383" s="9" t="s">
        <v>1167</v>
      </c>
      <c r="M383" s="9" t="s">
        <v>1943</v>
      </c>
      <c r="N383" s="9" t="s">
        <v>91</v>
      </c>
      <c r="O383" s="9" t="s">
        <v>2203</v>
      </c>
      <c r="P383" s="138"/>
      <c r="Q383" s="138"/>
      <c r="R383" s="134">
        <v>46146.0</v>
      </c>
      <c r="S383" s="4"/>
      <c r="T383" s="138"/>
      <c r="U383" s="138"/>
      <c r="V383" s="9" t="s">
        <v>2215</v>
      </c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>
      <c r="A384" s="186" t="s">
        <v>2216</v>
      </c>
      <c r="B384" s="10" t="s">
        <v>2217</v>
      </c>
      <c r="C384" s="10" t="s">
        <v>34</v>
      </c>
      <c r="D384" s="9" t="s">
        <v>2218</v>
      </c>
      <c r="E384" s="9" t="s">
        <v>370</v>
      </c>
      <c r="F384" s="9" t="s">
        <v>538</v>
      </c>
      <c r="G384" s="12" t="s">
        <v>2219</v>
      </c>
      <c r="H384" s="140"/>
      <c r="I384" s="140"/>
      <c r="J384" s="9" t="s">
        <v>39</v>
      </c>
      <c r="K384" s="9" t="s">
        <v>616</v>
      </c>
      <c r="L384" s="9" t="s">
        <v>2220</v>
      </c>
      <c r="M384" s="9" t="s">
        <v>2221</v>
      </c>
      <c r="N384" s="9" t="s">
        <v>91</v>
      </c>
      <c r="O384" s="9" t="s">
        <v>2222</v>
      </c>
      <c r="P384" s="138"/>
      <c r="Q384" s="138"/>
      <c r="R384" s="134">
        <v>46147.0</v>
      </c>
      <c r="S384" s="4"/>
      <c r="T384" s="138"/>
      <c r="U384" s="138"/>
      <c r="V384" s="9" t="s">
        <v>2223</v>
      </c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>
      <c r="A385" s="186" t="s">
        <v>2224</v>
      </c>
      <c r="B385" s="10" t="s">
        <v>2225</v>
      </c>
      <c r="C385" s="10" t="s">
        <v>34</v>
      </c>
      <c r="D385" s="9" t="s">
        <v>2226</v>
      </c>
      <c r="E385" s="9" t="s">
        <v>2227</v>
      </c>
      <c r="F385" s="9" t="s">
        <v>338</v>
      </c>
      <c r="G385" s="12" t="s">
        <v>2228</v>
      </c>
      <c r="H385" s="140"/>
      <c r="I385" s="140"/>
      <c r="J385" s="9" t="s">
        <v>39</v>
      </c>
      <c r="K385" s="9" t="s">
        <v>674</v>
      </c>
      <c r="L385" s="9" t="s">
        <v>183</v>
      </c>
      <c r="M385" s="9" t="s">
        <v>2001</v>
      </c>
      <c r="N385" s="9" t="s">
        <v>91</v>
      </c>
      <c r="O385" s="9" t="s">
        <v>2229</v>
      </c>
      <c r="P385" s="138"/>
      <c r="Q385" s="138"/>
      <c r="R385" s="134">
        <v>46148.0</v>
      </c>
      <c r="S385" s="4"/>
      <c r="T385" s="138"/>
      <c r="U385" s="138"/>
      <c r="V385" s="9" t="s">
        <v>2230</v>
      </c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>
      <c r="A386" s="186" t="s">
        <v>2231</v>
      </c>
      <c r="B386" s="10" t="s">
        <v>2232</v>
      </c>
      <c r="C386" s="10" t="s">
        <v>34</v>
      </c>
      <c r="D386" s="9" t="s">
        <v>2226</v>
      </c>
      <c r="E386" s="9" t="s">
        <v>85</v>
      </c>
      <c r="F386" s="9" t="s">
        <v>338</v>
      </c>
      <c r="G386" s="12" t="s">
        <v>2233</v>
      </c>
      <c r="H386" s="140"/>
      <c r="I386" s="140"/>
      <c r="J386" s="9" t="s">
        <v>39</v>
      </c>
      <c r="K386" s="9" t="s">
        <v>533</v>
      </c>
      <c r="L386" s="9" t="s">
        <v>183</v>
      </c>
      <c r="M386" s="9" t="s">
        <v>2001</v>
      </c>
      <c r="N386" s="9" t="s">
        <v>91</v>
      </c>
      <c r="O386" s="9" t="s">
        <v>2229</v>
      </c>
      <c r="P386" s="138"/>
      <c r="Q386" s="138"/>
      <c r="R386" s="134">
        <v>46149.0</v>
      </c>
      <c r="S386" s="4"/>
      <c r="T386" s="138"/>
      <c r="U386" s="138"/>
      <c r="V386" s="9" t="s">
        <v>2234</v>
      </c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>
      <c r="A387" s="186" t="s">
        <v>2235</v>
      </c>
      <c r="B387" s="10" t="s">
        <v>2236</v>
      </c>
      <c r="C387" s="10" t="s">
        <v>34</v>
      </c>
      <c r="D387" s="9" t="s">
        <v>2237</v>
      </c>
      <c r="E387" s="9" t="s">
        <v>283</v>
      </c>
      <c r="F387" s="9" t="s">
        <v>338</v>
      </c>
      <c r="G387" s="12" t="s">
        <v>1199</v>
      </c>
      <c r="H387" s="140"/>
      <c r="I387" s="140"/>
      <c r="J387" s="9" t="s">
        <v>39</v>
      </c>
      <c r="K387" s="9" t="s">
        <v>576</v>
      </c>
      <c r="L387" s="9" t="s">
        <v>2238</v>
      </c>
      <c r="M387" s="9" t="s">
        <v>2239</v>
      </c>
      <c r="N387" s="9" t="s">
        <v>91</v>
      </c>
      <c r="O387" s="9" t="s">
        <v>2240</v>
      </c>
      <c r="P387" s="138"/>
      <c r="Q387" s="138"/>
      <c r="R387" s="134">
        <v>46150.0</v>
      </c>
      <c r="S387" s="4"/>
      <c r="T387" s="138"/>
      <c r="U387" s="138"/>
      <c r="V387" s="9" t="s">
        <v>2241</v>
      </c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>
      <c r="A388" s="88" t="s">
        <v>2242</v>
      </c>
      <c r="B388" s="10" t="s">
        <v>2243</v>
      </c>
      <c r="C388" s="10" t="s">
        <v>34</v>
      </c>
      <c r="D388" s="9" t="s">
        <v>2244</v>
      </c>
      <c r="E388" s="9" t="s">
        <v>370</v>
      </c>
      <c r="F388" s="9" t="s">
        <v>338</v>
      </c>
      <c r="G388" s="12" t="s">
        <v>2245</v>
      </c>
      <c r="H388" s="140"/>
      <c r="I388" s="140"/>
      <c r="J388" s="138"/>
      <c r="K388" s="138"/>
      <c r="L388" s="9" t="s">
        <v>320</v>
      </c>
      <c r="M388" s="9" t="s">
        <v>2009</v>
      </c>
      <c r="N388" s="9" t="s">
        <v>91</v>
      </c>
      <c r="O388" s="9" t="s">
        <v>2240</v>
      </c>
      <c r="P388" s="138"/>
      <c r="Q388" s="138"/>
      <c r="R388" s="134">
        <v>46151.0</v>
      </c>
      <c r="S388" s="4"/>
      <c r="T388" s="138"/>
      <c r="U388" s="138"/>
      <c r="V388" s="9" t="s">
        <v>2246</v>
      </c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>
      <c r="A389" s="88" t="s">
        <v>2247</v>
      </c>
      <c r="B389" s="10" t="s">
        <v>2248</v>
      </c>
      <c r="C389" s="10" t="s">
        <v>34</v>
      </c>
      <c r="D389" s="9" t="s">
        <v>2249</v>
      </c>
      <c r="E389" s="9" t="s">
        <v>85</v>
      </c>
      <c r="F389" s="9" t="s">
        <v>538</v>
      </c>
      <c r="G389" s="12" t="s">
        <v>2250</v>
      </c>
      <c r="H389" s="140"/>
      <c r="I389" s="140"/>
      <c r="J389" s="9" t="s">
        <v>969</v>
      </c>
      <c r="K389" s="138"/>
      <c r="L389" s="9" t="s">
        <v>134</v>
      </c>
      <c r="M389" s="9" t="s">
        <v>2251</v>
      </c>
      <c r="N389" s="9" t="s">
        <v>91</v>
      </c>
      <c r="O389" s="9" t="s">
        <v>2240</v>
      </c>
      <c r="P389" s="138"/>
      <c r="Q389" s="138"/>
      <c r="R389" s="134">
        <v>46152.0</v>
      </c>
      <c r="S389" s="4"/>
      <c r="T389" s="138"/>
      <c r="U389" s="138"/>
      <c r="V389" s="9" t="s">
        <v>2252</v>
      </c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>
      <c r="A390" s="88" t="s">
        <v>2253</v>
      </c>
      <c r="B390" s="10" t="s">
        <v>2254</v>
      </c>
      <c r="C390" s="10" t="s">
        <v>34</v>
      </c>
      <c r="D390" s="9" t="s">
        <v>187</v>
      </c>
      <c r="E390" s="9" t="s">
        <v>370</v>
      </c>
      <c r="F390" s="9" t="s">
        <v>538</v>
      </c>
      <c r="G390" s="12" t="s">
        <v>2255</v>
      </c>
      <c r="H390" s="140"/>
      <c r="I390" s="140"/>
      <c r="J390" s="9" t="s">
        <v>39</v>
      </c>
      <c r="K390" s="138"/>
      <c r="L390" s="9" t="s">
        <v>2033</v>
      </c>
      <c r="M390" s="9" t="s">
        <v>2034</v>
      </c>
      <c r="N390" s="9" t="s">
        <v>91</v>
      </c>
      <c r="O390" s="9" t="s">
        <v>2256</v>
      </c>
      <c r="P390" s="138"/>
      <c r="Q390" s="138"/>
      <c r="R390" s="134">
        <v>46153.0</v>
      </c>
      <c r="S390" s="4"/>
      <c r="T390" s="138"/>
      <c r="U390" s="138"/>
      <c r="V390" s="9" t="s">
        <v>2257</v>
      </c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>
      <c r="A391" s="88" t="s">
        <v>2258</v>
      </c>
      <c r="B391" s="10" t="s">
        <v>2259</v>
      </c>
      <c r="C391" s="10" t="s">
        <v>34</v>
      </c>
      <c r="D391" s="9" t="s">
        <v>624</v>
      </c>
      <c r="E391" s="9" t="s">
        <v>311</v>
      </c>
      <c r="F391" s="9" t="s">
        <v>538</v>
      </c>
      <c r="G391" s="12" t="s">
        <v>2260</v>
      </c>
      <c r="H391" s="140"/>
      <c r="I391" s="140"/>
      <c r="J391" s="9" t="s">
        <v>39</v>
      </c>
      <c r="K391" s="138"/>
      <c r="L391" s="9" t="s">
        <v>270</v>
      </c>
      <c r="M391" s="9" t="s">
        <v>2261</v>
      </c>
      <c r="N391" s="9" t="s">
        <v>91</v>
      </c>
      <c r="O391" s="9" t="s">
        <v>2262</v>
      </c>
      <c r="P391" s="138"/>
      <c r="Q391" s="138"/>
      <c r="R391" s="134">
        <v>46154.0</v>
      </c>
      <c r="S391" s="4"/>
      <c r="T391" s="138"/>
      <c r="U391" s="138"/>
      <c r="V391" s="9" t="s">
        <v>2263</v>
      </c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>
      <c r="A392" s="88" t="s">
        <v>2264</v>
      </c>
      <c r="B392" s="10" t="s">
        <v>2265</v>
      </c>
      <c r="C392" s="10" t="s">
        <v>34</v>
      </c>
      <c r="D392" s="9" t="s">
        <v>2266</v>
      </c>
      <c r="E392" s="9" t="s">
        <v>169</v>
      </c>
      <c r="F392" s="9" t="s">
        <v>338</v>
      </c>
      <c r="G392" s="12" t="s">
        <v>2267</v>
      </c>
      <c r="H392" s="140"/>
      <c r="I392" s="140"/>
      <c r="J392" s="9" t="s">
        <v>39</v>
      </c>
      <c r="K392" s="138"/>
      <c r="L392" s="9" t="s">
        <v>1424</v>
      </c>
      <c r="M392" s="9" t="s">
        <v>2268</v>
      </c>
      <c r="N392" s="9" t="s">
        <v>91</v>
      </c>
      <c r="O392" s="9" t="s">
        <v>2262</v>
      </c>
      <c r="P392" s="138"/>
      <c r="Q392" s="138"/>
      <c r="R392" s="134">
        <v>46155.0</v>
      </c>
      <c r="S392" s="4"/>
      <c r="T392" s="138"/>
      <c r="U392" s="138"/>
      <c r="V392" s="9" t="s">
        <v>2269</v>
      </c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>
      <c r="A393" s="88" t="s">
        <v>2270</v>
      </c>
      <c r="B393" s="10" t="s">
        <v>2271</v>
      </c>
      <c r="C393" s="10" t="s">
        <v>34</v>
      </c>
      <c r="D393" s="9" t="s">
        <v>2272</v>
      </c>
      <c r="E393" s="9" t="s">
        <v>65</v>
      </c>
      <c r="F393" s="9" t="s">
        <v>338</v>
      </c>
      <c r="G393" s="12" t="s">
        <v>2273</v>
      </c>
      <c r="H393" s="140"/>
      <c r="I393" s="140"/>
      <c r="J393" s="9" t="s">
        <v>39</v>
      </c>
      <c r="K393" s="138"/>
      <c r="L393" s="9" t="s">
        <v>2033</v>
      </c>
      <c r="M393" s="9" t="s">
        <v>2034</v>
      </c>
      <c r="N393" s="9" t="s">
        <v>91</v>
      </c>
      <c r="O393" s="9" t="s">
        <v>2262</v>
      </c>
      <c r="P393" s="138"/>
      <c r="Q393" s="138"/>
      <c r="R393" s="134">
        <v>46156.0</v>
      </c>
      <c r="S393" s="4"/>
      <c r="T393" s="138"/>
      <c r="U393" s="138"/>
      <c r="V393" s="9" t="s">
        <v>2274</v>
      </c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>
      <c r="A394" s="88" t="s">
        <v>2275</v>
      </c>
      <c r="B394" s="10" t="s">
        <v>2276</v>
      </c>
      <c r="C394" s="10" t="s">
        <v>34</v>
      </c>
      <c r="D394" s="9" t="s">
        <v>108</v>
      </c>
      <c r="E394" s="9" t="s">
        <v>85</v>
      </c>
      <c r="F394" s="9" t="s">
        <v>338</v>
      </c>
      <c r="G394" s="12" t="s">
        <v>1504</v>
      </c>
      <c r="H394" s="140"/>
      <c r="I394" s="140"/>
      <c r="J394" s="9" t="s">
        <v>39</v>
      </c>
      <c r="K394" s="138"/>
      <c r="L394" s="9" t="s">
        <v>183</v>
      </c>
      <c r="M394" s="9" t="s">
        <v>2001</v>
      </c>
      <c r="N394" s="9" t="s">
        <v>91</v>
      </c>
      <c r="O394" s="9" t="s">
        <v>2262</v>
      </c>
      <c r="P394" s="138"/>
      <c r="Q394" s="138"/>
      <c r="R394" s="134">
        <v>46157.0</v>
      </c>
      <c r="S394" s="4"/>
      <c r="T394" s="138"/>
      <c r="U394" s="138"/>
      <c r="V394" s="9" t="s">
        <v>2277</v>
      </c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>
      <c r="A395" s="88" t="s">
        <v>2278</v>
      </c>
      <c r="B395" s="10" t="s">
        <v>2279</v>
      </c>
      <c r="C395" s="10" t="s">
        <v>34</v>
      </c>
      <c r="D395" s="9" t="s">
        <v>1686</v>
      </c>
      <c r="E395" s="9" t="s">
        <v>1955</v>
      </c>
      <c r="F395" s="9" t="s">
        <v>1543</v>
      </c>
      <c r="G395" s="12" t="s">
        <v>2280</v>
      </c>
      <c r="H395" s="140"/>
      <c r="I395" s="140"/>
      <c r="J395" s="9" t="s">
        <v>39</v>
      </c>
      <c r="K395" s="138"/>
      <c r="L395" s="9" t="s">
        <v>183</v>
      </c>
      <c r="M395" s="9" t="s">
        <v>2001</v>
      </c>
      <c r="N395" s="9" t="s">
        <v>91</v>
      </c>
      <c r="O395" s="9" t="s">
        <v>2262</v>
      </c>
      <c r="P395" s="138"/>
      <c r="Q395" s="138"/>
      <c r="R395" s="134">
        <v>46158.0</v>
      </c>
      <c r="S395" s="4"/>
      <c r="T395" s="138"/>
      <c r="U395" s="138"/>
      <c r="V395" s="9" t="s">
        <v>2281</v>
      </c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>
      <c r="A396" s="186" t="s">
        <v>2282</v>
      </c>
      <c r="B396" s="10" t="s">
        <v>2283</v>
      </c>
      <c r="C396" s="10" t="s">
        <v>34</v>
      </c>
      <c r="D396" s="9" t="s">
        <v>1686</v>
      </c>
      <c r="E396" s="9" t="s">
        <v>1687</v>
      </c>
      <c r="F396" s="9" t="s">
        <v>1543</v>
      </c>
      <c r="G396" s="12" t="s">
        <v>1688</v>
      </c>
      <c r="H396" s="140"/>
      <c r="I396" s="140"/>
      <c r="J396" s="9" t="s">
        <v>39</v>
      </c>
      <c r="K396" s="138"/>
      <c r="L396" s="9" t="s">
        <v>183</v>
      </c>
      <c r="M396" s="9" t="s">
        <v>2001</v>
      </c>
      <c r="N396" s="9" t="s">
        <v>91</v>
      </c>
      <c r="O396" s="9" t="s">
        <v>2262</v>
      </c>
      <c r="P396" s="138"/>
      <c r="Q396" s="138"/>
      <c r="R396" s="9" t="s">
        <v>1651</v>
      </c>
      <c r="S396" s="4"/>
      <c r="T396" s="138"/>
      <c r="U396" s="138"/>
      <c r="V396" s="9" t="s">
        <v>2284</v>
      </c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>
      <c r="A397" s="186" t="s">
        <v>2285</v>
      </c>
      <c r="B397" s="10" t="s">
        <v>2286</v>
      </c>
      <c r="C397" s="10" t="s">
        <v>1510</v>
      </c>
      <c r="D397" s="9" t="s">
        <v>2287</v>
      </c>
      <c r="E397" s="9" t="s">
        <v>2288</v>
      </c>
      <c r="F397" s="9" t="s">
        <v>52</v>
      </c>
      <c r="G397" s="12" t="s">
        <v>2289</v>
      </c>
      <c r="H397" s="13">
        <v>410000.0</v>
      </c>
      <c r="I397" s="13"/>
      <c r="J397" s="9" t="s">
        <v>39</v>
      </c>
      <c r="K397" s="9" t="s">
        <v>655</v>
      </c>
      <c r="L397" s="9" t="s">
        <v>183</v>
      </c>
      <c r="M397" s="9" t="s">
        <v>2001</v>
      </c>
      <c r="N397" s="9" t="s">
        <v>91</v>
      </c>
      <c r="O397" s="9" t="s">
        <v>1995</v>
      </c>
      <c r="P397" s="138"/>
      <c r="Q397" s="138"/>
      <c r="R397" s="9" t="s">
        <v>1510</v>
      </c>
      <c r="S397" s="4"/>
      <c r="T397" s="138"/>
      <c r="U397" s="138"/>
      <c r="V397" s="9" t="s">
        <v>2290</v>
      </c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>
      <c r="A398" s="186" t="s">
        <v>2291</v>
      </c>
      <c r="B398" s="10" t="s">
        <v>2292</v>
      </c>
      <c r="C398" s="10" t="s">
        <v>34</v>
      </c>
      <c r="D398" s="154" t="s">
        <v>2293</v>
      </c>
      <c r="E398" s="9" t="s">
        <v>2294</v>
      </c>
      <c r="F398" s="9" t="s">
        <v>86</v>
      </c>
      <c r="G398" s="12" t="s">
        <v>2295</v>
      </c>
      <c r="H398" s="13">
        <v>250000.0</v>
      </c>
      <c r="I398" s="13"/>
      <c r="J398" s="9" t="s">
        <v>39</v>
      </c>
      <c r="K398" s="9" t="s">
        <v>690</v>
      </c>
      <c r="L398" s="9" t="s">
        <v>183</v>
      </c>
      <c r="M398" s="9" t="s">
        <v>2001</v>
      </c>
      <c r="N398" s="9" t="s">
        <v>91</v>
      </c>
      <c r="O398" s="9" t="s">
        <v>1995</v>
      </c>
      <c r="P398" s="9" t="s">
        <v>970</v>
      </c>
      <c r="Q398" s="9" t="s">
        <v>2296</v>
      </c>
      <c r="R398" s="9" t="s">
        <v>2297</v>
      </c>
      <c r="S398" s="4"/>
      <c r="T398" s="138"/>
      <c r="U398" s="138"/>
      <c r="V398" s="9" t="s">
        <v>2298</v>
      </c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>
      <c r="A399" s="186" t="s">
        <v>2299</v>
      </c>
      <c r="B399" s="10" t="s">
        <v>2300</v>
      </c>
      <c r="C399" s="10" t="s">
        <v>34</v>
      </c>
      <c r="D399" s="182" t="s">
        <v>2301</v>
      </c>
      <c r="E399" s="9" t="s">
        <v>51</v>
      </c>
      <c r="F399" s="9" t="s">
        <v>37</v>
      </c>
      <c r="G399" s="12" t="s">
        <v>2302</v>
      </c>
      <c r="H399" s="13">
        <v>600000.0</v>
      </c>
      <c r="I399" s="13"/>
      <c r="J399" s="9" t="s">
        <v>39</v>
      </c>
      <c r="K399" s="9" t="s">
        <v>789</v>
      </c>
      <c r="L399" s="9" t="s">
        <v>540</v>
      </c>
      <c r="M399" s="9" t="s">
        <v>2001</v>
      </c>
      <c r="N399" s="9" t="s">
        <v>91</v>
      </c>
      <c r="O399" s="9" t="s">
        <v>2042</v>
      </c>
      <c r="P399" s="9" t="s">
        <v>783</v>
      </c>
      <c r="Q399" s="9" t="s">
        <v>2303</v>
      </c>
      <c r="R399" s="9" t="s">
        <v>2304</v>
      </c>
      <c r="S399" s="203" t="s">
        <v>2305</v>
      </c>
      <c r="T399" s="138"/>
      <c r="U399" s="138"/>
      <c r="V399" s="9" t="s">
        <v>2306</v>
      </c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>
      <c r="A400" s="186" t="s">
        <v>2307</v>
      </c>
      <c r="B400" s="10" t="s">
        <v>2308</v>
      </c>
      <c r="C400" s="10" t="s">
        <v>34</v>
      </c>
      <c r="D400" s="154" t="s">
        <v>1409</v>
      </c>
      <c r="E400" s="9" t="s">
        <v>139</v>
      </c>
      <c r="F400" s="9" t="s">
        <v>1565</v>
      </c>
      <c r="G400" s="12" t="s">
        <v>2309</v>
      </c>
      <c r="H400" s="13">
        <v>60000.0</v>
      </c>
      <c r="I400" s="13"/>
      <c r="J400" s="9" t="s">
        <v>39</v>
      </c>
      <c r="K400" s="9" t="s">
        <v>663</v>
      </c>
      <c r="L400" s="9" t="s">
        <v>844</v>
      </c>
      <c r="M400" s="9" t="s">
        <v>1523</v>
      </c>
      <c r="N400" s="9" t="s">
        <v>91</v>
      </c>
      <c r="O400" s="9" t="s">
        <v>2042</v>
      </c>
      <c r="P400" s="9" t="s">
        <v>1056</v>
      </c>
      <c r="Q400" s="9" t="s">
        <v>2310</v>
      </c>
      <c r="R400" s="9" t="s">
        <v>2042</v>
      </c>
      <c r="S400" s="4"/>
      <c r="T400" s="138"/>
      <c r="U400" s="138"/>
      <c r="V400" s="9" t="s">
        <v>2311</v>
      </c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>
      <c r="A401" s="186" t="s">
        <v>2312</v>
      </c>
      <c r="B401" s="10" t="s">
        <v>2313</v>
      </c>
      <c r="C401" s="10" t="s">
        <v>34</v>
      </c>
      <c r="D401" s="154" t="s">
        <v>187</v>
      </c>
      <c r="E401" s="9" t="s">
        <v>370</v>
      </c>
      <c r="F401" s="9" t="s">
        <v>86</v>
      </c>
      <c r="G401" s="12" t="s">
        <v>2314</v>
      </c>
      <c r="H401" s="13">
        <v>200000.0</v>
      </c>
      <c r="I401" s="13"/>
      <c r="J401" s="9" t="s">
        <v>39</v>
      </c>
      <c r="K401" s="9" t="s">
        <v>1627</v>
      </c>
      <c r="L401" s="9" t="s">
        <v>1842</v>
      </c>
      <c r="M401" s="9" t="s">
        <v>1994</v>
      </c>
      <c r="N401" s="9" t="s">
        <v>91</v>
      </c>
      <c r="O401" s="9" t="s">
        <v>2042</v>
      </c>
      <c r="P401" s="9" t="s">
        <v>253</v>
      </c>
      <c r="Q401" s="9" t="s">
        <v>1817</v>
      </c>
      <c r="R401" s="9" t="s">
        <v>1396</v>
      </c>
      <c r="S401" s="203" t="s">
        <v>2315</v>
      </c>
      <c r="T401" s="138"/>
      <c r="U401" s="138"/>
      <c r="V401" s="9" t="s">
        <v>2316</v>
      </c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>
      <c r="A402" s="186" t="s">
        <v>2317</v>
      </c>
      <c r="B402" s="10" t="s">
        <v>2318</v>
      </c>
      <c r="C402" s="10" t="s">
        <v>34</v>
      </c>
      <c r="D402" s="159" t="s">
        <v>2319</v>
      </c>
      <c r="E402" s="9" t="s">
        <v>65</v>
      </c>
      <c r="F402" s="9" t="s">
        <v>338</v>
      </c>
      <c r="G402" s="12" t="s">
        <v>2047</v>
      </c>
      <c r="H402" s="13">
        <v>540000.0</v>
      </c>
      <c r="I402" s="13"/>
      <c r="J402" s="9" t="s">
        <v>39</v>
      </c>
      <c r="K402" s="9" t="s">
        <v>88</v>
      </c>
      <c r="L402" s="9" t="s">
        <v>2141</v>
      </c>
      <c r="M402" s="9" t="s">
        <v>1817</v>
      </c>
      <c r="N402" s="9" t="s">
        <v>91</v>
      </c>
      <c r="O402" s="9" t="s">
        <v>2042</v>
      </c>
      <c r="P402" s="204" t="s">
        <v>2320</v>
      </c>
      <c r="Q402" s="207" t="s">
        <v>2321</v>
      </c>
      <c r="R402" s="183">
        <v>46133.0</v>
      </c>
      <c r="S402" s="4"/>
      <c r="T402" s="138"/>
      <c r="U402" s="138"/>
      <c r="V402" s="9" t="s">
        <v>2322</v>
      </c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>
      <c r="A403" s="208" t="s">
        <v>2323</v>
      </c>
      <c r="B403" s="10" t="s">
        <v>2324</v>
      </c>
      <c r="C403" s="10" t="s">
        <v>34</v>
      </c>
      <c r="D403" s="182" t="s">
        <v>2325</v>
      </c>
      <c r="E403" s="9" t="s">
        <v>36</v>
      </c>
      <c r="F403" s="9" t="s">
        <v>338</v>
      </c>
      <c r="G403" s="12" t="s">
        <v>2326</v>
      </c>
      <c r="H403" s="13">
        <v>1380000.0</v>
      </c>
      <c r="I403" s="13"/>
      <c r="J403" s="9" t="s">
        <v>39</v>
      </c>
      <c r="K403" s="9" t="s">
        <v>77</v>
      </c>
      <c r="L403" s="9" t="s">
        <v>735</v>
      </c>
      <c r="M403" s="9" t="s">
        <v>2327</v>
      </c>
      <c r="N403" s="9" t="s">
        <v>91</v>
      </c>
      <c r="O403" s="9" t="s">
        <v>2099</v>
      </c>
      <c r="P403" s="9" t="s">
        <v>289</v>
      </c>
      <c r="Q403" s="9" t="s">
        <v>2328</v>
      </c>
      <c r="R403" s="9" t="s">
        <v>2099</v>
      </c>
      <c r="S403" s="4"/>
      <c r="T403" s="138"/>
      <c r="U403" s="138"/>
      <c r="V403" s="9" t="s">
        <v>2329</v>
      </c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>
      <c r="A404" s="208" t="s">
        <v>2330</v>
      </c>
      <c r="B404" s="10" t="s">
        <v>2331</v>
      </c>
      <c r="C404" s="10" t="s">
        <v>1445</v>
      </c>
      <c r="D404" s="182" t="s">
        <v>2332</v>
      </c>
      <c r="E404" s="9" t="s">
        <v>65</v>
      </c>
      <c r="F404" s="138"/>
      <c r="G404" s="139"/>
      <c r="H404" s="13">
        <v>45000.0</v>
      </c>
      <c r="I404" s="13"/>
      <c r="J404" s="138"/>
      <c r="K404" s="138"/>
      <c r="L404" s="9" t="s">
        <v>973</v>
      </c>
      <c r="M404" s="9" t="s">
        <v>2024</v>
      </c>
      <c r="N404" s="9" t="s">
        <v>91</v>
      </c>
      <c r="O404" s="9" t="s">
        <v>2099</v>
      </c>
      <c r="P404" s="9" t="s">
        <v>2333</v>
      </c>
      <c r="Q404" s="9" t="s">
        <v>2334</v>
      </c>
      <c r="R404" s="9" t="s">
        <v>1445</v>
      </c>
      <c r="S404" s="4"/>
      <c r="T404" s="138"/>
      <c r="U404" s="138"/>
      <c r="V404" s="9" t="s">
        <v>2335</v>
      </c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>
      <c r="A405" s="208" t="s">
        <v>2336</v>
      </c>
      <c r="B405" s="10" t="s">
        <v>2337</v>
      </c>
      <c r="C405" s="10" t="s">
        <v>34</v>
      </c>
      <c r="D405" s="182" t="s">
        <v>2338</v>
      </c>
      <c r="E405" s="9" t="s">
        <v>65</v>
      </c>
      <c r="F405" s="9" t="s">
        <v>1543</v>
      </c>
      <c r="G405" s="12" t="s">
        <v>2339</v>
      </c>
      <c r="H405" s="13">
        <v>600000.0</v>
      </c>
      <c r="I405" s="13"/>
      <c r="J405" s="9" t="s">
        <v>2079</v>
      </c>
      <c r="K405" s="9" t="s">
        <v>77</v>
      </c>
      <c r="L405" s="9" t="s">
        <v>1842</v>
      </c>
      <c r="M405" s="9" t="s">
        <v>1994</v>
      </c>
      <c r="N405" s="9" t="s">
        <v>91</v>
      </c>
      <c r="O405" s="9" t="s">
        <v>1396</v>
      </c>
      <c r="P405" s="9" t="s">
        <v>2340</v>
      </c>
      <c r="Q405" s="9" t="s">
        <v>2341</v>
      </c>
      <c r="R405" s="9" t="s">
        <v>2342</v>
      </c>
      <c r="S405" s="203" t="s">
        <v>2343</v>
      </c>
      <c r="T405" s="138"/>
      <c r="U405" s="138"/>
      <c r="V405" s="9" t="s">
        <v>2344</v>
      </c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>
      <c r="A406" s="208" t="s">
        <v>2345</v>
      </c>
      <c r="B406" s="10" t="s">
        <v>2346</v>
      </c>
      <c r="C406" s="10" t="s">
        <v>34</v>
      </c>
      <c r="D406" s="182" t="s">
        <v>369</v>
      </c>
      <c r="E406" s="9" t="s">
        <v>129</v>
      </c>
      <c r="F406" s="9" t="s">
        <v>1543</v>
      </c>
      <c r="G406" s="12" t="s">
        <v>2347</v>
      </c>
      <c r="H406" s="13">
        <v>669265.0</v>
      </c>
      <c r="I406" s="13"/>
      <c r="J406" s="9" t="s">
        <v>39</v>
      </c>
      <c r="K406" s="9" t="s">
        <v>1411</v>
      </c>
      <c r="L406" s="9" t="s">
        <v>844</v>
      </c>
      <c r="M406" s="9" t="s">
        <v>1523</v>
      </c>
      <c r="N406" s="9" t="s">
        <v>2348</v>
      </c>
      <c r="O406" s="9" t="s">
        <v>1396</v>
      </c>
      <c r="P406" s="9" t="s">
        <v>2349</v>
      </c>
      <c r="Q406" s="9" t="s">
        <v>2350</v>
      </c>
      <c r="R406" s="9" t="s">
        <v>2351</v>
      </c>
      <c r="S406" s="203" t="s">
        <v>2352</v>
      </c>
      <c r="T406" s="138"/>
      <c r="U406" s="138"/>
      <c r="V406" s="9" t="s">
        <v>2353</v>
      </c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>
      <c r="A407" s="208" t="s">
        <v>2354</v>
      </c>
      <c r="B407" s="10" t="s">
        <v>2355</v>
      </c>
      <c r="C407" s="10" t="s">
        <v>1445</v>
      </c>
      <c r="D407" s="182" t="s">
        <v>2301</v>
      </c>
      <c r="E407" s="9" t="s">
        <v>51</v>
      </c>
      <c r="F407" s="9" t="s">
        <v>37</v>
      </c>
      <c r="G407" s="12" t="s">
        <v>2356</v>
      </c>
      <c r="H407" s="13">
        <v>500000.0</v>
      </c>
      <c r="I407" s="13"/>
      <c r="J407" s="9" t="s">
        <v>39</v>
      </c>
      <c r="K407" s="9" t="s">
        <v>619</v>
      </c>
      <c r="L407" s="9" t="s">
        <v>2090</v>
      </c>
      <c r="M407" s="9" t="s">
        <v>2091</v>
      </c>
      <c r="N407" s="9" t="s">
        <v>91</v>
      </c>
      <c r="O407" s="9" t="s">
        <v>2012</v>
      </c>
      <c r="P407" s="9" t="s">
        <v>173</v>
      </c>
      <c r="Q407" s="9" t="s">
        <v>2082</v>
      </c>
      <c r="R407" s="9" t="s">
        <v>1445</v>
      </c>
      <c r="S407" s="203" t="s">
        <v>2357</v>
      </c>
      <c r="T407" s="9" t="s">
        <v>2358</v>
      </c>
      <c r="U407" s="138"/>
      <c r="V407" s="9" t="s">
        <v>2359</v>
      </c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>
      <c r="A408" s="208" t="s">
        <v>2360</v>
      </c>
      <c r="B408" s="10" t="s">
        <v>2254</v>
      </c>
      <c r="C408" s="10" t="s">
        <v>1510</v>
      </c>
      <c r="D408" s="9" t="s">
        <v>2361</v>
      </c>
      <c r="E408" s="9" t="s">
        <v>65</v>
      </c>
      <c r="F408" s="138"/>
      <c r="G408" s="12" t="s">
        <v>2362</v>
      </c>
      <c r="H408" s="13">
        <v>200000.0</v>
      </c>
      <c r="I408" s="13"/>
      <c r="J408" s="9" t="s">
        <v>969</v>
      </c>
      <c r="K408" s="138"/>
      <c r="L408" s="9" t="s">
        <v>970</v>
      </c>
      <c r="M408" s="9" t="s">
        <v>2296</v>
      </c>
      <c r="N408" s="9" t="s">
        <v>91</v>
      </c>
      <c r="O408" s="9" t="s">
        <v>2363</v>
      </c>
      <c r="P408" s="138"/>
      <c r="Q408" s="138"/>
      <c r="R408" s="9" t="s">
        <v>1510</v>
      </c>
      <c r="S408" s="4"/>
      <c r="T408" s="138"/>
      <c r="U408" s="138"/>
      <c r="V408" s="9" t="s">
        <v>2364</v>
      </c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>
      <c r="A409" s="208" t="s">
        <v>2365</v>
      </c>
      <c r="B409" s="10" t="s">
        <v>2021</v>
      </c>
      <c r="C409" s="10" t="s">
        <v>1510</v>
      </c>
      <c r="D409" s="9" t="s">
        <v>2366</v>
      </c>
      <c r="E409" s="9" t="s">
        <v>2367</v>
      </c>
      <c r="F409" s="9" t="s">
        <v>1543</v>
      </c>
      <c r="G409" s="12" t="s">
        <v>2368</v>
      </c>
      <c r="H409" s="13">
        <v>900000.0</v>
      </c>
      <c r="I409" s="13"/>
      <c r="J409" s="9" t="s">
        <v>969</v>
      </c>
      <c r="K409" s="9" t="s">
        <v>695</v>
      </c>
      <c r="L409" s="9" t="s">
        <v>970</v>
      </c>
      <c r="M409" s="9" t="s">
        <v>2296</v>
      </c>
      <c r="N409" s="9" t="s">
        <v>91</v>
      </c>
      <c r="O409" s="9" t="s">
        <v>2363</v>
      </c>
      <c r="P409" s="138"/>
      <c r="Q409" s="138"/>
      <c r="R409" s="9" t="s">
        <v>1510</v>
      </c>
      <c r="S409" s="203" t="s">
        <v>2369</v>
      </c>
      <c r="T409" s="9" t="s">
        <v>2369</v>
      </c>
      <c r="U409" s="138"/>
      <c r="V409" s="9" t="s">
        <v>2370</v>
      </c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>
      <c r="A410" s="208" t="s">
        <v>2371</v>
      </c>
      <c r="B410" s="10" t="s">
        <v>2372</v>
      </c>
      <c r="C410" s="10" t="s">
        <v>34</v>
      </c>
      <c r="D410" s="182" t="s">
        <v>2373</v>
      </c>
      <c r="E410" s="9" t="s">
        <v>2374</v>
      </c>
      <c r="F410" s="9" t="s">
        <v>338</v>
      </c>
      <c r="G410" s="12" t="s">
        <v>2375</v>
      </c>
      <c r="H410" s="13">
        <v>600000.0</v>
      </c>
      <c r="I410" s="13"/>
      <c r="J410" s="9" t="s">
        <v>39</v>
      </c>
      <c r="K410" s="9" t="s">
        <v>88</v>
      </c>
      <c r="L410" s="9" t="s">
        <v>2002</v>
      </c>
      <c r="M410" s="9" t="s">
        <v>2003</v>
      </c>
      <c r="N410" s="9" t="s">
        <v>91</v>
      </c>
      <c r="O410" s="9" t="s">
        <v>2363</v>
      </c>
      <c r="P410" s="9" t="s">
        <v>973</v>
      </c>
      <c r="Q410" s="9" t="s">
        <v>2024</v>
      </c>
      <c r="R410" s="9" t="s">
        <v>2363</v>
      </c>
      <c r="S410" s="4"/>
      <c r="T410" s="138"/>
      <c r="U410" s="138"/>
      <c r="V410" s="9" t="s">
        <v>2376</v>
      </c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>
      <c r="A411" s="208" t="s">
        <v>2377</v>
      </c>
      <c r="B411" s="10" t="s">
        <v>2378</v>
      </c>
      <c r="C411" s="10" t="s">
        <v>1510</v>
      </c>
      <c r="D411" s="9" t="s">
        <v>2379</v>
      </c>
      <c r="E411" s="9" t="s">
        <v>2380</v>
      </c>
      <c r="F411" s="9" t="s">
        <v>2157</v>
      </c>
      <c r="G411" s="12" t="s">
        <v>2381</v>
      </c>
      <c r="H411" s="13">
        <v>1330000.0</v>
      </c>
      <c r="I411" s="13"/>
      <c r="J411" s="9" t="s">
        <v>2079</v>
      </c>
      <c r="K411" s="9" t="s">
        <v>77</v>
      </c>
      <c r="L411" s="9" t="s">
        <v>134</v>
      </c>
      <c r="M411" s="9" t="s">
        <v>2251</v>
      </c>
      <c r="N411" s="9" t="s">
        <v>43</v>
      </c>
      <c r="O411" s="9" t="s">
        <v>2382</v>
      </c>
      <c r="P411" s="138"/>
      <c r="Q411" s="138"/>
      <c r="R411" s="9" t="s">
        <v>1510</v>
      </c>
      <c r="S411" s="203" t="s">
        <v>2383</v>
      </c>
      <c r="T411" s="138"/>
      <c r="U411" s="138"/>
      <c r="V411" s="9" t="s">
        <v>2384</v>
      </c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>
      <c r="A412" s="208" t="s">
        <v>2385</v>
      </c>
      <c r="B412" s="10" t="s">
        <v>2386</v>
      </c>
      <c r="C412" s="10" t="s">
        <v>34</v>
      </c>
      <c r="D412" s="154" t="s">
        <v>2387</v>
      </c>
      <c r="E412" s="9" t="s">
        <v>2388</v>
      </c>
      <c r="F412" s="9" t="s">
        <v>1543</v>
      </c>
      <c r="G412" s="12" t="s">
        <v>2389</v>
      </c>
      <c r="H412" s="13">
        <v>380000.0</v>
      </c>
      <c r="I412" s="13"/>
      <c r="J412" s="9" t="s">
        <v>2079</v>
      </c>
      <c r="K412" s="9" t="s">
        <v>162</v>
      </c>
      <c r="L412" s="9" t="s">
        <v>844</v>
      </c>
      <c r="M412" s="9" t="s">
        <v>1523</v>
      </c>
      <c r="N412" s="9" t="s">
        <v>91</v>
      </c>
      <c r="O412" s="9" t="s">
        <v>2382</v>
      </c>
      <c r="P412" s="9" t="s">
        <v>2390</v>
      </c>
      <c r="Q412" s="9" t="s">
        <v>2391</v>
      </c>
      <c r="R412" s="9" t="s">
        <v>2392</v>
      </c>
      <c r="S412" s="4"/>
      <c r="T412" s="138"/>
      <c r="U412" s="138"/>
      <c r="V412" s="9" t="s">
        <v>2393</v>
      </c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>
      <c r="A413" s="208" t="s">
        <v>2394</v>
      </c>
      <c r="B413" s="10" t="s">
        <v>2395</v>
      </c>
      <c r="C413" s="10" t="s">
        <v>34</v>
      </c>
      <c r="D413" s="154" t="s">
        <v>2396</v>
      </c>
      <c r="E413" s="9" t="s">
        <v>65</v>
      </c>
      <c r="F413" s="9" t="s">
        <v>119</v>
      </c>
      <c r="G413" s="12" t="s">
        <v>2397</v>
      </c>
      <c r="H413" s="13">
        <v>200000.0</v>
      </c>
      <c r="I413" s="13"/>
      <c r="J413" s="9" t="s">
        <v>228</v>
      </c>
      <c r="K413" s="138"/>
      <c r="L413" s="9" t="s">
        <v>163</v>
      </c>
      <c r="M413" s="9" t="s">
        <v>2398</v>
      </c>
      <c r="N413" s="9" t="s">
        <v>91</v>
      </c>
      <c r="O413" s="9" t="s">
        <v>2351</v>
      </c>
      <c r="P413" s="9" t="s">
        <v>868</v>
      </c>
      <c r="Q413" s="9" t="s">
        <v>2399</v>
      </c>
      <c r="R413" s="9" t="s">
        <v>2351</v>
      </c>
      <c r="S413" s="4"/>
      <c r="T413" s="138"/>
      <c r="U413" s="138"/>
      <c r="V413" s="9" t="s">
        <v>2400</v>
      </c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>
      <c r="A414" s="208" t="s">
        <v>2401</v>
      </c>
      <c r="B414" s="10" t="s">
        <v>2402</v>
      </c>
      <c r="C414" s="10" t="s">
        <v>34</v>
      </c>
      <c r="D414" s="154" t="s">
        <v>1365</v>
      </c>
      <c r="E414" s="9" t="s">
        <v>571</v>
      </c>
      <c r="F414" s="9" t="s">
        <v>808</v>
      </c>
      <c r="G414" s="12" t="s">
        <v>2403</v>
      </c>
      <c r="H414" s="13">
        <v>700000.0</v>
      </c>
      <c r="I414" s="13"/>
      <c r="J414" s="9" t="s">
        <v>228</v>
      </c>
      <c r="K414" s="138"/>
      <c r="L414" s="9" t="s">
        <v>2320</v>
      </c>
      <c r="M414" s="9" t="s">
        <v>2404</v>
      </c>
      <c r="N414" s="9" t="s">
        <v>91</v>
      </c>
      <c r="O414" s="9" t="s">
        <v>2351</v>
      </c>
      <c r="P414" s="9" t="s">
        <v>750</v>
      </c>
      <c r="Q414" s="9" t="s">
        <v>2062</v>
      </c>
      <c r="R414" s="9" t="s">
        <v>2405</v>
      </c>
      <c r="S414" s="203" t="s">
        <v>2406</v>
      </c>
      <c r="T414" s="138"/>
      <c r="U414" s="138"/>
      <c r="V414" s="9" t="s">
        <v>2407</v>
      </c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>
      <c r="A415" s="208" t="s">
        <v>2408</v>
      </c>
      <c r="B415" s="10" t="s">
        <v>2409</v>
      </c>
      <c r="C415" s="10" t="s">
        <v>34</v>
      </c>
      <c r="D415" s="154" t="s">
        <v>2410</v>
      </c>
      <c r="E415" s="9" t="s">
        <v>139</v>
      </c>
      <c r="F415" s="9" t="s">
        <v>1530</v>
      </c>
      <c r="G415" s="12" t="s">
        <v>2411</v>
      </c>
      <c r="H415" s="13">
        <v>500000.0</v>
      </c>
      <c r="I415" s="13"/>
      <c r="J415" s="9" t="s">
        <v>142</v>
      </c>
      <c r="K415" s="9" t="s">
        <v>662</v>
      </c>
      <c r="L415" s="9" t="s">
        <v>970</v>
      </c>
      <c r="M415" s="9" t="s">
        <v>2296</v>
      </c>
      <c r="N415" s="9" t="s">
        <v>91</v>
      </c>
      <c r="O415" s="9" t="s">
        <v>2342</v>
      </c>
      <c r="P415" s="9" t="s">
        <v>2412</v>
      </c>
      <c r="Q415" s="9" t="s">
        <v>2413</v>
      </c>
      <c r="R415" s="9" t="s">
        <v>1944</v>
      </c>
      <c r="S415" s="203" t="s">
        <v>1222</v>
      </c>
      <c r="T415" s="138"/>
      <c r="U415" s="138"/>
      <c r="V415" s="9" t="s">
        <v>2414</v>
      </c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>
      <c r="A416" s="208" t="s">
        <v>2415</v>
      </c>
      <c r="B416" s="10" t="s">
        <v>2416</v>
      </c>
      <c r="C416" s="10" t="s">
        <v>34</v>
      </c>
      <c r="D416" s="154" t="s">
        <v>356</v>
      </c>
      <c r="E416" s="9" t="s">
        <v>1270</v>
      </c>
      <c r="F416" s="9" t="s">
        <v>52</v>
      </c>
      <c r="G416" s="12" t="s">
        <v>2417</v>
      </c>
      <c r="H416" s="13">
        <v>700000.0</v>
      </c>
      <c r="I416" s="13"/>
      <c r="J416" s="9" t="s">
        <v>39</v>
      </c>
      <c r="K416" s="9" t="s">
        <v>54</v>
      </c>
      <c r="L416" s="9" t="s">
        <v>2349</v>
      </c>
      <c r="M416" s="9" t="s">
        <v>2350</v>
      </c>
      <c r="N416" s="9" t="s">
        <v>91</v>
      </c>
      <c r="O416" s="9" t="s">
        <v>2342</v>
      </c>
      <c r="P416" s="9" t="s">
        <v>2418</v>
      </c>
      <c r="Q416" s="9" t="s">
        <v>2419</v>
      </c>
      <c r="R416" s="9" t="s">
        <v>2405</v>
      </c>
      <c r="S416" s="203" t="s">
        <v>2420</v>
      </c>
      <c r="T416" s="138"/>
      <c r="U416" s="138"/>
      <c r="V416" s="9" t="s">
        <v>2421</v>
      </c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>
      <c r="A417" s="208" t="s">
        <v>2422</v>
      </c>
      <c r="B417" s="10" t="s">
        <v>2423</v>
      </c>
      <c r="C417" s="10" t="s">
        <v>34</v>
      </c>
      <c r="D417" s="154" t="s">
        <v>128</v>
      </c>
      <c r="E417" s="9" t="s">
        <v>36</v>
      </c>
      <c r="F417" s="9" t="s">
        <v>37</v>
      </c>
      <c r="G417" s="12" t="s">
        <v>2424</v>
      </c>
      <c r="H417" s="13">
        <v>600000.0</v>
      </c>
      <c r="I417" s="13"/>
      <c r="J417" s="9" t="s">
        <v>39</v>
      </c>
      <c r="K417" s="9" t="s">
        <v>77</v>
      </c>
      <c r="L417" s="9" t="s">
        <v>262</v>
      </c>
      <c r="M417" s="9" t="s">
        <v>2024</v>
      </c>
      <c r="N417" s="9" t="s">
        <v>91</v>
      </c>
      <c r="O417" s="9" t="s">
        <v>2342</v>
      </c>
      <c r="P417" s="9" t="s">
        <v>2425</v>
      </c>
      <c r="Q417" s="9" t="s">
        <v>2426</v>
      </c>
      <c r="R417" s="9" t="s">
        <v>2342</v>
      </c>
      <c r="S417" s="4"/>
      <c r="T417" s="138"/>
      <c r="U417" s="138"/>
      <c r="V417" s="9" t="s">
        <v>2427</v>
      </c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>
      <c r="A418" s="208" t="s">
        <v>2428</v>
      </c>
      <c r="B418" s="10" t="s">
        <v>2429</v>
      </c>
      <c r="C418" s="10" t="s">
        <v>34</v>
      </c>
      <c r="D418" s="154" t="s">
        <v>108</v>
      </c>
      <c r="E418" s="9" t="s">
        <v>1687</v>
      </c>
      <c r="F418" s="9" t="s">
        <v>52</v>
      </c>
      <c r="G418" s="12" t="s">
        <v>2430</v>
      </c>
      <c r="H418" s="13">
        <v>450000.0</v>
      </c>
      <c r="I418" s="13"/>
      <c r="J418" s="9" t="s">
        <v>39</v>
      </c>
      <c r="K418" s="9" t="s">
        <v>358</v>
      </c>
      <c r="L418" s="9" t="s">
        <v>2002</v>
      </c>
      <c r="M418" s="9" t="s">
        <v>2003</v>
      </c>
      <c r="N418" s="9" t="s">
        <v>43</v>
      </c>
      <c r="O418" s="9" t="s">
        <v>2297</v>
      </c>
      <c r="P418" s="9" t="s">
        <v>2431</v>
      </c>
      <c r="Q418" s="9" t="s">
        <v>2432</v>
      </c>
      <c r="R418" s="9" t="s">
        <v>2297</v>
      </c>
      <c r="S418" s="203" t="s">
        <v>2433</v>
      </c>
      <c r="T418" s="138"/>
      <c r="U418" s="138"/>
      <c r="V418" s="9" t="s">
        <v>2434</v>
      </c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>
      <c r="A419" s="208" t="s">
        <v>2428</v>
      </c>
      <c r="B419" s="10" t="s">
        <v>2435</v>
      </c>
      <c r="C419" s="10" t="s">
        <v>34</v>
      </c>
      <c r="D419" s="154" t="s">
        <v>2436</v>
      </c>
      <c r="E419" s="9" t="s">
        <v>65</v>
      </c>
      <c r="F419" s="9" t="s">
        <v>52</v>
      </c>
      <c r="G419" s="12" t="s">
        <v>2437</v>
      </c>
      <c r="H419" s="13">
        <v>780000.0</v>
      </c>
      <c r="I419" s="13"/>
      <c r="J419" s="9" t="s">
        <v>39</v>
      </c>
      <c r="K419" s="9" t="s">
        <v>430</v>
      </c>
      <c r="L419" s="9" t="s">
        <v>2438</v>
      </c>
      <c r="M419" s="9" t="s">
        <v>2439</v>
      </c>
      <c r="N419" s="9" t="s">
        <v>91</v>
      </c>
      <c r="O419" s="9" t="s">
        <v>2440</v>
      </c>
      <c r="P419" s="9" t="s">
        <v>2441</v>
      </c>
      <c r="Q419" s="9" t="s">
        <v>2442</v>
      </c>
      <c r="R419" s="9" t="s">
        <v>2297</v>
      </c>
      <c r="S419" s="203" t="s">
        <v>2443</v>
      </c>
      <c r="T419" s="138"/>
      <c r="U419" s="138"/>
      <c r="V419" s="9" t="s">
        <v>2444</v>
      </c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>
      <c r="A420" s="208" t="s">
        <v>2445</v>
      </c>
      <c r="B420" s="10" t="s">
        <v>2446</v>
      </c>
      <c r="C420" s="10" t="s">
        <v>34</v>
      </c>
      <c r="D420" s="154" t="s">
        <v>462</v>
      </c>
      <c r="E420" s="9" t="s">
        <v>51</v>
      </c>
      <c r="F420" s="9" t="s">
        <v>37</v>
      </c>
      <c r="G420" s="12" t="s">
        <v>2447</v>
      </c>
      <c r="H420" s="13">
        <v>400000.0</v>
      </c>
      <c r="I420" s="13"/>
      <c r="J420" s="9" t="s">
        <v>39</v>
      </c>
      <c r="K420" s="9" t="s">
        <v>658</v>
      </c>
      <c r="L420" s="9" t="s">
        <v>2431</v>
      </c>
      <c r="M420" s="9" t="s">
        <v>2432</v>
      </c>
      <c r="N420" s="9" t="s">
        <v>43</v>
      </c>
      <c r="O420" s="9" t="s">
        <v>2297</v>
      </c>
      <c r="P420" s="9" t="s">
        <v>750</v>
      </c>
      <c r="Q420" s="9" t="s">
        <v>2062</v>
      </c>
      <c r="R420" s="9" t="s">
        <v>2392</v>
      </c>
      <c r="S420" s="203" t="s">
        <v>2448</v>
      </c>
      <c r="T420" s="138"/>
      <c r="U420" s="138"/>
      <c r="V420" s="9" t="s">
        <v>2449</v>
      </c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>
      <c r="A421" s="208" t="s">
        <v>2450</v>
      </c>
      <c r="B421" s="10" t="s">
        <v>2451</v>
      </c>
      <c r="C421" s="10" t="s">
        <v>34</v>
      </c>
      <c r="D421" s="182" t="s">
        <v>2301</v>
      </c>
      <c r="E421" s="9" t="s">
        <v>2452</v>
      </c>
      <c r="F421" s="9" t="s">
        <v>52</v>
      </c>
      <c r="G421" s="12" t="s">
        <v>2453</v>
      </c>
      <c r="H421" s="13">
        <v>520000.0</v>
      </c>
      <c r="I421" s="13"/>
      <c r="J421" s="9" t="s">
        <v>39</v>
      </c>
      <c r="K421" s="9" t="s">
        <v>471</v>
      </c>
      <c r="L421" s="9" t="s">
        <v>2454</v>
      </c>
      <c r="M421" s="9" t="s">
        <v>2442</v>
      </c>
      <c r="N421" s="9" t="s">
        <v>91</v>
      </c>
      <c r="O421" s="9" t="s">
        <v>2297</v>
      </c>
      <c r="P421" s="9" t="s">
        <v>2455</v>
      </c>
      <c r="Q421" s="9" t="s">
        <v>2456</v>
      </c>
      <c r="R421" s="9" t="s">
        <v>1944</v>
      </c>
      <c r="S421" s="203" t="s">
        <v>2457</v>
      </c>
      <c r="T421" s="138"/>
      <c r="U421" s="138"/>
      <c r="V421" s="9" t="s">
        <v>2458</v>
      </c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>
      <c r="A422" s="208" t="s">
        <v>2459</v>
      </c>
      <c r="B422" s="10" t="s">
        <v>2460</v>
      </c>
      <c r="C422" s="10" t="s">
        <v>34</v>
      </c>
      <c r="D422" s="154" t="s">
        <v>2461</v>
      </c>
      <c r="E422" s="9" t="s">
        <v>370</v>
      </c>
      <c r="F422" s="9" t="s">
        <v>37</v>
      </c>
      <c r="G422" s="12" t="s">
        <v>2462</v>
      </c>
      <c r="H422" s="13">
        <v>330000.0</v>
      </c>
      <c r="I422" s="13"/>
      <c r="J422" s="9" t="s">
        <v>228</v>
      </c>
      <c r="K422" s="9" t="s">
        <v>122</v>
      </c>
      <c r="L422" s="9" t="s">
        <v>2463</v>
      </c>
      <c r="M422" s="9" t="s">
        <v>2024</v>
      </c>
      <c r="N422" s="9" t="s">
        <v>91</v>
      </c>
      <c r="O422" s="9" t="s">
        <v>2297</v>
      </c>
      <c r="P422" s="9" t="s">
        <v>2464</v>
      </c>
      <c r="Q422" s="9" t="s">
        <v>2465</v>
      </c>
      <c r="R422" s="9" t="s">
        <v>2297</v>
      </c>
      <c r="S422" s="203" t="s">
        <v>2466</v>
      </c>
      <c r="T422" s="138"/>
      <c r="U422" s="138"/>
      <c r="V422" s="9" t="s">
        <v>2467</v>
      </c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>
      <c r="A423" s="208" t="s">
        <v>2468</v>
      </c>
      <c r="B423" s="10" t="s">
        <v>2469</v>
      </c>
      <c r="C423" s="10" t="s">
        <v>34</v>
      </c>
      <c r="D423" s="182" t="s">
        <v>2470</v>
      </c>
      <c r="E423" s="9" t="s">
        <v>65</v>
      </c>
      <c r="F423" s="9" t="s">
        <v>414</v>
      </c>
      <c r="G423" s="12" t="s">
        <v>2471</v>
      </c>
      <c r="H423" s="13">
        <v>1030000.0</v>
      </c>
      <c r="I423" s="13"/>
      <c r="J423" s="9" t="s">
        <v>201</v>
      </c>
      <c r="K423" s="9" t="s">
        <v>122</v>
      </c>
      <c r="L423" s="9" t="s">
        <v>1741</v>
      </c>
      <c r="M423" s="9" t="s">
        <v>1742</v>
      </c>
      <c r="N423" s="9" t="s">
        <v>91</v>
      </c>
      <c r="O423" s="9" t="s">
        <v>2297</v>
      </c>
      <c r="P423" s="9" t="s">
        <v>2472</v>
      </c>
      <c r="Q423" s="9" t="s">
        <v>2473</v>
      </c>
      <c r="R423" s="9" t="s">
        <v>2392</v>
      </c>
      <c r="S423" s="203" t="s">
        <v>2474</v>
      </c>
      <c r="T423" s="138"/>
      <c r="U423" s="138"/>
      <c r="V423" s="9" t="s">
        <v>2475</v>
      </c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>
      <c r="A424" s="208" t="s">
        <v>2468</v>
      </c>
      <c r="B424" s="10" t="s">
        <v>2476</v>
      </c>
      <c r="C424" s="10" t="s">
        <v>34</v>
      </c>
      <c r="D424" s="154" t="s">
        <v>2477</v>
      </c>
      <c r="E424" s="9" t="s">
        <v>2478</v>
      </c>
      <c r="F424" s="9" t="s">
        <v>86</v>
      </c>
      <c r="G424" s="12" t="s">
        <v>2479</v>
      </c>
      <c r="H424" s="13">
        <v>200000.0</v>
      </c>
      <c r="I424" s="13"/>
      <c r="J424" s="9" t="s">
        <v>2079</v>
      </c>
      <c r="K424" s="9" t="s">
        <v>646</v>
      </c>
      <c r="L424" s="9" t="s">
        <v>2480</v>
      </c>
      <c r="M424" s="9" t="s">
        <v>1767</v>
      </c>
      <c r="N424" s="9" t="s">
        <v>91</v>
      </c>
      <c r="O424" s="9" t="s">
        <v>2392</v>
      </c>
      <c r="P424" s="9" t="s">
        <v>2481</v>
      </c>
      <c r="Q424" s="9" t="s">
        <v>2482</v>
      </c>
      <c r="R424" s="9" t="s">
        <v>2483</v>
      </c>
      <c r="S424" s="203" t="s">
        <v>2484</v>
      </c>
      <c r="T424" s="138"/>
      <c r="U424" s="138"/>
      <c r="V424" s="9" t="s">
        <v>2485</v>
      </c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>
      <c r="A425" s="208" t="s">
        <v>2486</v>
      </c>
      <c r="B425" s="10" t="s">
        <v>2346</v>
      </c>
      <c r="C425" s="10" t="s">
        <v>34</v>
      </c>
      <c r="D425" s="182" t="s">
        <v>108</v>
      </c>
      <c r="E425" s="9" t="s">
        <v>65</v>
      </c>
      <c r="F425" s="9" t="s">
        <v>52</v>
      </c>
      <c r="G425" s="12" t="s">
        <v>2487</v>
      </c>
      <c r="H425" s="13">
        <v>500000.0</v>
      </c>
      <c r="I425" s="13"/>
      <c r="J425" s="9" t="s">
        <v>39</v>
      </c>
      <c r="K425" s="9" t="s">
        <v>658</v>
      </c>
      <c r="L425" s="9" t="s">
        <v>2488</v>
      </c>
      <c r="M425" s="9" t="s">
        <v>2489</v>
      </c>
      <c r="N425" s="9" t="s">
        <v>91</v>
      </c>
      <c r="O425" s="9" t="s">
        <v>2099</v>
      </c>
      <c r="P425" s="9" t="s">
        <v>2320</v>
      </c>
      <c r="Q425" s="9" t="s">
        <v>2404</v>
      </c>
      <c r="R425" s="9" t="s">
        <v>2405</v>
      </c>
      <c r="S425" s="4"/>
      <c r="T425" s="138"/>
      <c r="U425" s="138"/>
      <c r="V425" s="9" t="s">
        <v>2490</v>
      </c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>
      <c r="A426" s="208" t="s">
        <v>2491</v>
      </c>
      <c r="B426" s="10" t="s">
        <v>2492</v>
      </c>
      <c r="C426" s="10" t="s">
        <v>34</v>
      </c>
      <c r="D426" s="154" t="s">
        <v>2436</v>
      </c>
      <c r="E426" s="9" t="s">
        <v>2493</v>
      </c>
      <c r="F426" s="9" t="s">
        <v>52</v>
      </c>
      <c r="G426" s="12" t="s">
        <v>2494</v>
      </c>
      <c r="H426" s="13">
        <v>730000.0</v>
      </c>
      <c r="I426" s="13"/>
      <c r="J426" s="9" t="s">
        <v>39</v>
      </c>
      <c r="K426" s="9" t="s">
        <v>471</v>
      </c>
      <c r="L426" s="9" t="s">
        <v>211</v>
      </c>
      <c r="M426" s="9" t="s">
        <v>1581</v>
      </c>
      <c r="N426" s="9" t="s">
        <v>91</v>
      </c>
      <c r="O426" s="9" t="s">
        <v>2495</v>
      </c>
      <c r="P426" s="9" t="s">
        <v>2496</v>
      </c>
      <c r="Q426" s="9" t="s">
        <v>2497</v>
      </c>
      <c r="R426" s="9" t="s">
        <v>2498</v>
      </c>
      <c r="S426" s="203" t="s">
        <v>2499</v>
      </c>
      <c r="T426" s="138"/>
      <c r="U426" s="138"/>
      <c r="V426" s="9" t="s">
        <v>2500</v>
      </c>
      <c r="W426" s="9" t="s">
        <v>2501</v>
      </c>
      <c r="X426" s="138"/>
      <c r="Y426" s="138"/>
      <c r="Z426" s="138"/>
      <c r="AA426" s="138"/>
      <c r="AB426" s="138"/>
      <c r="AC426" s="138"/>
      <c r="AD426" s="138"/>
      <c r="AE426" s="138"/>
      <c r="AF426" s="138"/>
    </row>
    <row r="427">
      <c r="A427" s="208" t="s">
        <v>2502</v>
      </c>
      <c r="B427" s="10" t="s">
        <v>2503</v>
      </c>
      <c r="C427" s="10" t="s">
        <v>34</v>
      </c>
      <c r="D427" s="182" t="s">
        <v>1695</v>
      </c>
      <c r="E427" s="9" t="s">
        <v>2504</v>
      </c>
      <c r="F427" s="9" t="s">
        <v>414</v>
      </c>
      <c r="G427" s="12" t="s">
        <v>2505</v>
      </c>
      <c r="H427" s="13">
        <v>1180000.0</v>
      </c>
      <c r="I427" s="13"/>
      <c r="J427" s="9" t="s">
        <v>39</v>
      </c>
      <c r="K427" s="9" t="s">
        <v>358</v>
      </c>
      <c r="L427" s="9" t="s">
        <v>500</v>
      </c>
      <c r="M427" s="9" t="s">
        <v>2506</v>
      </c>
      <c r="N427" s="9" t="s">
        <v>43</v>
      </c>
      <c r="O427" s="9" t="s">
        <v>2507</v>
      </c>
      <c r="P427" s="9" t="s">
        <v>1607</v>
      </c>
      <c r="Q427" s="9" t="s">
        <v>2508</v>
      </c>
      <c r="R427" s="9" t="s">
        <v>2304</v>
      </c>
      <c r="S427" s="203" t="s">
        <v>43</v>
      </c>
      <c r="T427" s="138"/>
      <c r="U427" s="138"/>
      <c r="V427" s="9" t="s">
        <v>2509</v>
      </c>
      <c r="W427" s="138"/>
      <c r="X427" s="138"/>
      <c r="Y427" s="138"/>
      <c r="Z427" s="138"/>
      <c r="AA427" s="138"/>
      <c r="AB427" s="138"/>
      <c r="AC427" s="138"/>
      <c r="AD427" s="138"/>
      <c r="AE427" s="138"/>
      <c r="AF427" s="138"/>
    </row>
    <row r="428">
      <c r="A428" s="208" t="s">
        <v>2510</v>
      </c>
      <c r="B428" s="10" t="s">
        <v>2511</v>
      </c>
      <c r="C428" s="10" t="s">
        <v>1445</v>
      </c>
      <c r="D428" s="9" t="s">
        <v>1134</v>
      </c>
      <c r="E428" s="9" t="s">
        <v>65</v>
      </c>
      <c r="F428" s="9" t="s">
        <v>52</v>
      </c>
      <c r="G428" s="12" t="s">
        <v>2512</v>
      </c>
      <c r="H428" s="13">
        <v>820000.0</v>
      </c>
      <c r="I428" s="13"/>
      <c r="J428" s="9" t="s">
        <v>39</v>
      </c>
      <c r="K428" s="9" t="s">
        <v>924</v>
      </c>
      <c r="L428" s="9" t="s">
        <v>211</v>
      </c>
      <c r="M428" s="9" t="s">
        <v>1581</v>
      </c>
      <c r="N428" s="9" t="s">
        <v>91</v>
      </c>
      <c r="O428" s="9" t="s">
        <v>2507</v>
      </c>
      <c r="P428" s="9" t="s">
        <v>262</v>
      </c>
      <c r="Q428" s="9" t="s">
        <v>2024</v>
      </c>
      <c r="R428" s="134">
        <v>46154.0</v>
      </c>
      <c r="S428" s="203" t="s">
        <v>2513</v>
      </c>
      <c r="T428" s="138"/>
      <c r="U428" s="138"/>
      <c r="V428" s="9" t="s">
        <v>2514</v>
      </c>
      <c r="W428" s="138"/>
      <c r="X428" s="138"/>
      <c r="Y428" s="138"/>
      <c r="Z428" s="138"/>
      <c r="AA428" s="138"/>
      <c r="AB428" s="138"/>
      <c r="AC428" s="138"/>
      <c r="AD428" s="138"/>
      <c r="AE428" s="138"/>
      <c r="AF428" s="138"/>
    </row>
    <row r="429">
      <c r="A429" s="208" t="s">
        <v>2491</v>
      </c>
      <c r="B429" s="10" t="s">
        <v>2515</v>
      </c>
      <c r="C429" s="10" t="s">
        <v>1510</v>
      </c>
      <c r="D429" s="9" t="s">
        <v>2516</v>
      </c>
      <c r="E429" s="9" t="s">
        <v>109</v>
      </c>
      <c r="F429" s="9" t="s">
        <v>150</v>
      </c>
      <c r="G429" s="12" t="s">
        <v>2517</v>
      </c>
      <c r="H429" s="13">
        <v>730000.0</v>
      </c>
      <c r="I429" s="13"/>
      <c r="J429" s="9" t="s">
        <v>228</v>
      </c>
      <c r="K429" s="9" t="s">
        <v>2518</v>
      </c>
      <c r="L429" s="9" t="s">
        <v>211</v>
      </c>
      <c r="M429" s="9" t="s">
        <v>1581</v>
      </c>
      <c r="N429" s="9" t="s">
        <v>91</v>
      </c>
      <c r="O429" s="9" t="s">
        <v>2507</v>
      </c>
      <c r="P429" s="138"/>
      <c r="Q429" s="138"/>
      <c r="R429" s="9" t="s">
        <v>1510</v>
      </c>
      <c r="S429" s="203" t="s">
        <v>2519</v>
      </c>
      <c r="T429" s="138"/>
      <c r="U429" s="138"/>
      <c r="V429" s="9" t="s">
        <v>2520</v>
      </c>
      <c r="W429" s="138"/>
      <c r="X429" s="138"/>
      <c r="Y429" s="138"/>
      <c r="Z429" s="138"/>
      <c r="AA429" s="138"/>
      <c r="AB429" s="138"/>
      <c r="AC429" s="138"/>
      <c r="AD429" s="138"/>
      <c r="AE429" s="138"/>
      <c r="AF429" s="138"/>
    </row>
    <row r="430">
      <c r="A430" s="208" t="s">
        <v>2521</v>
      </c>
      <c r="B430" s="10" t="s">
        <v>2236</v>
      </c>
      <c r="C430" s="10" t="s">
        <v>1510</v>
      </c>
      <c r="D430" s="182" t="s">
        <v>382</v>
      </c>
      <c r="E430" s="9" t="s">
        <v>169</v>
      </c>
      <c r="F430" s="9" t="s">
        <v>37</v>
      </c>
      <c r="G430" s="12" t="s">
        <v>2522</v>
      </c>
      <c r="H430" s="13">
        <v>345000.0</v>
      </c>
      <c r="I430" s="13"/>
      <c r="J430" s="9" t="s">
        <v>39</v>
      </c>
      <c r="K430" s="9" t="s">
        <v>326</v>
      </c>
      <c r="L430" s="9" t="s">
        <v>2523</v>
      </c>
      <c r="M430" s="9" t="s">
        <v>2497</v>
      </c>
      <c r="N430" s="9" t="s">
        <v>91</v>
      </c>
      <c r="O430" s="9" t="s">
        <v>2304</v>
      </c>
      <c r="P430" s="9"/>
      <c r="Q430" s="9" t="s">
        <v>2524</v>
      </c>
      <c r="R430" s="9" t="s">
        <v>1445</v>
      </c>
      <c r="S430" s="4"/>
      <c r="T430" s="138"/>
      <c r="U430" s="138"/>
      <c r="V430" s="9" t="s">
        <v>2525</v>
      </c>
      <c r="W430" s="138"/>
      <c r="X430" s="138"/>
      <c r="Y430" s="138"/>
      <c r="Z430" s="138"/>
      <c r="AA430" s="138"/>
      <c r="AB430" s="138"/>
      <c r="AC430" s="138"/>
      <c r="AD430" s="138"/>
      <c r="AE430" s="138"/>
      <c r="AF430" s="138"/>
    </row>
    <row r="431">
      <c r="A431" s="209"/>
      <c r="B431" s="202"/>
      <c r="C431" s="10" t="s">
        <v>1510</v>
      </c>
      <c r="D431" s="9" t="s">
        <v>2526</v>
      </c>
      <c r="E431" s="138"/>
      <c r="F431" s="138"/>
      <c r="G431" s="12" t="s">
        <v>2527</v>
      </c>
      <c r="H431" s="140"/>
      <c r="I431" s="140"/>
      <c r="J431" s="138"/>
      <c r="K431" s="138"/>
      <c r="L431" s="138"/>
      <c r="M431" s="138"/>
      <c r="N431" s="138"/>
      <c r="O431" s="138"/>
      <c r="P431" s="138"/>
      <c r="Q431" s="138"/>
      <c r="R431" s="138"/>
      <c r="S431" s="4"/>
      <c r="T431" s="138"/>
      <c r="U431" s="138"/>
      <c r="V431" s="9" t="s">
        <v>2528</v>
      </c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</row>
    <row r="432">
      <c r="A432" s="208" t="s">
        <v>2529</v>
      </c>
      <c r="B432" s="10" t="s">
        <v>2530</v>
      </c>
      <c r="C432" s="10" t="s">
        <v>1510</v>
      </c>
      <c r="D432" s="9" t="s">
        <v>1695</v>
      </c>
      <c r="E432" s="9" t="s">
        <v>2504</v>
      </c>
      <c r="F432" s="9" t="s">
        <v>37</v>
      </c>
      <c r="G432" s="12" t="s">
        <v>2531</v>
      </c>
      <c r="H432" s="13">
        <v>1070000.0</v>
      </c>
      <c r="I432" s="13"/>
      <c r="J432" s="9" t="s">
        <v>39</v>
      </c>
      <c r="K432" s="9" t="s">
        <v>358</v>
      </c>
      <c r="L432" s="9" t="s">
        <v>134</v>
      </c>
      <c r="M432" s="9" t="s">
        <v>2251</v>
      </c>
      <c r="N432" s="9" t="s">
        <v>91</v>
      </c>
      <c r="O432" s="9" t="s">
        <v>2304</v>
      </c>
      <c r="P432" s="138"/>
      <c r="Q432" s="138"/>
      <c r="R432" s="9" t="s">
        <v>1510</v>
      </c>
      <c r="S432" s="203" t="s">
        <v>2532</v>
      </c>
      <c r="T432" s="138"/>
      <c r="U432" s="138"/>
      <c r="V432" s="9" t="s">
        <v>2533</v>
      </c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</row>
    <row r="433">
      <c r="A433" s="208" t="s">
        <v>2534</v>
      </c>
      <c r="B433" s="10" t="s">
        <v>2535</v>
      </c>
      <c r="C433" s="10" t="s">
        <v>1445</v>
      </c>
      <c r="D433" s="182" t="s">
        <v>2436</v>
      </c>
      <c r="E433" s="9" t="s">
        <v>65</v>
      </c>
      <c r="F433" s="9" t="s">
        <v>338</v>
      </c>
      <c r="G433" s="12" t="s">
        <v>2536</v>
      </c>
      <c r="H433" s="13">
        <v>750000.0</v>
      </c>
      <c r="I433" s="13"/>
      <c r="J433" s="9" t="s">
        <v>39</v>
      </c>
      <c r="K433" s="9" t="s">
        <v>40</v>
      </c>
      <c r="L433" s="9" t="s">
        <v>750</v>
      </c>
      <c r="M433" s="9" t="s">
        <v>2062</v>
      </c>
      <c r="N433" s="9" t="s">
        <v>91</v>
      </c>
      <c r="O433" s="9" t="s">
        <v>2304</v>
      </c>
      <c r="P433" s="9" t="s">
        <v>2537</v>
      </c>
      <c r="Q433" s="9" t="s">
        <v>2538</v>
      </c>
      <c r="R433" s="9" t="s">
        <v>1445</v>
      </c>
      <c r="S433" s="4"/>
      <c r="T433" s="138"/>
      <c r="U433" s="138"/>
      <c r="V433" s="9" t="s">
        <v>2539</v>
      </c>
      <c r="W433" s="138"/>
      <c r="X433" s="138"/>
      <c r="Y433" s="138"/>
      <c r="Z433" s="138"/>
      <c r="AA433" s="138"/>
      <c r="AB433" s="138"/>
      <c r="AC433" s="138"/>
      <c r="AD433" s="138"/>
      <c r="AE433" s="138"/>
      <c r="AF433" s="138"/>
    </row>
    <row r="434">
      <c r="A434" s="208" t="s">
        <v>2540</v>
      </c>
      <c r="B434" s="10" t="s">
        <v>2541</v>
      </c>
      <c r="C434" s="10" t="s">
        <v>1510</v>
      </c>
      <c r="D434" s="9" t="s">
        <v>2542</v>
      </c>
      <c r="E434" s="9" t="s">
        <v>2504</v>
      </c>
      <c r="F434" s="9" t="s">
        <v>1543</v>
      </c>
      <c r="G434" s="12" t="s">
        <v>2543</v>
      </c>
      <c r="H434" s="13">
        <v>1100000.0</v>
      </c>
      <c r="I434" s="13"/>
      <c r="J434" s="9" t="s">
        <v>39</v>
      </c>
      <c r="K434" s="9" t="s">
        <v>77</v>
      </c>
      <c r="L434" s="9" t="s">
        <v>2544</v>
      </c>
      <c r="M434" s="9" t="s">
        <v>2545</v>
      </c>
      <c r="N434" s="9" t="s">
        <v>43</v>
      </c>
      <c r="O434" s="9" t="s">
        <v>2304</v>
      </c>
      <c r="P434" s="138"/>
      <c r="Q434" s="138"/>
      <c r="R434" s="9" t="s">
        <v>1510</v>
      </c>
      <c r="S434" s="203" t="s">
        <v>2546</v>
      </c>
      <c r="T434" s="138"/>
      <c r="U434" s="138"/>
      <c r="V434" s="9" t="s">
        <v>2547</v>
      </c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</row>
    <row r="435">
      <c r="A435" s="209"/>
      <c r="B435" s="10" t="s">
        <v>2548</v>
      </c>
      <c r="C435" s="10" t="s">
        <v>1510</v>
      </c>
      <c r="D435" s="9" t="s">
        <v>2549</v>
      </c>
      <c r="E435" s="9" t="s">
        <v>139</v>
      </c>
      <c r="F435" s="138"/>
      <c r="G435" s="139"/>
      <c r="H435" s="140"/>
      <c r="I435" s="140"/>
      <c r="J435" s="138"/>
      <c r="K435" s="138"/>
      <c r="L435" s="138"/>
      <c r="M435" s="138"/>
      <c r="N435" s="138"/>
      <c r="O435" s="138"/>
      <c r="P435" s="138"/>
      <c r="Q435" s="138"/>
      <c r="R435" s="9" t="s">
        <v>1510</v>
      </c>
      <c r="S435" s="4"/>
      <c r="T435" s="138"/>
      <c r="U435" s="138"/>
      <c r="V435" s="9" t="s">
        <v>2550</v>
      </c>
      <c r="W435" s="138"/>
      <c r="X435" s="138"/>
      <c r="Y435" s="138"/>
      <c r="Z435" s="138"/>
      <c r="AA435" s="138"/>
      <c r="AB435" s="138"/>
      <c r="AC435" s="138"/>
      <c r="AD435" s="138"/>
      <c r="AE435" s="138"/>
      <c r="AF435" s="138"/>
    </row>
    <row r="436">
      <c r="A436" s="208" t="s">
        <v>2551</v>
      </c>
      <c r="B436" s="10" t="s">
        <v>2552</v>
      </c>
      <c r="C436" s="10" t="s">
        <v>34</v>
      </c>
      <c r="D436" s="182" t="s">
        <v>2549</v>
      </c>
      <c r="E436" s="9" t="s">
        <v>139</v>
      </c>
      <c r="F436" s="9" t="s">
        <v>37</v>
      </c>
      <c r="G436" s="12" t="s">
        <v>2553</v>
      </c>
      <c r="H436" s="13">
        <v>1230000.0</v>
      </c>
      <c r="I436" s="13"/>
      <c r="J436" s="9" t="s">
        <v>228</v>
      </c>
      <c r="K436" s="9" t="s">
        <v>77</v>
      </c>
      <c r="L436" s="9" t="s">
        <v>2438</v>
      </c>
      <c r="M436" s="9" t="s">
        <v>2439</v>
      </c>
      <c r="N436" s="9" t="s">
        <v>91</v>
      </c>
      <c r="O436" s="9" t="s">
        <v>2004</v>
      </c>
      <c r="P436" s="9" t="s">
        <v>750</v>
      </c>
      <c r="Q436" s="9" t="s">
        <v>2062</v>
      </c>
      <c r="R436" s="9" t="s">
        <v>2498</v>
      </c>
      <c r="S436" s="203" t="s">
        <v>2546</v>
      </c>
      <c r="T436" s="138"/>
      <c r="U436" s="138"/>
      <c r="V436" s="9" t="s">
        <v>2554</v>
      </c>
      <c r="W436" s="138"/>
      <c r="X436" s="138"/>
      <c r="Y436" s="138"/>
      <c r="Z436" s="138"/>
      <c r="AA436" s="138"/>
      <c r="AB436" s="138"/>
      <c r="AC436" s="138"/>
      <c r="AD436" s="138"/>
      <c r="AE436" s="138"/>
      <c r="AF436" s="138"/>
    </row>
    <row r="437">
      <c r="A437" s="208" t="s">
        <v>2555</v>
      </c>
      <c r="B437" s="10" t="s">
        <v>2556</v>
      </c>
      <c r="C437" s="10" t="s">
        <v>1403</v>
      </c>
      <c r="D437" s="9" t="s">
        <v>1287</v>
      </c>
      <c r="E437" s="9" t="s">
        <v>2367</v>
      </c>
      <c r="F437" s="9" t="s">
        <v>52</v>
      </c>
      <c r="G437" s="12" t="s">
        <v>2557</v>
      </c>
      <c r="H437" s="13">
        <v>440000.0</v>
      </c>
      <c r="I437" s="13"/>
      <c r="J437" s="9" t="s">
        <v>2079</v>
      </c>
      <c r="K437" s="9" t="s">
        <v>601</v>
      </c>
      <c r="L437" s="9" t="s">
        <v>858</v>
      </c>
      <c r="M437" s="9" t="s">
        <v>2558</v>
      </c>
      <c r="N437" s="9" t="s">
        <v>91</v>
      </c>
      <c r="O437" s="9" t="s">
        <v>2004</v>
      </c>
      <c r="P437" s="9" t="s">
        <v>2559</v>
      </c>
      <c r="Q437" s="138">
        <f>2349066027066</f>
        <v>2349066027066</v>
      </c>
      <c r="R437" s="134">
        <v>46154.0</v>
      </c>
      <c r="S437" s="203" t="s">
        <v>2519</v>
      </c>
      <c r="T437" s="138"/>
      <c r="U437" s="138"/>
      <c r="V437" s="9" t="s">
        <v>2560</v>
      </c>
      <c r="W437" s="138"/>
      <c r="X437" s="138"/>
      <c r="Y437" s="138"/>
      <c r="Z437" s="138"/>
      <c r="AA437" s="138"/>
      <c r="AB437" s="138"/>
      <c r="AC437" s="138"/>
      <c r="AD437" s="138"/>
      <c r="AE437" s="138"/>
      <c r="AF437" s="138"/>
    </row>
    <row r="438">
      <c r="A438" s="208" t="s">
        <v>2561</v>
      </c>
      <c r="B438" s="10" t="s">
        <v>2562</v>
      </c>
      <c r="C438" s="10" t="s">
        <v>1510</v>
      </c>
      <c r="D438" s="9" t="s">
        <v>2563</v>
      </c>
      <c r="E438" s="9" t="s">
        <v>139</v>
      </c>
      <c r="F438" s="9" t="s">
        <v>37</v>
      </c>
      <c r="G438" s="139"/>
      <c r="H438" s="140"/>
      <c r="I438" s="140"/>
      <c r="J438" s="138"/>
      <c r="K438" s="138"/>
      <c r="L438" s="138"/>
      <c r="M438" s="138"/>
      <c r="N438" s="9" t="s">
        <v>91</v>
      </c>
      <c r="O438" s="9" t="s">
        <v>2498</v>
      </c>
      <c r="P438" s="138"/>
      <c r="Q438" s="138"/>
      <c r="R438" s="9" t="s">
        <v>1510</v>
      </c>
      <c r="S438" s="4"/>
      <c r="T438" s="138"/>
      <c r="U438" s="138"/>
      <c r="V438" s="9" t="s">
        <v>2564</v>
      </c>
      <c r="W438" s="138"/>
      <c r="X438" s="138"/>
      <c r="Y438" s="138"/>
      <c r="Z438" s="138"/>
      <c r="AA438" s="138"/>
      <c r="AB438" s="138"/>
      <c r="AC438" s="138"/>
      <c r="AD438" s="138"/>
      <c r="AE438" s="138"/>
      <c r="AF438" s="138"/>
    </row>
    <row r="439">
      <c r="A439" s="208" t="s">
        <v>2565</v>
      </c>
      <c r="B439" s="10" t="s">
        <v>2318</v>
      </c>
      <c r="C439" s="10" t="s">
        <v>1510</v>
      </c>
      <c r="D439" s="9" t="s">
        <v>2563</v>
      </c>
      <c r="E439" s="9" t="s">
        <v>139</v>
      </c>
      <c r="F439" s="9" t="s">
        <v>37</v>
      </c>
      <c r="G439" s="139"/>
      <c r="H439" s="140"/>
      <c r="I439" s="140"/>
      <c r="J439" s="138"/>
      <c r="K439" s="138"/>
      <c r="L439" s="138"/>
      <c r="M439" s="138"/>
      <c r="N439" s="9" t="s">
        <v>91</v>
      </c>
      <c r="O439" s="9" t="s">
        <v>2498</v>
      </c>
      <c r="P439" s="138"/>
      <c r="Q439" s="138"/>
      <c r="R439" s="9" t="s">
        <v>1510</v>
      </c>
      <c r="S439" s="4"/>
      <c r="T439" s="138"/>
      <c r="U439" s="138"/>
      <c r="V439" s="9" t="s">
        <v>2566</v>
      </c>
      <c r="W439" s="138"/>
      <c r="X439" s="138"/>
      <c r="Y439" s="138"/>
      <c r="Z439" s="138"/>
      <c r="AA439" s="138"/>
      <c r="AB439" s="138"/>
      <c r="AC439" s="138"/>
      <c r="AD439" s="138"/>
      <c r="AE439" s="138"/>
      <c r="AF439" s="138"/>
    </row>
    <row r="440">
      <c r="A440" s="208" t="s">
        <v>2567</v>
      </c>
      <c r="B440" s="10" t="s">
        <v>2568</v>
      </c>
      <c r="C440" s="10" t="s">
        <v>1510</v>
      </c>
      <c r="D440" s="182" t="s">
        <v>2563</v>
      </c>
      <c r="E440" s="9" t="s">
        <v>139</v>
      </c>
      <c r="F440" s="9" t="s">
        <v>37</v>
      </c>
      <c r="G440" s="12" t="s">
        <v>2569</v>
      </c>
      <c r="H440" s="13">
        <v>1520000.0</v>
      </c>
      <c r="I440" s="13"/>
      <c r="J440" s="9" t="s">
        <v>39</v>
      </c>
      <c r="K440" s="9" t="s">
        <v>77</v>
      </c>
      <c r="L440" s="9" t="s">
        <v>750</v>
      </c>
      <c r="M440" s="9" t="s">
        <v>2062</v>
      </c>
      <c r="N440" s="9" t="s">
        <v>91</v>
      </c>
      <c r="O440" s="9" t="s">
        <v>2498</v>
      </c>
      <c r="P440" s="9"/>
      <c r="Q440" s="9"/>
      <c r="R440" s="9"/>
      <c r="S440" s="203" t="s">
        <v>2570</v>
      </c>
      <c r="T440" s="138"/>
      <c r="U440" s="138"/>
      <c r="V440" s="9" t="s">
        <v>2571</v>
      </c>
      <c r="W440" s="138"/>
      <c r="X440" s="138"/>
      <c r="Y440" s="138"/>
      <c r="Z440" s="138"/>
      <c r="AA440" s="138"/>
      <c r="AB440" s="138"/>
      <c r="AC440" s="138"/>
      <c r="AD440" s="138"/>
      <c r="AE440" s="138"/>
      <c r="AF440" s="138"/>
    </row>
    <row r="441">
      <c r="A441" s="208" t="s">
        <v>2572</v>
      </c>
      <c r="B441" s="10" t="s">
        <v>2573</v>
      </c>
      <c r="C441" s="10" t="s">
        <v>34</v>
      </c>
      <c r="D441" s="182" t="s">
        <v>2436</v>
      </c>
      <c r="E441" s="9" t="s">
        <v>2493</v>
      </c>
      <c r="F441" s="9" t="s">
        <v>52</v>
      </c>
      <c r="G441" s="12" t="s">
        <v>2574</v>
      </c>
      <c r="H441" s="13">
        <v>780000.0</v>
      </c>
      <c r="I441" s="13"/>
      <c r="J441" s="9" t="s">
        <v>39</v>
      </c>
      <c r="K441" s="9" t="s">
        <v>471</v>
      </c>
      <c r="L441" s="9" t="s">
        <v>540</v>
      </c>
      <c r="M441" s="9" t="s">
        <v>2001</v>
      </c>
      <c r="N441" s="9" t="s">
        <v>91</v>
      </c>
      <c r="O441" s="9" t="s">
        <v>2483</v>
      </c>
      <c r="P441" s="9" t="s">
        <v>1044</v>
      </c>
      <c r="Q441" s="9" t="s">
        <v>2575</v>
      </c>
      <c r="R441" s="9" t="s">
        <v>2576</v>
      </c>
      <c r="S441" s="203" t="s">
        <v>2577</v>
      </c>
      <c r="T441" s="138"/>
      <c r="U441" s="138"/>
      <c r="V441" s="9" t="s">
        <v>2578</v>
      </c>
      <c r="W441" s="138"/>
      <c r="X441" s="138"/>
      <c r="Y441" s="138"/>
      <c r="Z441" s="138"/>
      <c r="AA441" s="138"/>
      <c r="AB441" s="138"/>
      <c r="AC441" s="138"/>
      <c r="AD441" s="138"/>
      <c r="AE441" s="138"/>
      <c r="AF441" s="138"/>
    </row>
    <row r="442">
      <c r="A442" s="208" t="s">
        <v>2579</v>
      </c>
      <c r="B442" s="10" t="s">
        <v>2451</v>
      </c>
      <c r="C442" s="10" t="s">
        <v>1510</v>
      </c>
      <c r="D442" s="9" t="s">
        <v>2580</v>
      </c>
      <c r="E442" s="9" t="s">
        <v>65</v>
      </c>
      <c r="F442" s="9" t="s">
        <v>52</v>
      </c>
      <c r="G442" s="12" t="s">
        <v>2581</v>
      </c>
      <c r="H442" s="13">
        <v>700000.0</v>
      </c>
      <c r="I442" s="13"/>
      <c r="J442" s="9" t="s">
        <v>39</v>
      </c>
      <c r="K442" s="9" t="s">
        <v>430</v>
      </c>
      <c r="L442" s="9" t="s">
        <v>540</v>
      </c>
      <c r="M442" s="9" t="s">
        <v>2001</v>
      </c>
      <c r="N442" s="9" t="s">
        <v>91</v>
      </c>
      <c r="O442" s="9" t="s">
        <v>2576</v>
      </c>
      <c r="P442" s="138"/>
      <c r="Q442" s="138"/>
      <c r="R442" s="9" t="s">
        <v>1510</v>
      </c>
      <c r="S442" s="203" t="s">
        <v>2582</v>
      </c>
      <c r="T442" s="138"/>
      <c r="U442" s="138"/>
      <c r="V442" s="9" t="s">
        <v>2583</v>
      </c>
      <c r="W442" s="138"/>
      <c r="X442" s="138"/>
      <c r="Y442" s="138"/>
      <c r="Z442" s="138"/>
      <c r="AA442" s="138"/>
      <c r="AB442" s="138"/>
      <c r="AC442" s="138"/>
      <c r="AD442" s="138"/>
      <c r="AE442" s="138"/>
      <c r="AF442" s="138"/>
    </row>
    <row r="443">
      <c r="A443" s="209"/>
      <c r="B443" s="197">
        <v>0.48354444444703404</v>
      </c>
      <c r="C443" s="10" t="s">
        <v>34</v>
      </c>
      <c r="D443" s="9" t="s">
        <v>128</v>
      </c>
      <c r="E443" s="9" t="s">
        <v>65</v>
      </c>
      <c r="F443" s="9" t="s">
        <v>37</v>
      </c>
      <c r="G443" s="12" t="s">
        <v>2584</v>
      </c>
      <c r="H443" s="13">
        <v>790000.0</v>
      </c>
      <c r="I443" s="140"/>
      <c r="J443" s="9" t="s">
        <v>39</v>
      </c>
      <c r="K443" s="9" t="s">
        <v>457</v>
      </c>
      <c r="L443" s="9" t="s">
        <v>100</v>
      </c>
      <c r="M443" s="138">
        <f>2347030279101</f>
        <v>2347030279101</v>
      </c>
      <c r="N443" s="9" t="s">
        <v>91</v>
      </c>
      <c r="O443" s="134">
        <v>46154.0</v>
      </c>
      <c r="P443" s="138"/>
      <c r="Q443" s="138"/>
      <c r="R443" s="138"/>
      <c r="S443" s="4"/>
      <c r="T443" s="138"/>
      <c r="U443" s="138"/>
      <c r="V443" s="9" t="s">
        <v>2585</v>
      </c>
      <c r="W443" s="138"/>
      <c r="X443" s="138"/>
      <c r="Y443" s="138"/>
      <c r="Z443" s="138"/>
      <c r="AA443" s="138"/>
      <c r="AB443" s="138"/>
      <c r="AC443" s="138"/>
      <c r="AD443" s="138"/>
      <c r="AE443" s="138"/>
      <c r="AF443" s="138"/>
    </row>
    <row r="444">
      <c r="A444" s="209"/>
      <c r="B444" s="210">
        <v>46154.0</v>
      </c>
      <c r="C444" s="10" t="s">
        <v>1445</v>
      </c>
      <c r="D444" s="9" t="s">
        <v>356</v>
      </c>
      <c r="E444" s="9" t="s">
        <v>2493</v>
      </c>
      <c r="F444" s="9" t="s">
        <v>52</v>
      </c>
      <c r="G444" s="12" t="s">
        <v>2586</v>
      </c>
      <c r="H444" s="13">
        <v>703000.0</v>
      </c>
      <c r="I444" s="140"/>
      <c r="J444" s="9" t="s">
        <v>39</v>
      </c>
      <c r="K444" s="9" t="s">
        <v>663</v>
      </c>
      <c r="L444" s="9" t="s">
        <v>1741</v>
      </c>
      <c r="M444" s="190" t="s">
        <v>2587</v>
      </c>
      <c r="N444" s="9" t="s">
        <v>91</v>
      </c>
      <c r="O444" s="134">
        <v>46154.0</v>
      </c>
      <c r="P444" s="9" t="s">
        <v>262</v>
      </c>
      <c r="Q444" s="9" t="s">
        <v>2024</v>
      </c>
      <c r="R444" s="134">
        <v>46154.0</v>
      </c>
      <c r="S444" s="4"/>
      <c r="T444" s="138"/>
      <c r="U444" s="138"/>
      <c r="V444" s="9" t="s">
        <v>2588</v>
      </c>
      <c r="W444" s="138"/>
      <c r="X444" s="138"/>
      <c r="Y444" s="138"/>
      <c r="Z444" s="138"/>
      <c r="AA444" s="138"/>
      <c r="AB444" s="138"/>
      <c r="AC444" s="138"/>
      <c r="AD444" s="138"/>
      <c r="AE444" s="138"/>
      <c r="AF444" s="138"/>
    </row>
    <row r="445">
      <c r="A445" s="209"/>
      <c r="B445" s="202"/>
      <c r="C445" s="202"/>
      <c r="D445" s="138"/>
      <c r="E445" s="138"/>
      <c r="F445" s="138"/>
      <c r="G445" s="139"/>
      <c r="H445" s="140"/>
      <c r="I445" s="140"/>
      <c r="J445" s="138"/>
      <c r="K445" s="138"/>
      <c r="L445" s="138"/>
      <c r="M445" s="138"/>
      <c r="N445" s="138"/>
      <c r="O445" s="138"/>
      <c r="P445" s="138"/>
      <c r="Q445" s="138"/>
      <c r="R445" s="138"/>
      <c r="S445" s="4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  <c r="AE445" s="138"/>
      <c r="AF445" s="138"/>
    </row>
    <row r="446">
      <c r="A446" s="209"/>
      <c r="B446" s="202"/>
      <c r="C446" s="202"/>
      <c r="D446" s="138"/>
      <c r="E446" s="138"/>
      <c r="F446" s="138"/>
      <c r="G446" s="139"/>
      <c r="H446" s="140"/>
      <c r="I446" s="140"/>
      <c r="J446" s="138"/>
      <c r="K446" s="138"/>
      <c r="L446" s="138"/>
      <c r="M446" s="138"/>
      <c r="N446" s="138"/>
      <c r="O446" s="138"/>
      <c r="P446" s="138"/>
      <c r="Q446" s="138"/>
      <c r="R446" s="138"/>
      <c r="S446" s="4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  <c r="AE446" s="138"/>
      <c r="AF446" s="138"/>
    </row>
    <row r="447">
      <c r="A447" s="209"/>
      <c r="B447" s="202"/>
      <c r="C447" s="202"/>
      <c r="D447" s="138"/>
      <c r="E447" s="138"/>
      <c r="F447" s="138"/>
      <c r="G447" s="139"/>
      <c r="H447" s="140"/>
      <c r="I447" s="140"/>
      <c r="J447" s="138"/>
      <c r="K447" s="138"/>
      <c r="L447" s="138"/>
      <c r="M447" s="138"/>
      <c r="N447" s="138"/>
      <c r="O447" s="138"/>
      <c r="P447" s="138"/>
      <c r="Q447" s="138"/>
      <c r="R447" s="138"/>
      <c r="S447" s="4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  <c r="AD447" s="138"/>
      <c r="AE447" s="138"/>
      <c r="AF447" s="138"/>
    </row>
    <row r="448">
      <c r="A448" s="209"/>
      <c r="B448" s="202"/>
      <c r="C448" s="202"/>
      <c r="D448" s="138"/>
      <c r="E448" s="138"/>
      <c r="F448" s="138"/>
      <c r="G448" s="139"/>
      <c r="H448" s="140"/>
      <c r="I448" s="140"/>
      <c r="J448" s="138"/>
      <c r="K448" s="138"/>
      <c r="L448" s="138"/>
      <c r="M448" s="138"/>
      <c r="N448" s="138"/>
      <c r="O448" s="138"/>
      <c r="P448" s="138"/>
      <c r="Q448" s="138"/>
      <c r="R448" s="138"/>
      <c r="S448" s="4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  <c r="AE448" s="138"/>
      <c r="AF448" s="138"/>
    </row>
    <row r="449">
      <c r="A449" s="209"/>
      <c r="B449" s="202"/>
      <c r="C449" s="202"/>
      <c r="D449" s="138"/>
      <c r="E449" s="138"/>
      <c r="F449" s="138"/>
      <c r="G449" s="139"/>
      <c r="H449" s="140"/>
      <c r="I449" s="140"/>
      <c r="J449" s="138"/>
      <c r="K449" s="138"/>
      <c r="L449" s="138"/>
      <c r="M449" s="138"/>
      <c r="N449" s="138"/>
      <c r="O449" s="138"/>
      <c r="P449" s="138"/>
      <c r="Q449" s="138"/>
      <c r="R449" s="138"/>
      <c r="S449" s="4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  <c r="AD449" s="138"/>
      <c r="AE449" s="138"/>
      <c r="AF449" s="138"/>
    </row>
    <row r="450">
      <c r="A450" s="209"/>
      <c r="B450" s="202"/>
      <c r="C450" s="202"/>
      <c r="D450" s="138"/>
      <c r="E450" s="138"/>
      <c r="F450" s="138"/>
      <c r="G450" s="139"/>
      <c r="H450" s="140"/>
      <c r="I450" s="140"/>
      <c r="J450" s="138"/>
      <c r="K450" s="138"/>
      <c r="L450" s="138"/>
      <c r="M450" s="138"/>
      <c r="N450" s="138"/>
      <c r="O450" s="138"/>
      <c r="P450" s="138"/>
      <c r="Q450" s="138"/>
      <c r="R450" s="138"/>
      <c r="S450" s="4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  <c r="AE450" s="138"/>
      <c r="AF450" s="138"/>
    </row>
    <row r="451">
      <c r="A451" s="209"/>
      <c r="B451" s="202"/>
      <c r="C451" s="202"/>
      <c r="D451" s="138"/>
      <c r="E451" s="138"/>
      <c r="F451" s="138"/>
      <c r="G451" s="139"/>
      <c r="H451" s="140"/>
      <c r="I451" s="140"/>
      <c r="J451" s="138"/>
      <c r="K451" s="138"/>
      <c r="L451" s="138"/>
      <c r="M451" s="138"/>
      <c r="N451" s="138"/>
      <c r="O451" s="138"/>
      <c r="P451" s="138"/>
      <c r="Q451" s="138"/>
      <c r="R451" s="138"/>
      <c r="S451" s="4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  <c r="AE451" s="138"/>
      <c r="AF451" s="138"/>
    </row>
    <row r="452">
      <c r="A452" s="209"/>
      <c r="B452" s="202"/>
      <c r="C452" s="202"/>
      <c r="D452" s="138"/>
      <c r="E452" s="138"/>
      <c r="F452" s="138"/>
      <c r="G452" s="139"/>
      <c r="H452" s="140"/>
      <c r="I452" s="140"/>
      <c r="J452" s="138"/>
      <c r="K452" s="138"/>
      <c r="L452" s="138"/>
      <c r="M452" s="138"/>
      <c r="N452" s="138"/>
      <c r="O452" s="138"/>
      <c r="P452" s="138"/>
      <c r="Q452" s="138"/>
      <c r="R452" s="138"/>
      <c r="S452" s="4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53">
      <c r="A453" s="209"/>
      <c r="B453" s="202"/>
      <c r="C453" s="202"/>
      <c r="D453" s="138"/>
      <c r="E453" s="138"/>
      <c r="F453" s="138"/>
      <c r="G453" s="139"/>
      <c r="H453" s="140"/>
      <c r="I453" s="140"/>
      <c r="J453" s="138"/>
      <c r="K453" s="138"/>
      <c r="L453" s="138"/>
      <c r="M453" s="138"/>
      <c r="N453" s="138"/>
      <c r="O453" s="138"/>
      <c r="P453" s="138"/>
      <c r="Q453" s="138"/>
      <c r="R453" s="138"/>
      <c r="S453" s="4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  <c r="AD453" s="138"/>
      <c r="AE453" s="138"/>
      <c r="AF453" s="138"/>
    </row>
    <row r="454">
      <c r="A454" s="209"/>
      <c r="B454" s="202"/>
      <c r="C454" s="202"/>
      <c r="D454" s="138"/>
      <c r="E454" s="138"/>
      <c r="F454" s="138"/>
      <c r="G454" s="139"/>
      <c r="H454" s="140"/>
      <c r="I454" s="140"/>
      <c r="J454" s="138"/>
      <c r="K454" s="138"/>
      <c r="L454" s="138"/>
      <c r="M454" s="138"/>
      <c r="N454" s="138"/>
      <c r="O454" s="138"/>
      <c r="P454" s="138"/>
      <c r="Q454" s="138"/>
      <c r="R454" s="138"/>
      <c r="S454" s="4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  <c r="AE454" s="138"/>
      <c r="AF454" s="138"/>
    </row>
    <row r="455">
      <c r="A455" s="209"/>
      <c r="B455" s="202"/>
      <c r="C455" s="202"/>
      <c r="D455" s="138"/>
      <c r="E455" s="138"/>
      <c r="F455" s="138"/>
      <c r="G455" s="139"/>
      <c r="H455" s="140"/>
      <c r="I455" s="140"/>
      <c r="J455" s="138"/>
      <c r="K455" s="138"/>
      <c r="L455" s="138"/>
      <c r="M455" s="138"/>
      <c r="N455" s="138"/>
      <c r="O455" s="138"/>
      <c r="P455" s="138"/>
      <c r="Q455" s="138"/>
      <c r="R455" s="138"/>
      <c r="S455" s="4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  <c r="AD455" s="138"/>
      <c r="AE455" s="138"/>
      <c r="AF455" s="138"/>
    </row>
    <row r="456">
      <c r="A456" s="209"/>
      <c r="B456" s="202"/>
      <c r="C456" s="202"/>
      <c r="D456" s="138"/>
      <c r="E456" s="138"/>
      <c r="F456" s="138"/>
      <c r="G456" s="139"/>
      <c r="H456" s="140"/>
      <c r="I456" s="140"/>
      <c r="J456" s="138"/>
      <c r="K456" s="138"/>
      <c r="L456" s="138"/>
      <c r="M456" s="138"/>
      <c r="N456" s="138"/>
      <c r="O456" s="138"/>
      <c r="P456" s="138"/>
      <c r="Q456" s="138"/>
      <c r="R456" s="138"/>
      <c r="S456" s="4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  <c r="AE456" s="138"/>
      <c r="AF456" s="138"/>
    </row>
    <row r="457">
      <c r="A457" s="209"/>
      <c r="B457" s="202"/>
      <c r="C457" s="202"/>
      <c r="D457" s="138"/>
      <c r="E457" s="138"/>
      <c r="F457" s="138"/>
      <c r="G457" s="139"/>
      <c r="H457" s="140"/>
      <c r="I457" s="140"/>
      <c r="J457" s="138"/>
      <c r="K457" s="138"/>
      <c r="L457" s="138"/>
      <c r="M457" s="138"/>
      <c r="N457" s="138"/>
      <c r="O457" s="138"/>
      <c r="P457" s="138"/>
      <c r="Q457" s="138"/>
      <c r="R457" s="138"/>
      <c r="S457" s="4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  <c r="AE457" s="138"/>
      <c r="AF457" s="138"/>
    </row>
    <row r="458">
      <c r="A458" s="209"/>
      <c r="B458" s="202"/>
      <c r="C458" s="202"/>
      <c r="D458" s="138"/>
      <c r="E458" s="138"/>
      <c r="F458" s="138"/>
      <c r="G458" s="139"/>
      <c r="H458" s="140"/>
      <c r="I458" s="140"/>
      <c r="J458" s="138"/>
      <c r="K458" s="138"/>
      <c r="L458" s="138"/>
      <c r="M458" s="138"/>
      <c r="N458" s="138"/>
      <c r="O458" s="138"/>
      <c r="P458" s="138"/>
      <c r="Q458" s="138"/>
      <c r="R458" s="138"/>
      <c r="S458" s="4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  <c r="AE458" s="138"/>
      <c r="AF458" s="138"/>
    </row>
    <row r="459">
      <c r="A459" s="209"/>
      <c r="B459" s="202"/>
      <c r="C459" s="202"/>
      <c r="D459" s="138"/>
      <c r="E459" s="138"/>
      <c r="F459" s="138"/>
      <c r="G459" s="139"/>
      <c r="H459" s="140"/>
      <c r="I459" s="140"/>
      <c r="J459" s="138"/>
      <c r="K459" s="138"/>
      <c r="L459" s="138"/>
      <c r="M459" s="138"/>
      <c r="N459" s="138"/>
      <c r="O459" s="138"/>
      <c r="P459" s="138"/>
      <c r="Q459" s="138"/>
      <c r="R459" s="138"/>
      <c r="S459" s="4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  <c r="AD459" s="138"/>
      <c r="AE459" s="138"/>
      <c r="AF459" s="138"/>
    </row>
    <row r="460">
      <c r="A460" s="209"/>
      <c r="B460" s="202"/>
      <c r="C460" s="202"/>
      <c r="D460" s="138"/>
      <c r="E460" s="138"/>
      <c r="F460" s="138"/>
      <c r="G460" s="139"/>
      <c r="H460" s="140"/>
      <c r="I460" s="140"/>
      <c r="J460" s="138"/>
      <c r="K460" s="138"/>
      <c r="L460" s="138"/>
      <c r="M460" s="138"/>
      <c r="N460" s="138"/>
      <c r="O460" s="138"/>
      <c r="P460" s="138"/>
      <c r="Q460" s="138"/>
      <c r="R460" s="138"/>
      <c r="S460" s="4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  <c r="AE460" s="138"/>
      <c r="AF460" s="138"/>
    </row>
    <row r="461">
      <c r="A461" s="209"/>
      <c r="B461" s="202"/>
      <c r="C461" s="202"/>
      <c r="D461" s="138"/>
      <c r="E461" s="138"/>
      <c r="F461" s="138"/>
      <c r="G461" s="139"/>
      <c r="H461" s="140"/>
      <c r="I461" s="140"/>
      <c r="J461" s="138"/>
      <c r="K461" s="138"/>
      <c r="L461" s="138"/>
      <c r="M461" s="138"/>
      <c r="N461" s="138"/>
      <c r="O461" s="138"/>
      <c r="P461" s="138"/>
      <c r="Q461" s="138"/>
      <c r="R461" s="138"/>
      <c r="S461" s="4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  <c r="AD461" s="138"/>
      <c r="AE461" s="138"/>
      <c r="AF461" s="138"/>
    </row>
    <row r="462">
      <c r="A462" s="209"/>
      <c r="B462" s="202"/>
      <c r="C462" s="202"/>
      <c r="D462" s="138"/>
      <c r="E462" s="138"/>
      <c r="F462" s="138"/>
      <c r="G462" s="139"/>
      <c r="H462" s="140"/>
      <c r="I462" s="140"/>
      <c r="J462" s="138"/>
      <c r="K462" s="138"/>
      <c r="L462" s="138"/>
      <c r="M462" s="138"/>
      <c r="N462" s="138"/>
      <c r="O462" s="138"/>
      <c r="P462" s="138"/>
      <c r="Q462" s="138"/>
      <c r="R462" s="138"/>
      <c r="S462" s="4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  <c r="AE462" s="138"/>
      <c r="AF462" s="138"/>
    </row>
    <row r="463">
      <c r="A463" s="209"/>
      <c r="B463" s="202"/>
      <c r="C463" s="202"/>
      <c r="D463" s="138"/>
      <c r="E463" s="138"/>
      <c r="F463" s="138"/>
      <c r="G463" s="139"/>
      <c r="H463" s="140"/>
      <c r="I463" s="140"/>
      <c r="J463" s="138"/>
      <c r="K463" s="138"/>
      <c r="L463" s="138"/>
      <c r="M463" s="138"/>
      <c r="N463" s="138"/>
      <c r="O463" s="138"/>
      <c r="P463" s="138"/>
      <c r="Q463" s="138"/>
      <c r="R463" s="138"/>
      <c r="S463" s="4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  <c r="AE463" s="138"/>
      <c r="AF463" s="138"/>
    </row>
    <row r="464">
      <c r="A464" s="209"/>
      <c r="B464" s="202"/>
      <c r="C464" s="202"/>
      <c r="D464" s="138"/>
      <c r="E464" s="138"/>
      <c r="F464" s="138"/>
      <c r="G464" s="139"/>
      <c r="H464" s="140"/>
      <c r="I464" s="140"/>
      <c r="J464" s="138"/>
      <c r="K464" s="138"/>
      <c r="L464" s="138"/>
      <c r="M464" s="138"/>
      <c r="N464" s="138"/>
      <c r="O464" s="138"/>
      <c r="P464" s="138"/>
      <c r="Q464" s="138"/>
      <c r="R464" s="138"/>
      <c r="S464" s="4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  <c r="AE464" s="138"/>
      <c r="AF464" s="138"/>
    </row>
    <row r="465">
      <c r="A465" s="209"/>
      <c r="B465" s="202"/>
      <c r="C465" s="202"/>
      <c r="D465" s="138"/>
      <c r="E465" s="138"/>
      <c r="F465" s="138"/>
      <c r="G465" s="139"/>
      <c r="H465" s="140"/>
      <c r="I465" s="140"/>
      <c r="J465" s="138"/>
      <c r="K465" s="138"/>
      <c r="L465" s="138"/>
      <c r="M465" s="138"/>
      <c r="N465" s="138"/>
      <c r="O465" s="138"/>
      <c r="P465" s="138"/>
      <c r="Q465" s="138"/>
      <c r="R465" s="138"/>
      <c r="S465" s="4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  <c r="AD465" s="138"/>
      <c r="AE465" s="138"/>
      <c r="AF465" s="138"/>
    </row>
    <row r="466">
      <c r="A466" s="209"/>
      <c r="B466" s="202"/>
      <c r="C466" s="202"/>
      <c r="D466" s="138"/>
      <c r="E466" s="138"/>
      <c r="F466" s="138"/>
      <c r="G466" s="139"/>
      <c r="H466" s="140"/>
      <c r="I466" s="140"/>
      <c r="J466" s="138"/>
      <c r="K466" s="138"/>
      <c r="L466" s="138"/>
      <c r="M466" s="138"/>
      <c r="N466" s="138"/>
      <c r="O466" s="138"/>
      <c r="P466" s="138"/>
      <c r="Q466" s="138"/>
      <c r="R466" s="138"/>
      <c r="S466" s="4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  <c r="AD466" s="138"/>
      <c r="AE466" s="138"/>
      <c r="AF466" s="138"/>
    </row>
    <row r="467">
      <c r="A467" s="209"/>
      <c r="B467" s="202"/>
      <c r="C467" s="202"/>
      <c r="D467" s="138"/>
      <c r="E467" s="138"/>
      <c r="F467" s="138"/>
      <c r="G467" s="139"/>
      <c r="H467" s="140"/>
      <c r="I467" s="140"/>
      <c r="J467" s="138"/>
      <c r="K467" s="138"/>
      <c r="L467" s="138"/>
      <c r="M467" s="138"/>
      <c r="N467" s="138"/>
      <c r="O467" s="138"/>
      <c r="P467" s="138"/>
      <c r="Q467" s="138"/>
      <c r="R467" s="138"/>
      <c r="S467" s="4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  <c r="AD467" s="138"/>
      <c r="AE467" s="138"/>
      <c r="AF467" s="138"/>
    </row>
    <row r="468">
      <c r="A468" s="209"/>
      <c r="B468" s="202"/>
      <c r="C468" s="202"/>
      <c r="D468" s="138"/>
      <c r="E468" s="138"/>
      <c r="F468" s="138"/>
      <c r="G468" s="139"/>
      <c r="H468" s="140"/>
      <c r="I468" s="140"/>
      <c r="J468" s="138"/>
      <c r="K468" s="138"/>
      <c r="L468" s="138"/>
      <c r="M468" s="138"/>
      <c r="N468" s="138"/>
      <c r="O468" s="138"/>
      <c r="P468" s="138"/>
      <c r="Q468" s="138"/>
      <c r="R468" s="138"/>
      <c r="S468" s="4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  <c r="AD468" s="138"/>
      <c r="AE468" s="138"/>
      <c r="AF468" s="138"/>
    </row>
    <row r="469">
      <c r="A469" s="209"/>
      <c r="B469" s="202"/>
      <c r="C469" s="202"/>
      <c r="D469" s="138"/>
      <c r="E469" s="138"/>
      <c r="F469" s="138"/>
      <c r="G469" s="139"/>
      <c r="H469" s="140"/>
      <c r="I469" s="140"/>
      <c r="J469" s="138"/>
      <c r="K469" s="138"/>
      <c r="L469" s="138"/>
      <c r="M469" s="138"/>
      <c r="N469" s="138"/>
      <c r="O469" s="138"/>
      <c r="P469" s="138"/>
      <c r="Q469" s="138"/>
      <c r="R469" s="138"/>
      <c r="S469" s="4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  <c r="AD469" s="138"/>
      <c r="AE469" s="138"/>
      <c r="AF469" s="138"/>
    </row>
    <row r="470">
      <c r="A470" s="209"/>
      <c r="B470" s="202"/>
      <c r="C470" s="202"/>
      <c r="D470" s="138"/>
      <c r="E470" s="138"/>
      <c r="F470" s="138"/>
      <c r="G470" s="139"/>
      <c r="H470" s="140"/>
      <c r="I470" s="140"/>
      <c r="J470" s="138"/>
      <c r="K470" s="138"/>
      <c r="L470" s="138"/>
      <c r="M470" s="138"/>
      <c r="N470" s="138"/>
      <c r="O470" s="138"/>
      <c r="P470" s="138"/>
      <c r="Q470" s="138"/>
      <c r="R470" s="138"/>
      <c r="S470" s="4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  <c r="AE470" s="138"/>
      <c r="AF470" s="138"/>
    </row>
    <row r="471">
      <c r="A471" s="209"/>
      <c r="B471" s="202"/>
      <c r="C471" s="202"/>
      <c r="D471" s="138"/>
      <c r="E471" s="138"/>
      <c r="F471" s="138"/>
      <c r="G471" s="139"/>
      <c r="H471" s="140"/>
      <c r="I471" s="140"/>
      <c r="J471" s="138"/>
      <c r="K471" s="138"/>
      <c r="L471" s="138"/>
      <c r="M471" s="138"/>
      <c r="N471" s="138"/>
      <c r="O471" s="138"/>
      <c r="P471" s="138"/>
      <c r="Q471" s="138"/>
      <c r="R471" s="138"/>
      <c r="S471" s="4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  <c r="AD471" s="138"/>
      <c r="AE471" s="138"/>
      <c r="AF471" s="138"/>
    </row>
    <row r="472">
      <c r="A472" s="209"/>
      <c r="B472" s="202"/>
      <c r="C472" s="202"/>
      <c r="D472" s="138"/>
      <c r="E472" s="138"/>
      <c r="F472" s="138"/>
      <c r="G472" s="139"/>
      <c r="H472" s="140"/>
      <c r="I472" s="140"/>
      <c r="J472" s="138"/>
      <c r="K472" s="138"/>
      <c r="L472" s="138"/>
      <c r="M472" s="138"/>
      <c r="N472" s="138"/>
      <c r="O472" s="138"/>
      <c r="P472" s="138"/>
      <c r="Q472" s="138"/>
      <c r="R472" s="138"/>
      <c r="S472" s="4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  <c r="AE472" s="138"/>
      <c r="AF472" s="138"/>
    </row>
    <row r="473">
      <c r="A473" s="209"/>
      <c r="B473" s="202"/>
      <c r="C473" s="202"/>
      <c r="D473" s="138"/>
      <c r="E473" s="138"/>
      <c r="F473" s="138"/>
      <c r="G473" s="139"/>
      <c r="H473" s="140"/>
      <c r="I473" s="140"/>
      <c r="J473" s="138"/>
      <c r="K473" s="138"/>
      <c r="L473" s="138"/>
      <c r="M473" s="138"/>
      <c r="N473" s="138"/>
      <c r="O473" s="138"/>
      <c r="P473" s="138"/>
      <c r="Q473" s="138"/>
      <c r="R473" s="138"/>
      <c r="S473" s="4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  <c r="AD473" s="138"/>
      <c r="AE473" s="138"/>
      <c r="AF473" s="138"/>
    </row>
    <row r="474">
      <c r="A474" s="209"/>
      <c r="B474" s="202"/>
      <c r="C474" s="202"/>
      <c r="D474" s="138"/>
      <c r="E474" s="138"/>
      <c r="F474" s="138"/>
      <c r="G474" s="139"/>
      <c r="H474" s="140"/>
      <c r="I474" s="140"/>
      <c r="J474" s="138"/>
      <c r="K474" s="138"/>
      <c r="L474" s="138"/>
      <c r="M474" s="138"/>
      <c r="N474" s="138"/>
      <c r="O474" s="138"/>
      <c r="P474" s="138"/>
      <c r="Q474" s="138"/>
      <c r="R474" s="138"/>
      <c r="S474" s="4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  <c r="AE474" s="138"/>
      <c r="AF474" s="138"/>
    </row>
    <row r="475">
      <c r="A475" s="209"/>
      <c r="B475" s="202"/>
      <c r="C475" s="202"/>
      <c r="D475" s="138"/>
      <c r="E475" s="138"/>
      <c r="F475" s="138"/>
      <c r="G475" s="139"/>
      <c r="H475" s="140"/>
      <c r="I475" s="140"/>
      <c r="J475" s="138"/>
      <c r="K475" s="138"/>
      <c r="L475" s="138"/>
      <c r="M475" s="138"/>
      <c r="N475" s="138"/>
      <c r="O475" s="138"/>
      <c r="P475" s="138"/>
      <c r="Q475" s="138"/>
      <c r="R475" s="138"/>
      <c r="S475" s="4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  <c r="AD475" s="138"/>
      <c r="AE475" s="138"/>
      <c r="AF475" s="138"/>
    </row>
    <row r="476">
      <c r="A476" s="209"/>
      <c r="B476" s="202"/>
      <c r="C476" s="202"/>
      <c r="D476" s="138"/>
      <c r="E476" s="138"/>
      <c r="F476" s="138"/>
      <c r="G476" s="139"/>
      <c r="H476" s="140"/>
      <c r="I476" s="140"/>
      <c r="J476" s="138"/>
      <c r="K476" s="138"/>
      <c r="L476" s="138"/>
      <c r="M476" s="138"/>
      <c r="N476" s="138"/>
      <c r="O476" s="138"/>
      <c r="P476" s="138"/>
      <c r="Q476" s="138"/>
      <c r="R476" s="138"/>
      <c r="S476" s="4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  <c r="AE476" s="138"/>
      <c r="AF476" s="138"/>
    </row>
    <row r="477">
      <c r="A477" s="209"/>
      <c r="B477" s="202"/>
      <c r="C477" s="202"/>
      <c r="D477" s="138"/>
      <c r="E477" s="138"/>
      <c r="F477" s="138"/>
      <c r="G477" s="139"/>
      <c r="H477" s="140"/>
      <c r="I477" s="140"/>
      <c r="J477" s="138"/>
      <c r="K477" s="138"/>
      <c r="L477" s="138"/>
      <c r="M477" s="138"/>
      <c r="N477" s="138"/>
      <c r="O477" s="138"/>
      <c r="P477" s="138"/>
      <c r="Q477" s="138"/>
      <c r="R477" s="138"/>
      <c r="S477" s="4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  <c r="AE477" s="138"/>
      <c r="AF477" s="138"/>
    </row>
    <row r="478">
      <c r="A478" s="209"/>
      <c r="B478" s="202"/>
      <c r="C478" s="202"/>
      <c r="D478" s="138"/>
      <c r="E478" s="138"/>
      <c r="F478" s="138"/>
      <c r="G478" s="139"/>
      <c r="H478" s="140"/>
      <c r="I478" s="140"/>
      <c r="J478" s="138"/>
      <c r="K478" s="138"/>
      <c r="L478" s="138"/>
      <c r="M478" s="138"/>
      <c r="N478" s="138"/>
      <c r="O478" s="138"/>
      <c r="P478" s="138"/>
      <c r="Q478" s="138"/>
      <c r="R478" s="138"/>
      <c r="S478" s="4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  <c r="AE478" s="138"/>
      <c r="AF478" s="138"/>
    </row>
    <row r="479">
      <c r="A479" s="209"/>
      <c r="B479" s="202"/>
      <c r="C479" s="202"/>
      <c r="D479" s="138"/>
      <c r="E479" s="138"/>
      <c r="F479" s="138"/>
      <c r="G479" s="139"/>
      <c r="H479" s="140"/>
      <c r="I479" s="140"/>
      <c r="J479" s="138"/>
      <c r="K479" s="138"/>
      <c r="L479" s="138"/>
      <c r="M479" s="138"/>
      <c r="N479" s="138"/>
      <c r="O479" s="138"/>
      <c r="P479" s="138"/>
      <c r="Q479" s="138"/>
      <c r="R479" s="138"/>
      <c r="S479" s="4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  <c r="AD479" s="138"/>
      <c r="AE479" s="138"/>
      <c r="AF479" s="138"/>
    </row>
    <row r="480">
      <c r="A480" s="209"/>
      <c r="B480" s="202"/>
      <c r="C480" s="202"/>
      <c r="D480" s="138"/>
      <c r="E480" s="138"/>
      <c r="F480" s="138"/>
      <c r="G480" s="139"/>
      <c r="H480" s="140"/>
      <c r="I480" s="140"/>
      <c r="J480" s="138"/>
      <c r="K480" s="138"/>
      <c r="L480" s="138"/>
      <c r="M480" s="138"/>
      <c r="N480" s="138"/>
      <c r="O480" s="138"/>
      <c r="P480" s="138"/>
      <c r="Q480" s="138"/>
      <c r="R480" s="138"/>
      <c r="S480" s="4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  <c r="AE480" s="138"/>
      <c r="AF480" s="138"/>
    </row>
    <row r="481">
      <c r="A481" s="209"/>
      <c r="B481" s="202"/>
      <c r="C481" s="202"/>
      <c r="D481" s="138"/>
      <c r="E481" s="138"/>
      <c r="F481" s="138"/>
      <c r="G481" s="139"/>
      <c r="H481" s="140"/>
      <c r="I481" s="140"/>
      <c r="J481" s="138"/>
      <c r="K481" s="138"/>
      <c r="L481" s="138"/>
      <c r="M481" s="138"/>
      <c r="N481" s="138"/>
      <c r="O481" s="138"/>
      <c r="P481" s="138"/>
      <c r="Q481" s="138"/>
      <c r="R481" s="138"/>
      <c r="S481" s="4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  <c r="AD481" s="138"/>
      <c r="AE481" s="138"/>
      <c r="AF481" s="138"/>
    </row>
    <row r="482">
      <c r="A482" s="209"/>
      <c r="B482" s="202"/>
      <c r="C482" s="202"/>
      <c r="D482" s="138"/>
      <c r="E482" s="138"/>
      <c r="F482" s="138"/>
      <c r="G482" s="139"/>
      <c r="H482" s="140"/>
      <c r="I482" s="140"/>
      <c r="J482" s="138"/>
      <c r="K482" s="138"/>
      <c r="L482" s="138"/>
      <c r="M482" s="138"/>
      <c r="N482" s="138"/>
      <c r="O482" s="138"/>
      <c r="P482" s="138"/>
      <c r="Q482" s="138"/>
      <c r="R482" s="138"/>
      <c r="S482" s="4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  <c r="AE482" s="138"/>
      <c r="AF482" s="138"/>
    </row>
    <row r="483">
      <c r="A483" s="209"/>
      <c r="B483" s="202"/>
      <c r="C483" s="202"/>
      <c r="D483" s="138"/>
      <c r="E483" s="138"/>
      <c r="F483" s="138"/>
      <c r="G483" s="139"/>
      <c r="H483" s="140"/>
      <c r="I483" s="140"/>
      <c r="J483" s="138"/>
      <c r="K483" s="138"/>
      <c r="L483" s="138"/>
      <c r="M483" s="138"/>
      <c r="N483" s="138"/>
      <c r="O483" s="138"/>
      <c r="P483" s="138"/>
      <c r="Q483" s="138"/>
      <c r="R483" s="138"/>
      <c r="S483" s="4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  <c r="AD483" s="138"/>
      <c r="AE483" s="138"/>
      <c r="AF483" s="138"/>
    </row>
    <row r="484">
      <c r="A484" s="209"/>
      <c r="B484" s="202"/>
      <c r="C484" s="202"/>
      <c r="D484" s="138"/>
      <c r="E484" s="138"/>
      <c r="F484" s="138"/>
      <c r="G484" s="139"/>
      <c r="H484" s="140"/>
      <c r="I484" s="140"/>
      <c r="J484" s="138"/>
      <c r="K484" s="138"/>
      <c r="L484" s="138"/>
      <c r="M484" s="138"/>
      <c r="N484" s="138"/>
      <c r="O484" s="138"/>
      <c r="P484" s="138"/>
      <c r="Q484" s="138"/>
      <c r="R484" s="138"/>
      <c r="S484" s="4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  <c r="AE484" s="138"/>
      <c r="AF484" s="138"/>
    </row>
    <row r="485">
      <c r="A485" s="209"/>
      <c r="B485" s="202"/>
      <c r="C485" s="202"/>
      <c r="D485" s="138"/>
      <c r="E485" s="138"/>
      <c r="F485" s="138"/>
      <c r="G485" s="139"/>
      <c r="H485" s="140"/>
      <c r="I485" s="140"/>
      <c r="J485" s="138"/>
      <c r="K485" s="138"/>
      <c r="L485" s="138"/>
      <c r="M485" s="138"/>
      <c r="N485" s="138"/>
      <c r="O485" s="138"/>
      <c r="P485" s="138"/>
      <c r="Q485" s="138"/>
      <c r="R485" s="138"/>
      <c r="S485" s="4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  <c r="AD485" s="138"/>
      <c r="AE485" s="138"/>
      <c r="AF485" s="138"/>
    </row>
    <row r="486">
      <c r="A486" s="209"/>
      <c r="B486" s="202"/>
      <c r="C486" s="202"/>
      <c r="D486" s="138"/>
      <c r="E486" s="138"/>
      <c r="F486" s="138"/>
      <c r="G486" s="139"/>
      <c r="H486" s="140"/>
      <c r="I486" s="140"/>
      <c r="J486" s="138"/>
      <c r="K486" s="138"/>
      <c r="L486" s="138"/>
      <c r="M486" s="138"/>
      <c r="N486" s="138"/>
      <c r="O486" s="138"/>
      <c r="P486" s="138"/>
      <c r="Q486" s="138"/>
      <c r="R486" s="138"/>
      <c r="S486" s="4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  <c r="AE486" s="138"/>
      <c r="AF486" s="138"/>
    </row>
    <row r="487">
      <c r="A487" s="209"/>
      <c r="B487" s="202"/>
      <c r="C487" s="202"/>
      <c r="D487" s="138"/>
      <c r="E487" s="138"/>
      <c r="F487" s="138"/>
      <c r="G487" s="139"/>
      <c r="H487" s="140"/>
      <c r="I487" s="140"/>
      <c r="J487" s="138"/>
      <c r="K487" s="138"/>
      <c r="L487" s="138"/>
      <c r="M487" s="138"/>
      <c r="N487" s="138"/>
      <c r="O487" s="138"/>
      <c r="P487" s="138"/>
      <c r="Q487" s="138"/>
      <c r="R487" s="138"/>
      <c r="S487" s="4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  <c r="AE487" s="138"/>
      <c r="AF487" s="138"/>
    </row>
    <row r="488">
      <c r="A488" s="209"/>
      <c r="B488" s="202"/>
      <c r="C488" s="202"/>
      <c r="D488" s="138"/>
      <c r="E488" s="138"/>
      <c r="F488" s="138"/>
      <c r="G488" s="139"/>
      <c r="H488" s="140"/>
      <c r="I488" s="140"/>
      <c r="J488" s="138"/>
      <c r="K488" s="138"/>
      <c r="L488" s="138"/>
      <c r="M488" s="138"/>
      <c r="N488" s="138"/>
      <c r="O488" s="138"/>
      <c r="P488" s="138"/>
      <c r="Q488" s="138"/>
      <c r="R488" s="138"/>
      <c r="S488" s="4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  <c r="AD488" s="138"/>
      <c r="AE488" s="138"/>
      <c r="AF488" s="138"/>
    </row>
    <row r="489">
      <c r="A489" s="209"/>
      <c r="B489" s="202"/>
      <c r="C489" s="202"/>
      <c r="D489" s="138"/>
      <c r="E489" s="138"/>
      <c r="F489" s="138"/>
      <c r="G489" s="139"/>
      <c r="H489" s="140"/>
      <c r="I489" s="140"/>
      <c r="J489" s="138"/>
      <c r="K489" s="138"/>
      <c r="L489" s="138"/>
      <c r="M489" s="138"/>
      <c r="N489" s="138"/>
      <c r="O489" s="138"/>
      <c r="P489" s="138"/>
      <c r="Q489" s="138"/>
      <c r="R489" s="138"/>
      <c r="S489" s="4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  <c r="AD489" s="138"/>
      <c r="AE489" s="138"/>
      <c r="AF489" s="138"/>
    </row>
    <row r="490">
      <c r="A490" s="209"/>
      <c r="B490" s="202"/>
      <c r="C490" s="202"/>
      <c r="D490" s="138"/>
      <c r="E490" s="138"/>
      <c r="F490" s="138"/>
      <c r="G490" s="139"/>
      <c r="H490" s="140"/>
      <c r="I490" s="140"/>
      <c r="J490" s="138"/>
      <c r="K490" s="138"/>
      <c r="L490" s="138"/>
      <c r="M490" s="138"/>
      <c r="N490" s="138"/>
      <c r="O490" s="138"/>
      <c r="P490" s="138"/>
      <c r="Q490" s="138"/>
      <c r="R490" s="138"/>
      <c r="S490" s="4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  <c r="AE490" s="138"/>
      <c r="AF490" s="138"/>
    </row>
    <row r="491">
      <c r="A491" s="209"/>
      <c r="B491" s="202"/>
      <c r="C491" s="202"/>
      <c r="D491" s="138"/>
      <c r="E491" s="138"/>
      <c r="F491" s="138"/>
      <c r="G491" s="139"/>
      <c r="H491" s="140"/>
      <c r="I491" s="140"/>
      <c r="J491" s="138"/>
      <c r="K491" s="138"/>
      <c r="L491" s="138"/>
      <c r="M491" s="138"/>
      <c r="N491" s="138"/>
      <c r="O491" s="138"/>
      <c r="P491" s="138"/>
      <c r="Q491" s="138"/>
      <c r="R491" s="138"/>
      <c r="S491" s="4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  <c r="AE491" s="138"/>
      <c r="AF491" s="138"/>
    </row>
    <row r="492">
      <c r="A492" s="209"/>
      <c r="B492" s="202"/>
      <c r="C492" s="202"/>
      <c r="D492" s="138"/>
      <c r="E492" s="138"/>
      <c r="F492" s="138"/>
      <c r="G492" s="139"/>
      <c r="H492" s="140"/>
      <c r="I492" s="140"/>
      <c r="J492" s="138"/>
      <c r="K492" s="138"/>
      <c r="L492" s="138"/>
      <c r="M492" s="138"/>
      <c r="N492" s="138"/>
      <c r="O492" s="138"/>
      <c r="P492" s="138"/>
      <c r="Q492" s="138"/>
      <c r="R492" s="138"/>
      <c r="S492" s="4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  <c r="AE492" s="138"/>
      <c r="AF492" s="138"/>
    </row>
    <row r="493">
      <c r="A493" s="209"/>
      <c r="B493" s="202"/>
      <c r="C493" s="202"/>
      <c r="D493" s="138"/>
      <c r="E493" s="138"/>
      <c r="F493" s="138"/>
      <c r="G493" s="139"/>
      <c r="H493" s="140"/>
      <c r="I493" s="140"/>
      <c r="J493" s="138"/>
      <c r="K493" s="138"/>
      <c r="L493" s="138"/>
      <c r="M493" s="138"/>
      <c r="N493" s="138"/>
      <c r="O493" s="138"/>
      <c r="P493" s="138"/>
      <c r="Q493" s="138"/>
      <c r="R493" s="138"/>
      <c r="S493" s="4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  <c r="AE493" s="138"/>
      <c r="AF493" s="138"/>
    </row>
    <row r="494">
      <c r="A494" s="209"/>
      <c r="B494" s="202"/>
      <c r="C494" s="202"/>
      <c r="D494" s="138"/>
      <c r="E494" s="138"/>
      <c r="F494" s="138"/>
      <c r="G494" s="139"/>
      <c r="H494" s="140"/>
      <c r="I494" s="140"/>
      <c r="J494" s="138"/>
      <c r="K494" s="138"/>
      <c r="L494" s="138"/>
      <c r="M494" s="138"/>
      <c r="N494" s="138"/>
      <c r="O494" s="138"/>
      <c r="P494" s="138"/>
      <c r="Q494" s="138"/>
      <c r="R494" s="138"/>
      <c r="S494" s="4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  <c r="AE494" s="138"/>
      <c r="AF494" s="138"/>
    </row>
    <row r="495">
      <c r="A495" s="209"/>
      <c r="B495" s="202"/>
      <c r="C495" s="202"/>
      <c r="D495" s="138"/>
      <c r="E495" s="138"/>
      <c r="F495" s="138"/>
      <c r="G495" s="139"/>
      <c r="H495" s="140"/>
      <c r="I495" s="140"/>
      <c r="J495" s="138"/>
      <c r="K495" s="138"/>
      <c r="L495" s="138"/>
      <c r="M495" s="138"/>
      <c r="N495" s="138"/>
      <c r="O495" s="138"/>
      <c r="P495" s="138"/>
      <c r="Q495" s="138"/>
      <c r="R495" s="138"/>
      <c r="S495" s="4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  <c r="AE495" s="138"/>
      <c r="AF495" s="138"/>
    </row>
    <row r="496">
      <c r="A496" s="209"/>
      <c r="B496" s="202"/>
      <c r="C496" s="202"/>
      <c r="D496" s="138"/>
      <c r="E496" s="138"/>
      <c r="F496" s="138"/>
      <c r="G496" s="139"/>
      <c r="H496" s="140"/>
      <c r="I496" s="140"/>
      <c r="J496" s="138"/>
      <c r="K496" s="138"/>
      <c r="L496" s="138"/>
      <c r="M496" s="138"/>
      <c r="N496" s="138"/>
      <c r="O496" s="138"/>
      <c r="P496" s="138"/>
      <c r="Q496" s="138"/>
      <c r="R496" s="138"/>
      <c r="S496" s="4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  <c r="AE496" s="138"/>
      <c r="AF496" s="138"/>
    </row>
    <row r="497">
      <c r="A497" s="209"/>
      <c r="B497" s="202"/>
      <c r="C497" s="202"/>
      <c r="D497" s="138"/>
      <c r="E497" s="138"/>
      <c r="F497" s="138"/>
      <c r="G497" s="139"/>
      <c r="H497" s="140"/>
      <c r="I497" s="140"/>
      <c r="J497" s="138"/>
      <c r="K497" s="138"/>
      <c r="L497" s="138"/>
      <c r="M497" s="138"/>
      <c r="N497" s="138"/>
      <c r="O497" s="138"/>
      <c r="P497" s="138"/>
      <c r="Q497" s="138"/>
      <c r="R497" s="138"/>
      <c r="S497" s="4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  <c r="AE497" s="138"/>
      <c r="AF497" s="138"/>
    </row>
    <row r="498">
      <c r="A498" s="209"/>
      <c r="B498" s="202"/>
      <c r="C498" s="202"/>
      <c r="D498" s="138"/>
      <c r="E498" s="138"/>
      <c r="F498" s="138"/>
      <c r="G498" s="139"/>
      <c r="H498" s="140"/>
      <c r="I498" s="140"/>
      <c r="J498" s="138"/>
      <c r="K498" s="138"/>
      <c r="L498" s="138"/>
      <c r="M498" s="138"/>
      <c r="N498" s="138"/>
      <c r="O498" s="138"/>
      <c r="P498" s="138"/>
      <c r="Q498" s="138"/>
      <c r="R498" s="138"/>
      <c r="S498" s="4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  <c r="AE498" s="138"/>
      <c r="AF498" s="138"/>
    </row>
    <row r="499">
      <c r="A499" s="209"/>
      <c r="B499" s="202"/>
      <c r="C499" s="202"/>
      <c r="D499" s="138"/>
      <c r="E499" s="138"/>
      <c r="F499" s="138"/>
      <c r="G499" s="139"/>
      <c r="H499" s="140"/>
      <c r="I499" s="140"/>
      <c r="J499" s="138"/>
      <c r="K499" s="138"/>
      <c r="L499" s="138"/>
      <c r="M499" s="138"/>
      <c r="N499" s="138"/>
      <c r="O499" s="138"/>
      <c r="P499" s="138"/>
      <c r="Q499" s="138"/>
      <c r="R499" s="138"/>
      <c r="S499" s="4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  <c r="AD499" s="138"/>
      <c r="AE499" s="138"/>
      <c r="AF499" s="138"/>
    </row>
    <row r="500">
      <c r="A500" s="209"/>
      <c r="B500" s="202"/>
      <c r="C500" s="202"/>
      <c r="D500" s="138"/>
      <c r="E500" s="138"/>
      <c r="F500" s="138"/>
      <c r="G500" s="139"/>
      <c r="H500" s="140"/>
      <c r="I500" s="140"/>
      <c r="J500" s="138"/>
      <c r="K500" s="138"/>
      <c r="L500" s="138"/>
      <c r="M500" s="138"/>
      <c r="N500" s="138"/>
      <c r="O500" s="138"/>
      <c r="P500" s="138"/>
      <c r="Q500" s="138"/>
      <c r="R500" s="138"/>
      <c r="S500" s="4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  <c r="AE500" s="138"/>
      <c r="AF500" s="138"/>
    </row>
    <row r="501">
      <c r="A501" s="209"/>
      <c r="B501" s="202"/>
      <c r="C501" s="202"/>
      <c r="D501" s="138"/>
      <c r="E501" s="138"/>
      <c r="F501" s="138"/>
      <c r="G501" s="139"/>
      <c r="H501" s="140"/>
      <c r="I501" s="140"/>
      <c r="J501" s="138"/>
      <c r="K501" s="138"/>
      <c r="L501" s="138"/>
      <c r="M501" s="138"/>
      <c r="N501" s="138"/>
      <c r="O501" s="138"/>
      <c r="P501" s="138"/>
      <c r="Q501" s="138"/>
      <c r="R501" s="138"/>
      <c r="S501" s="4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  <c r="AE501" s="138"/>
      <c r="AF501" s="138"/>
    </row>
    <row r="502">
      <c r="A502" s="209"/>
      <c r="B502" s="202"/>
      <c r="C502" s="202"/>
      <c r="D502" s="138"/>
      <c r="E502" s="138"/>
      <c r="F502" s="138"/>
      <c r="G502" s="139"/>
      <c r="H502" s="140"/>
      <c r="I502" s="140"/>
      <c r="J502" s="138"/>
      <c r="K502" s="138"/>
      <c r="L502" s="138"/>
      <c r="M502" s="138"/>
      <c r="N502" s="138"/>
      <c r="O502" s="138"/>
      <c r="P502" s="138"/>
      <c r="Q502" s="138"/>
      <c r="R502" s="138"/>
      <c r="S502" s="4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  <c r="AE502" s="138"/>
      <c r="AF502" s="138"/>
    </row>
    <row r="503">
      <c r="A503" s="209"/>
      <c r="B503" s="202"/>
      <c r="C503" s="202"/>
      <c r="D503" s="138"/>
      <c r="E503" s="138"/>
      <c r="F503" s="138"/>
      <c r="G503" s="139"/>
      <c r="H503" s="140"/>
      <c r="I503" s="140"/>
      <c r="J503" s="138"/>
      <c r="K503" s="138"/>
      <c r="L503" s="138"/>
      <c r="M503" s="138"/>
      <c r="N503" s="138"/>
      <c r="O503" s="138"/>
      <c r="P503" s="138"/>
      <c r="Q503" s="138"/>
      <c r="R503" s="138"/>
      <c r="S503" s="4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  <c r="AE503" s="138"/>
      <c r="AF503" s="138"/>
    </row>
    <row r="504">
      <c r="A504" s="209"/>
      <c r="B504" s="202"/>
      <c r="C504" s="202"/>
      <c r="D504" s="138"/>
      <c r="E504" s="138"/>
      <c r="F504" s="138"/>
      <c r="G504" s="139"/>
      <c r="H504" s="140"/>
      <c r="I504" s="140"/>
      <c r="J504" s="138"/>
      <c r="K504" s="138"/>
      <c r="L504" s="138"/>
      <c r="M504" s="138"/>
      <c r="N504" s="138"/>
      <c r="O504" s="138"/>
      <c r="P504" s="138"/>
      <c r="Q504" s="138"/>
      <c r="R504" s="138"/>
      <c r="S504" s="4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/>
      <c r="AE504" s="138"/>
      <c r="AF504" s="138"/>
    </row>
    <row r="505">
      <c r="A505" s="209"/>
      <c r="B505" s="202"/>
      <c r="C505" s="202"/>
      <c r="D505" s="138"/>
      <c r="E505" s="138"/>
      <c r="F505" s="138"/>
      <c r="G505" s="139"/>
      <c r="H505" s="140"/>
      <c r="I505" s="140"/>
      <c r="J505" s="138"/>
      <c r="K505" s="138"/>
      <c r="L505" s="138"/>
      <c r="M505" s="138"/>
      <c r="N505" s="138"/>
      <c r="O505" s="138"/>
      <c r="P505" s="138"/>
      <c r="Q505" s="138"/>
      <c r="R505" s="138"/>
      <c r="S505" s="4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  <c r="AE505" s="138"/>
      <c r="AF505" s="138"/>
    </row>
    <row r="506">
      <c r="A506" s="209"/>
      <c r="B506" s="202"/>
      <c r="C506" s="202"/>
      <c r="D506" s="138"/>
      <c r="E506" s="138"/>
      <c r="F506" s="138"/>
      <c r="G506" s="139"/>
      <c r="H506" s="140"/>
      <c r="I506" s="140"/>
      <c r="J506" s="138"/>
      <c r="K506" s="138"/>
      <c r="L506" s="138"/>
      <c r="M506" s="138"/>
      <c r="N506" s="138"/>
      <c r="O506" s="138"/>
      <c r="P506" s="138"/>
      <c r="Q506" s="138"/>
      <c r="R506" s="138"/>
      <c r="S506" s="4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  <c r="AE506" s="138"/>
      <c r="AF506" s="138"/>
    </row>
    <row r="507">
      <c r="A507" s="209"/>
      <c r="B507" s="202"/>
      <c r="C507" s="202"/>
      <c r="D507" s="138"/>
      <c r="E507" s="138"/>
      <c r="F507" s="138"/>
      <c r="G507" s="139"/>
      <c r="H507" s="140"/>
      <c r="I507" s="140"/>
      <c r="J507" s="138"/>
      <c r="K507" s="138"/>
      <c r="L507" s="138"/>
      <c r="M507" s="138"/>
      <c r="N507" s="138"/>
      <c r="O507" s="138"/>
      <c r="P507" s="138"/>
      <c r="Q507" s="138"/>
      <c r="R507" s="138"/>
      <c r="S507" s="4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  <c r="AE507" s="138"/>
      <c r="AF507" s="138"/>
    </row>
    <row r="508">
      <c r="A508" s="209"/>
      <c r="B508" s="202"/>
      <c r="C508" s="202"/>
      <c r="D508" s="138"/>
      <c r="E508" s="138"/>
      <c r="F508" s="138"/>
      <c r="G508" s="139"/>
      <c r="H508" s="140"/>
      <c r="I508" s="140"/>
      <c r="J508" s="138"/>
      <c r="K508" s="138"/>
      <c r="L508" s="138"/>
      <c r="M508" s="138"/>
      <c r="N508" s="138"/>
      <c r="O508" s="138"/>
      <c r="P508" s="138"/>
      <c r="Q508" s="138"/>
      <c r="R508" s="138"/>
      <c r="S508" s="4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  <c r="AE508" s="138"/>
      <c r="AF508" s="138"/>
    </row>
    <row r="509">
      <c r="A509" s="209"/>
      <c r="B509" s="202"/>
      <c r="C509" s="202"/>
      <c r="D509" s="138"/>
      <c r="E509" s="138"/>
      <c r="F509" s="138"/>
      <c r="G509" s="139"/>
      <c r="H509" s="140"/>
      <c r="I509" s="140"/>
      <c r="J509" s="138"/>
      <c r="K509" s="138"/>
      <c r="L509" s="138"/>
      <c r="M509" s="138"/>
      <c r="N509" s="138"/>
      <c r="O509" s="138"/>
      <c r="P509" s="138"/>
      <c r="Q509" s="138"/>
      <c r="R509" s="138"/>
      <c r="S509" s="4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  <c r="AE509" s="138"/>
      <c r="AF509" s="138"/>
    </row>
    <row r="510">
      <c r="A510" s="209"/>
      <c r="B510" s="202"/>
      <c r="C510" s="202"/>
      <c r="D510" s="138"/>
      <c r="E510" s="138"/>
      <c r="F510" s="138"/>
      <c r="G510" s="139"/>
      <c r="H510" s="140"/>
      <c r="I510" s="140"/>
      <c r="J510" s="138"/>
      <c r="K510" s="138"/>
      <c r="L510" s="138"/>
      <c r="M510" s="138"/>
      <c r="N510" s="138"/>
      <c r="O510" s="138"/>
      <c r="P510" s="138"/>
      <c r="Q510" s="138"/>
      <c r="R510" s="138"/>
      <c r="S510" s="4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  <c r="AE510" s="138"/>
      <c r="AF510" s="138"/>
    </row>
    <row r="511">
      <c r="A511" s="209"/>
      <c r="B511" s="202"/>
      <c r="C511" s="202"/>
      <c r="D511" s="138"/>
      <c r="E511" s="138"/>
      <c r="F511" s="138"/>
      <c r="G511" s="139"/>
      <c r="H511" s="140"/>
      <c r="I511" s="140"/>
      <c r="J511" s="138"/>
      <c r="K511" s="138"/>
      <c r="L511" s="138"/>
      <c r="M511" s="138"/>
      <c r="N511" s="138"/>
      <c r="O511" s="138"/>
      <c r="P511" s="138"/>
      <c r="Q511" s="138"/>
      <c r="R511" s="138"/>
      <c r="S511" s="4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  <c r="AD511" s="138"/>
      <c r="AE511" s="138"/>
      <c r="AF511" s="138"/>
    </row>
    <row r="512">
      <c r="A512" s="209"/>
      <c r="B512" s="202"/>
      <c r="C512" s="202"/>
      <c r="D512" s="138"/>
      <c r="E512" s="138"/>
      <c r="F512" s="138"/>
      <c r="G512" s="139"/>
      <c r="H512" s="140"/>
      <c r="I512" s="140"/>
      <c r="J512" s="138"/>
      <c r="K512" s="138"/>
      <c r="L512" s="138"/>
      <c r="M512" s="138"/>
      <c r="N512" s="138"/>
      <c r="O512" s="138"/>
      <c r="P512" s="138"/>
      <c r="Q512" s="138"/>
      <c r="R512" s="138"/>
      <c r="S512" s="4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  <c r="AE512" s="138"/>
      <c r="AF512" s="138"/>
    </row>
    <row r="513">
      <c r="A513" s="209"/>
      <c r="B513" s="202"/>
      <c r="C513" s="202"/>
      <c r="D513" s="138"/>
      <c r="E513" s="138"/>
      <c r="F513" s="138"/>
      <c r="G513" s="139"/>
      <c r="H513" s="140"/>
      <c r="I513" s="140"/>
      <c r="J513" s="138"/>
      <c r="K513" s="138"/>
      <c r="L513" s="138"/>
      <c r="M513" s="138"/>
      <c r="N513" s="138"/>
      <c r="O513" s="138"/>
      <c r="P513" s="138"/>
      <c r="Q513" s="138"/>
      <c r="R513" s="138"/>
      <c r="S513" s="4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  <c r="AE513" s="138"/>
      <c r="AF513" s="138"/>
    </row>
    <row r="514">
      <c r="A514" s="209"/>
      <c r="B514" s="202"/>
      <c r="C514" s="202"/>
      <c r="D514" s="138"/>
      <c r="E514" s="138"/>
      <c r="F514" s="138"/>
      <c r="G514" s="139"/>
      <c r="H514" s="140"/>
      <c r="I514" s="140"/>
      <c r="J514" s="138"/>
      <c r="K514" s="138"/>
      <c r="L514" s="138"/>
      <c r="M514" s="138"/>
      <c r="N514" s="138"/>
      <c r="O514" s="138"/>
      <c r="P514" s="138"/>
      <c r="Q514" s="138"/>
      <c r="R514" s="138"/>
      <c r="S514" s="4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  <c r="AE514" s="138"/>
      <c r="AF514" s="138"/>
    </row>
    <row r="515">
      <c r="A515" s="209"/>
      <c r="B515" s="202"/>
      <c r="C515" s="202"/>
      <c r="D515" s="138"/>
      <c r="E515" s="138"/>
      <c r="F515" s="138"/>
      <c r="G515" s="139"/>
      <c r="H515" s="140"/>
      <c r="I515" s="140"/>
      <c r="J515" s="138"/>
      <c r="K515" s="138"/>
      <c r="L515" s="138"/>
      <c r="M515" s="138"/>
      <c r="N515" s="138"/>
      <c r="O515" s="138"/>
      <c r="P515" s="138"/>
      <c r="Q515" s="138"/>
      <c r="R515" s="138"/>
      <c r="S515" s="4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  <c r="AD515" s="138"/>
      <c r="AE515" s="138"/>
      <c r="AF515" s="138"/>
    </row>
    <row r="516">
      <c r="A516" s="209"/>
      <c r="B516" s="202"/>
      <c r="C516" s="202"/>
      <c r="D516" s="138"/>
      <c r="E516" s="138"/>
      <c r="F516" s="138"/>
      <c r="G516" s="139"/>
      <c r="H516" s="140"/>
      <c r="I516" s="140"/>
      <c r="J516" s="138"/>
      <c r="K516" s="138"/>
      <c r="L516" s="138"/>
      <c r="M516" s="138"/>
      <c r="N516" s="138"/>
      <c r="O516" s="138"/>
      <c r="P516" s="138"/>
      <c r="Q516" s="138"/>
      <c r="R516" s="138"/>
      <c r="S516" s="4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  <c r="AE516" s="138"/>
      <c r="AF516" s="138"/>
    </row>
    <row r="517">
      <c r="A517" s="209"/>
      <c r="B517" s="202"/>
      <c r="C517" s="202"/>
      <c r="D517" s="138"/>
      <c r="E517" s="138"/>
      <c r="F517" s="138"/>
      <c r="G517" s="139"/>
      <c r="H517" s="140"/>
      <c r="I517" s="140"/>
      <c r="J517" s="138"/>
      <c r="K517" s="138"/>
      <c r="L517" s="138"/>
      <c r="M517" s="138"/>
      <c r="N517" s="138"/>
      <c r="O517" s="138"/>
      <c r="P517" s="138"/>
      <c r="Q517" s="138"/>
      <c r="R517" s="138"/>
      <c r="S517" s="4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  <c r="AD517" s="138"/>
      <c r="AE517" s="138"/>
      <c r="AF517" s="138"/>
    </row>
    <row r="518">
      <c r="A518" s="209"/>
      <c r="B518" s="202"/>
      <c r="C518" s="202"/>
      <c r="D518" s="138"/>
      <c r="E518" s="138"/>
      <c r="F518" s="138"/>
      <c r="G518" s="139"/>
      <c r="H518" s="140"/>
      <c r="I518" s="140"/>
      <c r="J518" s="138"/>
      <c r="K518" s="138"/>
      <c r="L518" s="138"/>
      <c r="M518" s="138"/>
      <c r="N518" s="138"/>
      <c r="O518" s="138"/>
      <c r="P518" s="138"/>
      <c r="Q518" s="138"/>
      <c r="R518" s="138"/>
      <c r="S518" s="4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  <c r="AE518" s="138"/>
      <c r="AF518" s="138"/>
    </row>
    <row r="519">
      <c r="A519" s="209"/>
      <c r="B519" s="202"/>
      <c r="C519" s="202"/>
      <c r="D519" s="138"/>
      <c r="E519" s="138"/>
      <c r="F519" s="138"/>
      <c r="G519" s="139"/>
      <c r="H519" s="140"/>
      <c r="I519" s="140"/>
      <c r="J519" s="138"/>
      <c r="K519" s="138"/>
      <c r="L519" s="138"/>
      <c r="M519" s="138"/>
      <c r="N519" s="138"/>
      <c r="O519" s="138"/>
      <c r="P519" s="138"/>
      <c r="Q519" s="138"/>
      <c r="R519" s="138"/>
      <c r="S519" s="4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  <c r="AD519" s="138"/>
      <c r="AE519" s="138"/>
      <c r="AF519" s="138"/>
    </row>
    <row r="520">
      <c r="A520" s="209"/>
      <c r="B520" s="202"/>
      <c r="C520" s="202"/>
      <c r="D520" s="138"/>
      <c r="E520" s="138"/>
      <c r="F520" s="138"/>
      <c r="G520" s="139"/>
      <c r="H520" s="140"/>
      <c r="I520" s="140"/>
      <c r="J520" s="138"/>
      <c r="K520" s="138"/>
      <c r="L520" s="138"/>
      <c r="M520" s="138"/>
      <c r="N520" s="138"/>
      <c r="O520" s="138"/>
      <c r="P520" s="138"/>
      <c r="Q520" s="138"/>
      <c r="R520" s="138"/>
      <c r="S520" s="4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  <c r="AE520" s="138"/>
      <c r="AF520" s="138"/>
    </row>
    <row r="521">
      <c r="A521" s="209"/>
      <c r="B521" s="202"/>
      <c r="C521" s="202"/>
      <c r="D521" s="138"/>
      <c r="E521" s="138"/>
      <c r="F521" s="138"/>
      <c r="G521" s="139"/>
      <c r="H521" s="140"/>
      <c r="I521" s="140"/>
      <c r="J521" s="138"/>
      <c r="K521" s="138"/>
      <c r="L521" s="138"/>
      <c r="M521" s="138"/>
      <c r="N521" s="138"/>
      <c r="O521" s="138"/>
      <c r="P521" s="138"/>
      <c r="Q521" s="138"/>
      <c r="R521" s="138"/>
      <c r="S521" s="4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  <c r="AD521" s="138"/>
      <c r="AE521" s="138"/>
      <c r="AF521" s="138"/>
    </row>
    <row r="522">
      <c r="A522" s="209"/>
      <c r="B522" s="202"/>
      <c r="C522" s="202"/>
      <c r="D522" s="138"/>
      <c r="E522" s="138"/>
      <c r="F522" s="138"/>
      <c r="G522" s="139"/>
      <c r="H522" s="140"/>
      <c r="I522" s="140"/>
      <c r="J522" s="138"/>
      <c r="K522" s="138"/>
      <c r="L522" s="138"/>
      <c r="M522" s="138"/>
      <c r="N522" s="138"/>
      <c r="O522" s="138"/>
      <c r="P522" s="138"/>
      <c r="Q522" s="138"/>
      <c r="R522" s="138"/>
      <c r="S522" s="4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  <c r="AD522" s="138"/>
      <c r="AE522" s="138"/>
      <c r="AF522" s="138"/>
    </row>
    <row r="523">
      <c r="A523" s="209"/>
      <c r="B523" s="202"/>
      <c r="C523" s="202"/>
      <c r="D523" s="138"/>
      <c r="E523" s="138"/>
      <c r="F523" s="138"/>
      <c r="G523" s="139"/>
      <c r="H523" s="140"/>
      <c r="I523" s="140"/>
      <c r="J523" s="138"/>
      <c r="K523" s="138"/>
      <c r="L523" s="138"/>
      <c r="M523" s="138"/>
      <c r="N523" s="138"/>
      <c r="O523" s="138"/>
      <c r="P523" s="138"/>
      <c r="Q523" s="138"/>
      <c r="R523" s="138"/>
      <c r="S523" s="4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  <c r="AE523" s="138"/>
      <c r="AF523" s="138"/>
    </row>
    <row r="524">
      <c r="A524" s="209"/>
      <c r="B524" s="202"/>
      <c r="C524" s="202"/>
      <c r="D524" s="138"/>
      <c r="E524" s="138"/>
      <c r="F524" s="138"/>
      <c r="G524" s="139"/>
      <c r="H524" s="140"/>
      <c r="I524" s="140"/>
      <c r="J524" s="138"/>
      <c r="K524" s="138"/>
      <c r="L524" s="138"/>
      <c r="M524" s="138"/>
      <c r="N524" s="138"/>
      <c r="O524" s="138"/>
      <c r="P524" s="138"/>
      <c r="Q524" s="138"/>
      <c r="R524" s="138"/>
      <c r="S524" s="4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  <c r="AE524" s="138"/>
      <c r="AF524" s="138"/>
    </row>
    <row r="525">
      <c r="A525" s="209"/>
      <c r="B525" s="202"/>
      <c r="C525" s="202"/>
      <c r="D525" s="138"/>
      <c r="E525" s="138"/>
      <c r="F525" s="138"/>
      <c r="G525" s="139"/>
      <c r="H525" s="140"/>
      <c r="I525" s="140"/>
      <c r="J525" s="138"/>
      <c r="K525" s="138"/>
      <c r="L525" s="138"/>
      <c r="M525" s="138"/>
      <c r="N525" s="138"/>
      <c r="O525" s="138"/>
      <c r="P525" s="138"/>
      <c r="Q525" s="138"/>
      <c r="R525" s="138"/>
      <c r="S525" s="4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  <c r="AD525" s="138"/>
      <c r="AE525" s="138"/>
      <c r="AF525" s="138"/>
    </row>
    <row r="526">
      <c r="A526" s="209"/>
      <c r="B526" s="202"/>
      <c r="C526" s="202"/>
      <c r="D526" s="138"/>
      <c r="E526" s="138"/>
      <c r="F526" s="138"/>
      <c r="G526" s="139"/>
      <c r="H526" s="140"/>
      <c r="I526" s="140"/>
      <c r="J526" s="138"/>
      <c r="K526" s="138"/>
      <c r="L526" s="138"/>
      <c r="M526" s="138"/>
      <c r="N526" s="138"/>
      <c r="O526" s="138"/>
      <c r="P526" s="138"/>
      <c r="Q526" s="138"/>
      <c r="R526" s="138"/>
      <c r="S526" s="4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  <c r="AE526" s="138"/>
      <c r="AF526" s="138"/>
    </row>
    <row r="527">
      <c r="A527" s="209"/>
      <c r="B527" s="202"/>
      <c r="C527" s="202"/>
      <c r="D527" s="138"/>
      <c r="E527" s="138"/>
      <c r="F527" s="138"/>
      <c r="G527" s="139"/>
      <c r="H527" s="140"/>
      <c r="I527" s="140"/>
      <c r="J527" s="138"/>
      <c r="K527" s="138"/>
      <c r="L527" s="138"/>
      <c r="M527" s="138"/>
      <c r="N527" s="138"/>
      <c r="O527" s="138"/>
      <c r="P527" s="138"/>
      <c r="Q527" s="138"/>
      <c r="R527" s="138"/>
      <c r="S527" s="4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  <c r="AE527" s="138"/>
      <c r="AF527" s="138"/>
    </row>
    <row r="528">
      <c r="A528" s="209"/>
      <c r="B528" s="202"/>
      <c r="C528" s="202"/>
      <c r="D528" s="138"/>
      <c r="E528" s="138"/>
      <c r="F528" s="138"/>
      <c r="G528" s="139"/>
      <c r="H528" s="140"/>
      <c r="I528" s="140"/>
      <c r="J528" s="138"/>
      <c r="K528" s="138"/>
      <c r="L528" s="138"/>
      <c r="M528" s="138"/>
      <c r="N528" s="138"/>
      <c r="O528" s="138"/>
      <c r="P528" s="138"/>
      <c r="Q528" s="138"/>
      <c r="R528" s="138"/>
      <c r="S528" s="4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  <c r="AE528" s="138"/>
      <c r="AF528" s="138"/>
    </row>
    <row r="529">
      <c r="A529" s="209"/>
      <c r="B529" s="202"/>
      <c r="C529" s="202"/>
      <c r="D529" s="138"/>
      <c r="E529" s="138"/>
      <c r="F529" s="138"/>
      <c r="G529" s="139"/>
      <c r="H529" s="140"/>
      <c r="I529" s="140"/>
      <c r="J529" s="138"/>
      <c r="K529" s="138"/>
      <c r="L529" s="138"/>
      <c r="M529" s="138"/>
      <c r="N529" s="138"/>
      <c r="O529" s="138"/>
      <c r="P529" s="138"/>
      <c r="Q529" s="138"/>
      <c r="R529" s="138"/>
      <c r="S529" s="4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  <c r="AD529" s="138"/>
      <c r="AE529" s="138"/>
      <c r="AF529" s="138"/>
    </row>
    <row r="530">
      <c r="A530" s="209"/>
      <c r="B530" s="202"/>
      <c r="C530" s="202"/>
      <c r="D530" s="138"/>
      <c r="E530" s="138"/>
      <c r="F530" s="138"/>
      <c r="G530" s="139"/>
      <c r="H530" s="140"/>
      <c r="I530" s="140"/>
      <c r="J530" s="138"/>
      <c r="K530" s="138"/>
      <c r="L530" s="138"/>
      <c r="M530" s="138"/>
      <c r="N530" s="138"/>
      <c r="O530" s="138"/>
      <c r="P530" s="138"/>
      <c r="Q530" s="138"/>
      <c r="R530" s="138"/>
      <c r="S530" s="4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/>
      <c r="AE530" s="138"/>
      <c r="AF530" s="138"/>
    </row>
    <row r="531">
      <c r="A531" s="209"/>
      <c r="B531" s="202"/>
      <c r="C531" s="202"/>
      <c r="D531" s="138"/>
      <c r="E531" s="138"/>
      <c r="F531" s="138"/>
      <c r="G531" s="139"/>
      <c r="H531" s="140"/>
      <c r="I531" s="140"/>
      <c r="J531" s="138"/>
      <c r="K531" s="138"/>
      <c r="L531" s="138"/>
      <c r="M531" s="138"/>
      <c r="N531" s="138"/>
      <c r="O531" s="138"/>
      <c r="P531" s="138"/>
      <c r="Q531" s="138"/>
      <c r="R531" s="138"/>
      <c r="S531" s="4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  <c r="AE531" s="138"/>
      <c r="AF531" s="138"/>
    </row>
    <row r="532">
      <c r="A532" s="209"/>
      <c r="B532" s="202"/>
      <c r="C532" s="202"/>
      <c r="D532" s="138"/>
      <c r="E532" s="138"/>
      <c r="F532" s="138"/>
      <c r="G532" s="139"/>
      <c r="H532" s="140"/>
      <c r="I532" s="140"/>
      <c r="J532" s="138"/>
      <c r="K532" s="138"/>
      <c r="L532" s="138"/>
      <c r="M532" s="138"/>
      <c r="N532" s="138"/>
      <c r="O532" s="138"/>
      <c r="P532" s="138"/>
      <c r="Q532" s="138"/>
      <c r="R532" s="138"/>
      <c r="S532" s="4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  <c r="AE532" s="138"/>
      <c r="AF532" s="138"/>
    </row>
    <row r="533">
      <c r="A533" s="209"/>
      <c r="B533" s="202"/>
      <c r="C533" s="202"/>
      <c r="D533" s="138"/>
      <c r="E533" s="138"/>
      <c r="F533" s="138"/>
      <c r="G533" s="139"/>
      <c r="H533" s="140"/>
      <c r="I533" s="140"/>
      <c r="J533" s="138"/>
      <c r="K533" s="138"/>
      <c r="L533" s="138"/>
      <c r="M533" s="138"/>
      <c r="N533" s="138"/>
      <c r="O533" s="138"/>
      <c r="P533" s="138"/>
      <c r="Q533" s="138"/>
      <c r="R533" s="138"/>
      <c r="S533" s="4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  <c r="AD533" s="138"/>
      <c r="AE533" s="138"/>
      <c r="AF533" s="138"/>
    </row>
    <row r="534">
      <c r="A534" s="209"/>
      <c r="B534" s="202"/>
      <c r="C534" s="202"/>
      <c r="D534" s="138"/>
      <c r="E534" s="138"/>
      <c r="F534" s="138"/>
      <c r="G534" s="139"/>
      <c r="H534" s="140"/>
      <c r="I534" s="140"/>
      <c r="J534" s="138"/>
      <c r="K534" s="138"/>
      <c r="L534" s="138"/>
      <c r="M534" s="138"/>
      <c r="N534" s="138"/>
      <c r="O534" s="138"/>
      <c r="P534" s="138"/>
      <c r="Q534" s="138"/>
      <c r="R534" s="138"/>
      <c r="S534" s="4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  <c r="AE534" s="138"/>
      <c r="AF534" s="138"/>
    </row>
    <row r="535">
      <c r="A535" s="209"/>
      <c r="B535" s="202"/>
      <c r="C535" s="202"/>
      <c r="D535" s="138"/>
      <c r="E535" s="138"/>
      <c r="F535" s="138"/>
      <c r="G535" s="139"/>
      <c r="H535" s="140"/>
      <c r="I535" s="140"/>
      <c r="J535" s="138"/>
      <c r="K535" s="138"/>
      <c r="L535" s="138"/>
      <c r="M535" s="138"/>
      <c r="N535" s="138"/>
      <c r="O535" s="138"/>
      <c r="P535" s="138"/>
      <c r="Q535" s="138"/>
      <c r="R535" s="138"/>
      <c r="S535" s="4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  <c r="AE535" s="138"/>
      <c r="AF535" s="138"/>
    </row>
    <row r="536">
      <c r="A536" s="209"/>
      <c r="B536" s="202"/>
      <c r="C536" s="202"/>
      <c r="D536" s="138"/>
      <c r="E536" s="138"/>
      <c r="F536" s="138"/>
      <c r="G536" s="139"/>
      <c r="H536" s="140"/>
      <c r="I536" s="140"/>
      <c r="J536" s="138"/>
      <c r="K536" s="138"/>
      <c r="L536" s="138"/>
      <c r="M536" s="138"/>
      <c r="N536" s="138"/>
      <c r="O536" s="138"/>
      <c r="P536" s="138"/>
      <c r="Q536" s="138"/>
      <c r="R536" s="138"/>
      <c r="S536" s="4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  <c r="AE536" s="138"/>
      <c r="AF536" s="138"/>
    </row>
    <row r="537">
      <c r="A537" s="209"/>
      <c r="B537" s="202"/>
      <c r="C537" s="202"/>
      <c r="D537" s="138"/>
      <c r="E537" s="138"/>
      <c r="F537" s="138"/>
      <c r="G537" s="139"/>
      <c r="H537" s="140"/>
      <c r="I537" s="140"/>
      <c r="J537" s="138"/>
      <c r="K537" s="138"/>
      <c r="L537" s="138"/>
      <c r="M537" s="138"/>
      <c r="N537" s="138"/>
      <c r="O537" s="138"/>
      <c r="P537" s="138"/>
      <c r="Q537" s="138"/>
      <c r="R537" s="138"/>
      <c r="S537" s="4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  <c r="AD537" s="138"/>
      <c r="AE537" s="138"/>
      <c r="AF537" s="138"/>
    </row>
    <row r="538">
      <c r="A538" s="209"/>
      <c r="B538" s="202"/>
      <c r="C538" s="202"/>
      <c r="D538" s="138"/>
      <c r="E538" s="138"/>
      <c r="F538" s="138"/>
      <c r="G538" s="139"/>
      <c r="H538" s="140"/>
      <c r="I538" s="140"/>
      <c r="J538" s="138"/>
      <c r="K538" s="138"/>
      <c r="L538" s="138"/>
      <c r="M538" s="138"/>
      <c r="N538" s="138"/>
      <c r="O538" s="138"/>
      <c r="P538" s="138"/>
      <c r="Q538" s="138"/>
      <c r="R538" s="138"/>
      <c r="S538" s="4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  <c r="AE538" s="138"/>
      <c r="AF538" s="138"/>
    </row>
    <row r="539">
      <c r="A539" s="209"/>
      <c r="B539" s="202"/>
      <c r="C539" s="202"/>
      <c r="D539" s="138"/>
      <c r="E539" s="138"/>
      <c r="F539" s="138"/>
      <c r="G539" s="139"/>
      <c r="H539" s="140"/>
      <c r="I539" s="140"/>
      <c r="J539" s="138"/>
      <c r="K539" s="138"/>
      <c r="L539" s="138"/>
      <c r="M539" s="138"/>
      <c r="N539" s="138"/>
      <c r="O539" s="138"/>
      <c r="P539" s="138"/>
      <c r="Q539" s="138"/>
      <c r="R539" s="138"/>
      <c r="S539" s="4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  <c r="AD539" s="138"/>
      <c r="AE539" s="138"/>
      <c r="AF539" s="138"/>
    </row>
    <row r="540">
      <c r="A540" s="209"/>
      <c r="B540" s="202"/>
      <c r="C540" s="202"/>
      <c r="D540" s="138"/>
      <c r="E540" s="138"/>
      <c r="F540" s="138"/>
      <c r="G540" s="139"/>
      <c r="H540" s="140"/>
      <c r="I540" s="140"/>
      <c r="J540" s="138"/>
      <c r="K540" s="138"/>
      <c r="L540" s="138"/>
      <c r="M540" s="138"/>
      <c r="N540" s="138"/>
      <c r="O540" s="138"/>
      <c r="P540" s="138"/>
      <c r="Q540" s="138"/>
      <c r="R540" s="138"/>
      <c r="S540" s="4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  <c r="AD540" s="138"/>
      <c r="AE540" s="138"/>
      <c r="AF540" s="138"/>
    </row>
    <row r="541">
      <c r="A541" s="209"/>
      <c r="B541" s="202"/>
      <c r="C541" s="202"/>
      <c r="D541" s="138"/>
      <c r="E541" s="138"/>
      <c r="F541" s="138"/>
      <c r="G541" s="139"/>
      <c r="H541" s="140"/>
      <c r="I541" s="140"/>
      <c r="J541" s="138"/>
      <c r="K541" s="138"/>
      <c r="L541" s="138"/>
      <c r="M541" s="138"/>
      <c r="N541" s="138"/>
      <c r="O541" s="138"/>
      <c r="P541" s="138"/>
      <c r="Q541" s="138"/>
      <c r="R541" s="138"/>
      <c r="S541" s="4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  <c r="AD541" s="138"/>
      <c r="AE541" s="138"/>
      <c r="AF541" s="138"/>
    </row>
    <row r="542">
      <c r="A542" s="209"/>
      <c r="B542" s="202"/>
      <c r="C542" s="202"/>
      <c r="D542" s="138"/>
      <c r="E542" s="138"/>
      <c r="F542" s="138"/>
      <c r="G542" s="139"/>
      <c r="H542" s="140"/>
      <c r="I542" s="140"/>
      <c r="J542" s="138"/>
      <c r="K542" s="138"/>
      <c r="L542" s="138"/>
      <c r="M542" s="138"/>
      <c r="N542" s="138"/>
      <c r="O542" s="138"/>
      <c r="P542" s="138"/>
      <c r="Q542" s="138"/>
      <c r="R542" s="138"/>
      <c r="S542" s="4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  <c r="AE542" s="138"/>
      <c r="AF542" s="138"/>
    </row>
    <row r="543">
      <c r="A543" s="209"/>
      <c r="B543" s="202"/>
      <c r="C543" s="202"/>
      <c r="D543" s="138"/>
      <c r="E543" s="138"/>
      <c r="F543" s="138"/>
      <c r="G543" s="139"/>
      <c r="H543" s="140"/>
      <c r="I543" s="140"/>
      <c r="J543" s="138"/>
      <c r="K543" s="138"/>
      <c r="L543" s="138"/>
      <c r="M543" s="138"/>
      <c r="N543" s="138"/>
      <c r="O543" s="138"/>
      <c r="P543" s="138"/>
      <c r="Q543" s="138"/>
      <c r="R543" s="138"/>
      <c r="S543" s="4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  <c r="AE543" s="138"/>
      <c r="AF543" s="138"/>
    </row>
    <row r="544">
      <c r="A544" s="209"/>
      <c r="B544" s="202"/>
      <c r="C544" s="202"/>
      <c r="D544" s="138"/>
      <c r="E544" s="138"/>
      <c r="F544" s="138"/>
      <c r="G544" s="139"/>
      <c r="H544" s="140"/>
      <c r="I544" s="140"/>
      <c r="J544" s="138"/>
      <c r="K544" s="138"/>
      <c r="L544" s="138"/>
      <c r="M544" s="138"/>
      <c r="N544" s="138"/>
      <c r="O544" s="138"/>
      <c r="P544" s="138"/>
      <c r="Q544" s="138"/>
      <c r="R544" s="138"/>
      <c r="S544" s="4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8"/>
      <c r="AF544" s="138"/>
    </row>
    <row r="545">
      <c r="A545" s="209"/>
      <c r="B545" s="202"/>
      <c r="C545" s="202"/>
      <c r="D545" s="138"/>
      <c r="E545" s="138"/>
      <c r="F545" s="138"/>
      <c r="G545" s="139"/>
      <c r="H545" s="140"/>
      <c r="I545" s="140"/>
      <c r="J545" s="138"/>
      <c r="K545" s="138"/>
      <c r="L545" s="138"/>
      <c r="M545" s="138"/>
      <c r="N545" s="138"/>
      <c r="O545" s="138"/>
      <c r="P545" s="138"/>
      <c r="Q545" s="138"/>
      <c r="R545" s="138"/>
      <c r="S545" s="4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  <c r="AD545" s="138"/>
      <c r="AE545" s="138"/>
      <c r="AF545" s="138"/>
    </row>
    <row r="546">
      <c r="A546" s="209"/>
      <c r="B546" s="202"/>
      <c r="C546" s="202"/>
      <c r="D546" s="138"/>
      <c r="E546" s="138"/>
      <c r="F546" s="138"/>
      <c r="G546" s="139"/>
      <c r="H546" s="140"/>
      <c r="I546" s="140"/>
      <c r="J546" s="138"/>
      <c r="K546" s="138"/>
      <c r="L546" s="138"/>
      <c r="M546" s="138"/>
      <c r="N546" s="138"/>
      <c r="O546" s="138"/>
      <c r="P546" s="138"/>
      <c r="Q546" s="138"/>
      <c r="R546" s="138"/>
      <c r="S546" s="4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  <c r="AE546" s="138"/>
      <c r="AF546" s="138"/>
    </row>
    <row r="547">
      <c r="A547" s="209"/>
      <c r="B547" s="202"/>
      <c r="C547" s="202"/>
      <c r="D547" s="138"/>
      <c r="E547" s="138"/>
      <c r="F547" s="138"/>
      <c r="G547" s="139"/>
      <c r="H547" s="140"/>
      <c r="I547" s="140"/>
      <c r="J547" s="138"/>
      <c r="K547" s="138"/>
      <c r="L547" s="138"/>
      <c r="M547" s="138"/>
      <c r="N547" s="138"/>
      <c r="O547" s="138"/>
      <c r="P547" s="138"/>
      <c r="Q547" s="138"/>
      <c r="R547" s="138"/>
      <c r="S547" s="4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  <c r="AD547" s="138"/>
      <c r="AE547" s="138"/>
      <c r="AF547" s="138"/>
    </row>
    <row r="548">
      <c r="A548" s="209"/>
      <c r="B548" s="202"/>
      <c r="C548" s="202"/>
      <c r="D548" s="138"/>
      <c r="E548" s="138"/>
      <c r="F548" s="138"/>
      <c r="G548" s="139"/>
      <c r="H548" s="140"/>
      <c r="I548" s="140"/>
      <c r="J548" s="138"/>
      <c r="K548" s="138"/>
      <c r="L548" s="138"/>
      <c r="M548" s="138"/>
      <c r="N548" s="138"/>
      <c r="O548" s="138"/>
      <c r="P548" s="138"/>
      <c r="Q548" s="138"/>
      <c r="R548" s="138"/>
      <c r="S548" s="4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  <c r="AD548" s="138"/>
      <c r="AE548" s="138"/>
      <c r="AF548" s="138"/>
    </row>
    <row r="549">
      <c r="A549" s="209"/>
      <c r="B549" s="202"/>
      <c r="C549" s="202"/>
      <c r="D549" s="138"/>
      <c r="E549" s="138"/>
      <c r="F549" s="138"/>
      <c r="G549" s="139"/>
      <c r="H549" s="140"/>
      <c r="I549" s="140"/>
      <c r="J549" s="138"/>
      <c r="K549" s="138"/>
      <c r="L549" s="138"/>
      <c r="M549" s="138"/>
      <c r="N549" s="138"/>
      <c r="O549" s="138"/>
      <c r="P549" s="138"/>
      <c r="Q549" s="138"/>
      <c r="R549" s="138"/>
      <c r="S549" s="4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  <c r="AD549" s="138"/>
      <c r="AE549" s="138"/>
      <c r="AF549" s="138"/>
    </row>
    <row r="550">
      <c r="A550" s="209"/>
      <c r="B550" s="202"/>
      <c r="C550" s="202"/>
      <c r="D550" s="138"/>
      <c r="E550" s="138"/>
      <c r="F550" s="138"/>
      <c r="G550" s="139"/>
      <c r="H550" s="140"/>
      <c r="I550" s="140"/>
      <c r="J550" s="138"/>
      <c r="K550" s="138"/>
      <c r="L550" s="138"/>
      <c r="M550" s="138"/>
      <c r="N550" s="138"/>
      <c r="O550" s="138"/>
      <c r="P550" s="138"/>
      <c r="Q550" s="138"/>
      <c r="R550" s="138"/>
      <c r="S550" s="4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  <c r="AD550" s="138"/>
      <c r="AE550" s="138"/>
      <c r="AF550" s="138"/>
    </row>
    <row r="551">
      <c r="A551" s="209"/>
      <c r="B551" s="202"/>
      <c r="C551" s="202"/>
      <c r="D551" s="138"/>
      <c r="E551" s="138"/>
      <c r="F551" s="138"/>
      <c r="G551" s="139"/>
      <c r="H551" s="140"/>
      <c r="I551" s="140"/>
      <c r="J551" s="138"/>
      <c r="K551" s="138"/>
      <c r="L551" s="138"/>
      <c r="M551" s="138"/>
      <c r="N551" s="138"/>
      <c r="O551" s="138"/>
      <c r="P551" s="138"/>
      <c r="Q551" s="138"/>
      <c r="R551" s="138"/>
      <c r="S551" s="4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  <c r="AD551" s="138"/>
      <c r="AE551" s="138"/>
      <c r="AF551" s="138"/>
    </row>
    <row r="552">
      <c r="A552" s="209"/>
      <c r="B552" s="202"/>
      <c r="C552" s="202"/>
      <c r="D552" s="138"/>
      <c r="E552" s="138"/>
      <c r="F552" s="138"/>
      <c r="G552" s="139"/>
      <c r="H552" s="140"/>
      <c r="I552" s="140"/>
      <c r="J552" s="138"/>
      <c r="K552" s="138"/>
      <c r="L552" s="138"/>
      <c r="M552" s="138"/>
      <c r="N552" s="138"/>
      <c r="O552" s="138"/>
      <c r="P552" s="138"/>
      <c r="Q552" s="138"/>
      <c r="R552" s="138"/>
      <c r="S552" s="4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  <c r="AD552" s="138"/>
      <c r="AE552" s="138"/>
      <c r="AF552" s="138"/>
    </row>
    <row r="553">
      <c r="A553" s="209"/>
      <c r="B553" s="202"/>
      <c r="C553" s="202"/>
      <c r="D553" s="138"/>
      <c r="E553" s="138"/>
      <c r="F553" s="138"/>
      <c r="G553" s="139"/>
      <c r="H553" s="140"/>
      <c r="I553" s="140"/>
      <c r="J553" s="138"/>
      <c r="K553" s="138"/>
      <c r="L553" s="138"/>
      <c r="M553" s="138"/>
      <c r="N553" s="138"/>
      <c r="O553" s="138"/>
      <c r="P553" s="138"/>
      <c r="Q553" s="138"/>
      <c r="R553" s="138"/>
      <c r="S553" s="4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  <c r="AD553" s="138"/>
      <c r="AE553" s="138"/>
      <c r="AF553" s="138"/>
    </row>
    <row r="554">
      <c r="A554" s="209"/>
      <c r="B554" s="202"/>
      <c r="C554" s="202"/>
      <c r="D554" s="138"/>
      <c r="E554" s="138"/>
      <c r="F554" s="138"/>
      <c r="G554" s="139"/>
      <c r="H554" s="140"/>
      <c r="I554" s="140"/>
      <c r="J554" s="138"/>
      <c r="K554" s="138"/>
      <c r="L554" s="138"/>
      <c r="M554" s="138"/>
      <c r="N554" s="138"/>
      <c r="O554" s="138"/>
      <c r="P554" s="138"/>
      <c r="Q554" s="138"/>
      <c r="R554" s="138"/>
      <c r="S554" s="4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  <c r="AE554" s="138"/>
      <c r="AF554" s="138"/>
    </row>
    <row r="555">
      <c r="A555" s="209"/>
      <c r="B555" s="202"/>
      <c r="C555" s="202"/>
      <c r="D555" s="138"/>
      <c r="E555" s="138"/>
      <c r="F555" s="138"/>
      <c r="G555" s="139"/>
      <c r="H555" s="140"/>
      <c r="I555" s="140"/>
      <c r="J555" s="138"/>
      <c r="K555" s="138"/>
      <c r="L555" s="138"/>
      <c r="M555" s="138"/>
      <c r="N555" s="138"/>
      <c r="O555" s="138"/>
      <c r="P555" s="138"/>
      <c r="Q555" s="138"/>
      <c r="R555" s="138"/>
      <c r="S555" s="4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  <c r="AD555" s="138"/>
      <c r="AE555" s="138"/>
      <c r="AF555" s="138"/>
    </row>
    <row r="556">
      <c r="A556" s="209"/>
      <c r="B556" s="202"/>
      <c r="C556" s="202"/>
      <c r="D556" s="138"/>
      <c r="E556" s="138"/>
      <c r="F556" s="138"/>
      <c r="G556" s="139"/>
      <c r="H556" s="140"/>
      <c r="I556" s="140"/>
      <c r="J556" s="138"/>
      <c r="K556" s="138"/>
      <c r="L556" s="138"/>
      <c r="M556" s="138"/>
      <c r="N556" s="138"/>
      <c r="O556" s="138"/>
      <c r="P556" s="138"/>
      <c r="Q556" s="138"/>
      <c r="R556" s="138"/>
      <c r="S556" s="4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  <c r="AD556" s="138"/>
      <c r="AE556" s="138"/>
      <c r="AF556" s="138"/>
    </row>
    <row r="557">
      <c r="A557" s="209"/>
      <c r="B557" s="202"/>
      <c r="C557" s="202"/>
      <c r="D557" s="138"/>
      <c r="E557" s="138"/>
      <c r="F557" s="138"/>
      <c r="G557" s="139"/>
      <c r="H557" s="140"/>
      <c r="I557" s="140"/>
      <c r="J557" s="138"/>
      <c r="K557" s="138"/>
      <c r="L557" s="138"/>
      <c r="M557" s="138"/>
      <c r="N557" s="138"/>
      <c r="O557" s="138"/>
      <c r="P557" s="138"/>
      <c r="Q557" s="138"/>
      <c r="R557" s="138"/>
      <c r="S557" s="4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  <c r="AD557" s="138"/>
      <c r="AE557" s="138"/>
      <c r="AF557" s="138"/>
    </row>
    <row r="558">
      <c r="A558" s="209"/>
      <c r="B558" s="202"/>
      <c r="C558" s="202"/>
      <c r="D558" s="138"/>
      <c r="E558" s="138"/>
      <c r="F558" s="138"/>
      <c r="G558" s="139"/>
      <c r="H558" s="140"/>
      <c r="I558" s="140"/>
      <c r="J558" s="138"/>
      <c r="K558" s="138"/>
      <c r="L558" s="138"/>
      <c r="M558" s="138"/>
      <c r="N558" s="138"/>
      <c r="O558" s="138"/>
      <c r="P558" s="138"/>
      <c r="Q558" s="138"/>
      <c r="R558" s="138"/>
      <c r="S558" s="4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  <c r="AD558" s="138"/>
      <c r="AE558" s="138"/>
      <c r="AF558" s="138"/>
    </row>
    <row r="559">
      <c r="A559" s="209"/>
      <c r="B559" s="202"/>
      <c r="C559" s="202"/>
      <c r="D559" s="138"/>
      <c r="E559" s="138"/>
      <c r="F559" s="138"/>
      <c r="G559" s="139"/>
      <c r="H559" s="140"/>
      <c r="I559" s="140"/>
      <c r="J559" s="138"/>
      <c r="K559" s="138"/>
      <c r="L559" s="138"/>
      <c r="M559" s="138"/>
      <c r="N559" s="138"/>
      <c r="O559" s="138"/>
      <c r="P559" s="138"/>
      <c r="Q559" s="138"/>
      <c r="R559" s="138"/>
      <c r="S559" s="4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  <c r="AD559" s="138"/>
      <c r="AE559" s="138"/>
      <c r="AF559" s="138"/>
    </row>
    <row r="560">
      <c r="A560" s="209"/>
      <c r="B560" s="202"/>
      <c r="C560" s="202"/>
      <c r="D560" s="138"/>
      <c r="E560" s="138"/>
      <c r="F560" s="138"/>
      <c r="G560" s="139"/>
      <c r="H560" s="140"/>
      <c r="I560" s="140"/>
      <c r="J560" s="138"/>
      <c r="K560" s="138"/>
      <c r="L560" s="138"/>
      <c r="M560" s="138"/>
      <c r="N560" s="138"/>
      <c r="O560" s="138"/>
      <c r="P560" s="138"/>
      <c r="Q560" s="138"/>
      <c r="R560" s="138"/>
      <c r="S560" s="4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  <c r="AD560" s="138"/>
      <c r="AE560" s="138"/>
      <c r="AF560" s="138"/>
    </row>
    <row r="561">
      <c r="A561" s="209"/>
      <c r="B561" s="202"/>
      <c r="C561" s="202"/>
      <c r="D561" s="138"/>
      <c r="E561" s="138"/>
      <c r="F561" s="138"/>
      <c r="G561" s="139"/>
      <c r="H561" s="140"/>
      <c r="I561" s="140"/>
      <c r="J561" s="138"/>
      <c r="K561" s="138"/>
      <c r="L561" s="138"/>
      <c r="M561" s="138"/>
      <c r="N561" s="138"/>
      <c r="O561" s="138"/>
      <c r="P561" s="138"/>
      <c r="Q561" s="138"/>
      <c r="R561" s="138"/>
      <c r="S561" s="4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  <c r="AD561" s="138"/>
      <c r="AE561" s="138"/>
      <c r="AF561" s="138"/>
    </row>
    <row r="562">
      <c r="A562" s="209"/>
      <c r="B562" s="202"/>
      <c r="C562" s="202"/>
      <c r="D562" s="138"/>
      <c r="E562" s="138"/>
      <c r="F562" s="138"/>
      <c r="G562" s="139"/>
      <c r="H562" s="140"/>
      <c r="I562" s="140"/>
      <c r="J562" s="138"/>
      <c r="K562" s="138"/>
      <c r="L562" s="138"/>
      <c r="M562" s="138"/>
      <c r="N562" s="138"/>
      <c r="O562" s="138"/>
      <c r="P562" s="138"/>
      <c r="Q562" s="138"/>
      <c r="R562" s="138"/>
      <c r="S562" s="4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  <c r="AD562" s="138"/>
      <c r="AE562" s="138"/>
      <c r="AF562" s="138"/>
    </row>
    <row r="563">
      <c r="A563" s="209"/>
      <c r="B563" s="202"/>
      <c r="C563" s="202"/>
      <c r="D563" s="138"/>
      <c r="E563" s="138"/>
      <c r="F563" s="138"/>
      <c r="G563" s="139"/>
      <c r="H563" s="140"/>
      <c r="I563" s="140"/>
      <c r="J563" s="138"/>
      <c r="K563" s="138"/>
      <c r="L563" s="138"/>
      <c r="M563" s="138"/>
      <c r="N563" s="138"/>
      <c r="O563" s="138"/>
      <c r="P563" s="138"/>
      <c r="Q563" s="138"/>
      <c r="R563" s="138"/>
      <c r="S563" s="4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  <c r="AD563" s="138"/>
      <c r="AE563" s="138"/>
      <c r="AF563" s="138"/>
    </row>
    <row r="564">
      <c r="A564" s="209"/>
      <c r="B564" s="202"/>
      <c r="C564" s="202"/>
      <c r="D564" s="138"/>
      <c r="E564" s="138"/>
      <c r="F564" s="138"/>
      <c r="G564" s="139"/>
      <c r="H564" s="140"/>
      <c r="I564" s="140"/>
      <c r="J564" s="138"/>
      <c r="K564" s="138"/>
      <c r="L564" s="138"/>
      <c r="M564" s="138"/>
      <c r="N564" s="138"/>
      <c r="O564" s="138"/>
      <c r="P564" s="138"/>
      <c r="Q564" s="138"/>
      <c r="R564" s="138"/>
      <c r="S564" s="4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  <c r="AE564" s="138"/>
      <c r="AF564" s="138"/>
    </row>
    <row r="565">
      <c r="A565" s="209"/>
      <c r="B565" s="202"/>
      <c r="C565" s="202"/>
      <c r="D565" s="138"/>
      <c r="E565" s="138"/>
      <c r="F565" s="138"/>
      <c r="G565" s="139"/>
      <c r="H565" s="140"/>
      <c r="I565" s="140"/>
      <c r="J565" s="138"/>
      <c r="K565" s="138"/>
      <c r="L565" s="138"/>
      <c r="M565" s="138"/>
      <c r="N565" s="138"/>
      <c r="O565" s="138"/>
      <c r="P565" s="138"/>
      <c r="Q565" s="138"/>
      <c r="R565" s="138"/>
      <c r="S565" s="4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66">
      <c r="A566" s="209"/>
      <c r="B566" s="202"/>
      <c r="C566" s="202"/>
      <c r="D566" s="138"/>
      <c r="E566" s="138"/>
      <c r="F566" s="138"/>
      <c r="G566" s="139"/>
      <c r="H566" s="140"/>
      <c r="I566" s="140"/>
      <c r="J566" s="138"/>
      <c r="K566" s="138"/>
      <c r="L566" s="138"/>
      <c r="M566" s="138"/>
      <c r="N566" s="138"/>
      <c r="O566" s="138"/>
      <c r="P566" s="138"/>
      <c r="Q566" s="138"/>
      <c r="R566" s="138"/>
      <c r="S566" s="4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  <c r="AD566" s="138"/>
      <c r="AE566" s="138"/>
      <c r="AF566" s="138"/>
    </row>
    <row r="567">
      <c r="A567" s="209"/>
      <c r="B567" s="202"/>
      <c r="C567" s="202"/>
      <c r="D567" s="138"/>
      <c r="E567" s="138"/>
      <c r="F567" s="138"/>
      <c r="G567" s="139"/>
      <c r="H567" s="140"/>
      <c r="I567" s="140"/>
      <c r="J567" s="138"/>
      <c r="K567" s="138"/>
      <c r="L567" s="138"/>
      <c r="M567" s="138"/>
      <c r="N567" s="138"/>
      <c r="O567" s="138"/>
      <c r="P567" s="138"/>
      <c r="Q567" s="138"/>
      <c r="R567" s="138"/>
      <c r="S567" s="4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  <c r="AD567" s="138"/>
      <c r="AE567" s="138"/>
      <c r="AF567" s="138"/>
    </row>
    <row r="568">
      <c r="A568" s="209"/>
      <c r="B568" s="202"/>
      <c r="C568" s="202"/>
      <c r="D568" s="138"/>
      <c r="E568" s="138"/>
      <c r="F568" s="138"/>
      <c r="G568" s="139"/>
      <c r="H568" s="140"/>
      <c r="I568" s="140"/>
      <c r="J568" s="138"/>
      <c r="K568" s="138"/>
      <c r="L568" s="138"/>
      <c r="M568" s="138"/>
      <c r="N568" s="138"/>
      <c r="O568" s="138"/>
      <c r="P568" s="138"/>
      <c r="Q568" s="138"/>
      <c r="R568" s="138"/>
      <c r="S568" s="4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  <c r="AE568" s="138"/>
      <c r="AF568" s="138"/>
    </row>
    <row r="569">
      <c r="A569" s="209"/>
      <c r="B569" s="202"/>
      <c r="C569" s="202"/>
      <c r="D569" s="138"/>
      <c r="E569" s="138"/>
      <c r="F569" s="138"/>
      <c r="G569" s="139"/>
      <c r="H569" s="140"/>
      <c r="I569" s="140"/>
      <c r="J569" s="138"/>
      <c r="K569" s="138"/>
      <c r="L569" s="138"/>
      <c r="M569" s="138"/>
      <c r="N569" s="138"/>
      <c r="O569" s="138"/>
      <c r="P569" s="138"/>
      <c r="Q569" s="138"/>
      <c r="R569" s="138"/>
      <c r="S569" s="4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  <c r="AD569" s="138"/>
      <c r="AE569" s="138"/>
      <c r="AF569" s="138"/>
    </row>
    <row r="570">
      <c r="A570" s="209"/>
      <c r="B570" s="202"/>
      <c r="C570" s="202"/>
      <c r="D570" s="138"/>
      <c r="E570" s="138"/>
      <c r="F570" s="138"/>
      <c r="G570" s="139"/>
      <c r="H570" s="140"/>
      <c r="I570" s="140"/>
      <c r="J570" s="138"/>
      <c r="K570" s="138"/>
      <c r="L570" s="138"/>
      <c r="M570" s="138"/>
      <c r="N570" s="138"/>
      <c r="O570" s="138"/>
      <c r="P570" s="138"/>
      <c r="Q570" s="138"/>
      <c r="R570" s="138"/>
      <c r="S570" s="4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  <c r="AD570" s="138"/>
      <c r="AE570" s="138"/>
      <c r="AF570" s="138"/>
    </row>
    <row r="571">
      <c r="A571" s="209"/>
      <c r="B571" s="202"/>
      <c r="C571" s="202"/>
      <c r="D571" s="138"/>
      <c r="E571" s="138"/>
      <c r="F571" s="138"/>
      <c r="G571" s="139"/>
      <c r="H571" s="140"/>
      <c r="I571" s="140"/>
      <c r="J571" s="138"/>
      <c r="K571" s="138"/>
      <c r="L571" s="138"/>
      <c r="M571" s="138"/>
      <c r="N571" s="138"/>
      <c r="O571" s="138"/>
      <c r="P571" s="138"/>
      <c r="Q571" s="138"/>
      <c r="R571" s="138"/>
      <c r="S571" s="4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  <c r="AD571" s="138"/>
      <c r="AE571" s="138"/>
      <c r="AF571" s="138"/>
    </row>
    <row r="572">
      <c r="A572" s="209"/>
      <c r="B572" s="202"/>
      <c r="C572" s="202"/>
      <c r="D572" s="138"/>
      <c r="E572" s="138"/>
      <c r="F572" s="138"/>
      <c r="G572" s="139"/>
      <c r="H572" s="140"/>
      <c r="I572" s="140"/>
      <c r="J572" s="138"/>
      <c r="K572" s="138"/>
      <c r="L572" s="138"/>
      <c r="M572" s="138"/>
      <c r="N572" s="138"/>
      <c r="O572" s="138"/>
      <c r="P572" s="138"/>
      <c r="Q572" s="138"/>
      <c r="R572" s="138"/>
      <c r="S572" s="4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  <c r="AD572" s="138"/>
      <c r="AE572" s="138"/>
      <c r="AF572" s="138"/>
    </row>
    <row r="573">
      <c r="A573" s="209"/>
      <c r="B573" s="202"/>
      <c r="C573" s="202"/>
      <c r="D573" s="138"/>
      <c r="E573" s="138"/>
      <c r="F573" s="138"/>
      <c r="G573" s="139"/>
      <c r="H573" s="140"/>
      <c r="I573" s="140"/>
      <c r="J573" s="138"/>
      <c r="K573" s="138"/>
      <c r="L573" s="138"/>
      <c r="M573" s="138"/>
      <c r="N573" s="138"/>
      <c r="O573" s="138"/>
      <c r="P573" s="138"/>
      <c r="Q573" s="138"/>
      <c r="R573" s="138"/>
      <c r="S573" s="4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  <c r="AD573" s="138"/>
      <c r="AE573" s="138"/>
      <c r="AF573" s="138"/>
    </row>
    <row r="574">
      <c r="A574" s="209"/>
      <c r="B574" s="202"/>
      <c r="C574" s="202"/>
      <c r="D574" s="138"/>
      <c r="E574" s="138"/>
      <c r="F574" s="138"/>
      <c r="G574" s="139"/>
      <c r="H574" s="140"/>
      <c r="I574" s="140"/>
      <c r="J574" s="138"/>
      <c r="K574" s="138"/>
      <c r="L574" s="138"/>
      <c r="M574" s="138"/>
      <c r="N574" s="138"/>
      <c r="O574" s="138"/>
      <c r="P574" s="138"/>
      <c r="Q574" s="138"/>
      <c r="R574" s="138"/>
      <c r="S574" s="4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  <c r="AD574" s="138"/>
      <c r="AE574" s="138"/>
      <c r="AF574" s="138"/>
    </row>
    <row r="575">
      <c r="A575" s="209"/>
      <c r="B575" s="202"/>
      <c r="C575" s="202"/>
      <c r="D575" s="138"/>
      <c r="E575" s="138"/>
      <c r="F575" s="138"/>
      <c r="G575" s="139"/>
      <c r="H575" s="140"/>
      <c r="I575" s="140"/>
      <c r="J575" s="138"/>
      <c r="K575" s="138"/>
      <c r="L575" s="138"/>
      <c r="M575" s="138"/>
      <c r="N575" s="138"/>
      <c r="O575" s="138"/>
      <c r="P575" s="138"/>
      <c r="Q575" s="138"/>
      <c r="R575" s="138"/>
      <c r="S575" s="4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  <c r="AD575" s="138"/>
      <c r="AE575" s="138"/>
      <c r="AF575" s="138"/>
    </row>
    <row r="576">
      <c r="A576" s="209"/>
      <c r="B576" s="202"/>
      <c r="C576" s="202"/>
      <c r="D576" s="138"/>
      <c r="E576" s="138"/>
      <c r="F576" s="138"/>
      <c r="G576" s="139"/>
      <c r="H576" s="140"/>
      <c r="I576" s="140"/>
      <c r="J576" s="138"/>
      <c r="K576" s="138"/>
      <c r="L576" s="138"/>
      <c r="M576" s="138"/>
      <c r="N576" s="138"/>
      <c r="O576" s="138"/>
      <c r="P576" s="138"/>
      <c r="Q576" s="138"/>
      <c r="R576" s="138"/>
      <c r="S576" s="4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  <c r="AD576" s="138"/>
      <c r="AE576" s="138"/>
      <c r="AF576" s="138"/>
    </row>
    <row r="577">
      <c r="A577" s="209"/>
      <c r="B577" s="202"/>
      <c r="C577" s="202"/>
      <c r="D577" s="138"/>
      <c r="E577" s="138"/>
      <c r="F577" s="138"/>
      <c r="G577" s="139"/>
      <c r="H577" s="140"/>
      <c r="I577" s="140"/>
      <c r="J577" s="138"/>
      <c r="K577" s="138"/>
      <c r="L577" s="138"/>
      <c r="M577" s="138"/>
      <c r="N577" s="138"/>
      <c r="O577" s="138"/>
      <c r="P577" s="138"/>
      <c r="Q577" s="138"/>
      <c r="R577" s="138"/>
      <c r="S577" s="4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  <c r="AD577" s="138"/>
      <c r="AE577" s="138"/>
      <c r="AF577" s="138"/>
    </row>
    <row r="578">
      <c r="A578" s="209"/>
      <c r="B578" s="202"/>
      <c r="C578" s="202"/>
      <c r="D578" s="138"/>
      <c r="E578" s="138"/>
      <c r="F578" s="138"/>
      <c r="G578" s="139"/>
      <c r="H578" s="140"/>
      <c r="I578" s="140"/>
      <c r="J578" s="138"/>
      <c r="K578" s="138"/>
      <c r="L578" s="138"/>
      <c r="M578" s="138"/>
      <c r="N578" s="138"/>
      <c r="O578" s="138"/>
      <c r="P578" s="138"/>
      <c r="Q578" s="138"/>
      <c r="R578" s="138"/>
      <c r="S578" s="4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  <c r="AD578" s="138"/>
      <c r="AE578" s="138"/>
      <c r="AF578" s="138"/>
    </row>
    <row r="579">
      <c r="A579" s="209"/>
      <c r="B579" s="202"/>
      <c r="C579" s="202"/>
      <c r="D579" s="138"/>
      <c r="E579" s="138"/>
      <c r="F579" s="138"/>
      <c r="G579" s="139"/>
      <c r="H579" s="140"/>
      <c r="I579" s="140"/>
      <c r="J579" s="138"/>
      <c r="K579" s="138"/>
      <c r="L579" s="138"/>
      <c r="M579" s="138"/>
      <c r="N579" s="138"/>
      <c r="O579" s="138"/>
      <c r="P579" s="138"/>
      <c r="Q579" s="138"/>
      <c r="R579" s="138"/>
      <c r="S579" s="4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  <c r="AD579" s="138"/>
      <c r="AE579" s="138"/>
      <c r="AF579" s="138"/>
    </row>
    <row r="580">
      <c r="A580" s="209"/>
      <c r="B580" s="202"/>
      <c r="C580" s="202"/>
      <c r="D580" s="138"/>
      <c r="E580" s="138"/>
      <c r="F580" s="138"/>
      <c r="G580" s="139"/>
      <c r="H580" s="140"/>
      <c r="I580" s="140"/>
      <c r="J580" s="138"/>
      <c r="K580" s="138"/>
      <c r="L580" s="138"/>
      <c r="M580" s="138"/>
      <c r="N580" s="138"/>
      <c r="O580" s="138"/>
      <c r="P580" s="138"/>
      <c r="Q580" s="138"/>
      <c r="R580" s="138"/>
      <c r="S580" s="4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  <c r="AD580" s="138"/>
      <c r="AE580" s="138"/>
      <c r="AF580" s="138"/>
    </row>
    <row r="581">
      <c r="A581" s="209"/>
      <c r="B581" s="202"/>
      <c r="C581" s="202"/>
      <c r="D581" s="138"/>
      <c r="E581" s="138"/>
      <c r="F581" s="138"/>
      <c r="G581" s="139"/>
      <c r="H581" s="140"/>
      <c r="I581" s="140"/>
      <c r="J581" s="138"/>
      <c r="K581" s="138"/>
      <c r="L581" s="138"/>
      <c r="M581" s="138"/>
      <c r="N581" s="138"/>
      <c r="O581" s="138"/>
      <c r="P581" s="138"/>
      <c r="Q581" s="138"/>
      <c r="R581" s="138"/>
      <c r="S581" s="4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  <c r="AE581" s="138"/>
      <c r="AF581" s="138"/>
    </row>
    <row r="582">
      <c r="A582" s="209"/>
      <c r="B582" s="202"/>
      <c r="C582" s="202"/>
      <c r="D582" s="138"/>
      <c r="E582" s="138"/>
      <c r="F582" s="138"/>
      <c r="G582" s="139"/>
      <c r="H582" s="140"/>
      <c r="I582" s="140"/>
      <c r="J582" s="138"/>
      <c r="K582" s="138"/>
      <c r="L582" s="138"/>
      <c r="M582" s="138"/>
      <c r="N582" s="138"/>
      <c r="O582" s="138"/>
      <c r="P582" s="138"/>
      <c r="Q582" s="138"/>
      <c r="R582" s="138"/>
      <c r="S582" s="4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  <c r="AD582" s="138"/>
      <c r="AE582" s="138"/>
      <c r="AF582" s="138"/>
    </row>
    <row r="583">
      <c r="A583" s="209"/>
      <c r="B583" s="202"/>
      <c r="C583" s="202"/>
      <c r="D583" s="138"/>
      <c r="E583" s="138"/>
      <c r="F583" s="138"/>
      <c r="G583" s="139"/>
      <c r="H583" s="140"/>
      <c r="I583" s="140"/>
      <c r="J583" s="138"/>
      <c r="K583" s="138"/>
      <c r="L583" s="138"/>
      <c r="M583" s="138"/>
      <c r="N583" s="138"/>
      <c r="O583" s="138"/>
      <c r="P583" s="138"/>
      <c r="Q583" s="138"/>
      <c r="R583" s="138"/>
      <c r="S583" s="4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  <c r="AE583" s="138"/>
      <c r="AF583" s="138"/>
    </row>
    <row r="584">
      <c r="A584" s="209"/>
      <c r="B584" s="202"/>
      <c r="C584" s="202"/>
      <c r="D584" s="138"/>
      <c r="E584" s="138"/>
      <c r="F584" s="138"/>
      <c r="G584" s="139"/>
      <c r="H584" s="140"/>
      <c r="I584" s="140"/>
      <c r="J584" s="138"/>
      <c r="K584" s="138"/>
      <c r="L584" s="138"/>
      <c r="M584" s="138"/>
      <c r="N584" s="138"/>
      <c r="O584" s="138"/>
      <c r="P584" s="138"/>
      <c r="Q584" s="138"/>
      <c r="R584" s="138"/>
      <c r="S584" s="4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  <c r="AD584" s="138"/>
      <c r="AE584" s="138"/>
      <c r="AF584" s="138"/>
    </row>
    <row r="585">
      <c r="A585" s="209"/>
      <c r="B585" s="202"/>
      <c r="C585" s="202"/>
      <c r="D585" s="138"/>
      <c r="E585" s="138"/>
      <c r="F585" s="138"/>
      <c r="G585" s="139"/>
      <c r="H585" s="140"/>
      <c r="I585" s="140"/>
      <c r="J585" s="138"/>
      <c r="K585" s="138"/>
      <c r="L585" s="138"/>
      <c r="M585" s="138"/>
      <c r="N585" s="138"/>
      <c r="O585" s="138"/>
      <c r="P585" s="138"/>
      <c r="Q585" s="138"/>
      <c r="R585" s="138"/>
      <c r="S585" s="4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  <c r="AD585" s="138"/>
      <c r="AE585" s="138"/>
      <c r="AF585" s="138"/>
    </row>
    <row r="586">
      <c r="A586" s="209"/>
      <c r="B586" s="202"/>
      <c r="C586" s="202"/>
      <c r="D586" s="138"/>
      <c r="E586" s="138"/>
      <c r="F586" s="138"/>
      <c r="G586" s="139"/>
      <c r="H586" s="140"/>
      <c r="I586" s="140"/>
      <c r="J586" s="138"/>
      <c r="K586" s="138"/>
      <c r="L586" s="138"/>
      <c r="M586" s="138"/>
      <c r="N586" s="138"/>
      <c r="O586" s="138"/>
      <c r="P586" s="138"/>
      <c r="Q586" s="138"/>
      <c r="R586" s="138"/>
      <c r="S586" s="4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  <c r="AE586" s="138"/>
      <c r="AF586" s="138"/>
    </row>
    <row r="587">
      <c r="A587" s="209"/>
      <c r="B587" s="202"/>
      <c r="C587" s="202"/>
      <c r="D587" s="138"/>
      <c r="E587" s="138"/>
      <c r="F587" s="138"/>
      <c r="G587" s="139"/>
      <c r="H587" s="140"/>
      <c r="I587" s="140"/>
      <c r="J587" s="138"/>
      <c r="K587" s="138"/>
      <c r="L587" s="138"/>
      <c r="M587" s="138"/>
      <c r="N587" s="138"/>
      <c r="O587" s="138"/>
      <c r="P587" s="138"/>
      <c r="Q587" s="138"/>
      <c r="R587" s="138"/>
      <c r="S587" s="4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  <c r="AD587" s="138"/>
      <c r="AE587" s="138"/>
      <c r="AF587" s="138"/>
    </row>
    <row r="588">
      <c r="A588" s="209"/>
      <c r="B588" s="202"/>
      <c r="C588" s="202"/>
      <c r="D588" s="138"/>
      <c r="E588" s="138"/>
      <c r="F588" s="138"/>
      <c r="G588" s="139"/>
      <c r="H588" s="140"/>
      <c r="I588" s="140"/>
      <c r="J588" s="138"/>
      <c r="K588" s="138"/>
      <c r="L588" s="138"/>
      <c r="M588" s="138"/>
      <c r="N588" s="138"/>
      <c r="O588" s="138"/>
      <c r="P588" s="138"/>
      <c r="Q588" s="138"/>
      <c r="R588" s="138"/>
      <c r="S588" s="4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  <c r="AD588" s="138"/>
      <c r="AE588" s="138"/>
      <c r="AF588" s="138"/>
    </row>
  </sheetData>
  <conditionalFormatting sqref="D14">
    <cfRule type="colorScale" priority="1">
      <colorScale>
        <cfvo type="min"/>
        <cfvo type="max"/>
        <color rgb="FFFFFFFF"/>
        <color rgb="FF57BB8A"/>
      </colorScale>
    </cfRule>
  </conditionalFormatting>
  <conditionalFormatting sqref="C1:C588">
    <cfRule type="cellIs" dxfId="5" priority="2" operator="equal">
      <formula>"sold"</formula>
    </cfRule>
  </conditionalFormatting>
  <conditionalFormatting sqref="C1:C588">
    <cfRule type="cellIs" dxfId="6" priority="3" operator="equal">
      <formula>"available"</formula>
    </cfRule>
  </conditionalFormatting>
  <conditionalFormatting sqref="C1:C588">
    <cfRule type="cellIs" dxfId="7" priority="4" operator="equal">
      <formula>"pending deal"</formula>
    </cfRule>
  </conditionalFormatting>
  <conditionalFormatting sqref="C1:C588">
    <cfRule type="cellIs" dxfId="8" priority="5" operator="equal">
      <formula>"needs details"</formula>
    </cfRule>
  </conditionalFormatting>
  <dataValidations>
    <dataValidation type="list" allowBlank="1" sqref="P359">
      <formula1>"ACTIVE,ADEYEYE,AFRIKA,ANNIE,ANOINTED WEALTH,AYANFE,BAHMS,BARRY,BAYESH,BIG INVESTOR,BIGMO,BLESSING SOLOMON,CH4,CH4 REP,CLARK GADGETS,CLEARIES GASGETS,CSGV,CUSTOMER,DAH UNIQUE,DAMBOX,DAPPER,DARQUIZ,DARQUIZ PROMOTIONS,DEMEX,DEMIGLOBAL MULTISERVICE,DENIS4WARD"&amp;",DON,DRAKE DEMO,DREY,EAZI GADGETS,EMM GUY,EMMEX,ENGINEER JOHN,ESTEEM GADGETS STORE AND MORE,FILMS JESSE,FIRSTCLASS FURNITURE,FOLAKEMI,FORMULA,GLORY BOMA,GNF,HALLAND APH'25,HANSPHEEZY,HAYOR GADGET,HOLLAH GADGET,HONEYTEE,HORJOR,IA GADGET,IFEM GADGETS,IGEE,I"&amp;"MISIOLUWA,IPRO GADGET,ISAIAH BIKEMAN,JAGO DC,JAMEX,JENROLA OZ,JONAH,KAYWISE,KEKULE,KUDA GADGET,KUNLEX COMMUNICATION,MARVITECH,MARVY FCG,MARVY T.M,MASTERY MOBILE,MBENZ,MC GADGETS,MD GADGS,MILLY,MOBILE TRENDS,MOLYM VENTURES,MULLAR GADGET,MZEE,NUMBER TELLOS,"&amp;"NURUDEEN,OLABTC,OLAJIRE,OLALEKAN AWOGBOLA,OLAMIDE,OLAOLUWA,OLA_BTC,OMONLA BUGATTI,OSAMA,OZ GADGET,PANKYGEE,PAPPY TECH,PHLEMZY,POSI,PRINZE GADGETS,PROTECH GADGET,QAFFIF,RAYMOND,RICHIE APPLE ID,SALVAGE YARD,SAMMY CONCEPT,SAMTOP GADGETS,SEGUN DISPATCH,SEMILO"&amp;"RE,SEVILEN AUTOS,SEYIFUNMI,SHARK,SPENZER,SPILOIT,STAR BUSSY,STARBOX,TECH BOX,TECH JAR,TEE BEST GADGET,TEST,TETE GADGET,VERTEX,WIZZY,XPIFF,YUPPIE GADGETS,ZADDY ROLLAND,ZEE,ZINO,ZINTO"</formula1>
    </dataValidation>
    <dataValidation type="list" allowBlank="1" sqref="P402">
      <formula1>"ACTIVE,ADEYEYE,AFRIKA,ANNIE,ANOINTED WEALTH,AYANFE,BAHMS,BARRY,BAYESH,BIG INVESTOR,BIGMO,BLESSING SOLOMON,CH4,CH4 REP,CLARK GADGETS,CLEARIES GASGETS,CSGV,CUSTOMER,DAH UNIQUE,DAMBOX,DAPPER,DARQUIZ,DARQUIZ PROMOTIONS,DEMEX,DEMIGLOBAL MULTISERVICE,DENIS4WARD"&amp;",DON,DREY,EAZI GADGETS,EMM GUY,EMMEX,ENGINEER JOHN,ESTEEM GADGETS STORE AND MORE,FILMS JESSE,FOLAKEMI,FORMULA,GLORY BOMA,GNF,HANSPHEEZY,HAYOR GADGET,HOLLAH GADGET,HONEYTEE,HORJOR,IA GADGET,IFEM GADGETS,IGEE,IMISIOLUWA,IPRO GADGET,ISAIAH BIKEMAN,JAGO DC,JA"&amp;"MEX,JENROLA OZ,JONAH,KAYWISE,KEKULE,KUDA GADGET,KUNLEX COMMUNICATION,MARVITECH,MARVY FCG,MARVY T.M,MBENZ,MC GADGETS,MD GADGS,MILLY,MOBILE TRENDS,MULLAR GADGET,MZEE,NUMBER TELLOS,NURUDEEN,OLABTC,OLAJIRE,OLALEKAN AWOGBOLA,OLAMIDE,OLAOLUWA,OLA_BTC,OMONLA BUG"&amp;"ATTI,OSAMA,OZ GADGET,PANKYGEE,PAPPY TECH,PHLEMZY,POSI,PRINZE GADGETS,PROTECH GADGET,QAFFIF,RAYMOND,RICHIE APPLE ID,SALVAGE YARD,SAMMY CONCEPT,SAMTOP GADGETS,SEGUN DISPATCH,SEVILEN AUTOS,SEYIFUNMI,SHARK,SPILOIT,STAR BUSSY,STARBOX,TECH BOX,TECH JAR,TEE BEST"&amp;" GADGET,TEST,TETE GADGET,VERTEX,WIZZY,XPIFF,YUPPIE GADGETS,ZADDY ROLLAND,ZEE,ZINO,ZINTO"</formula1>
    </dataValidation>
    <dataValidation type="custom" allowBlank="1" showDropDown="1" sqref="S4:S100">
      <formula1>AND(ISNUMBER(S4),(NOT(OR(NOT(ISERROR(DATEVALUE(S4))), AND(ISNUMBER(S4), LEFT(CELL("format", S4))="D")))))</formula1>
    </dataValidation>
    <dataValidation allowBlank="1" showDropDown="1" sqref="A4:A100 D4:G100 J4:N100 Q4:R100"/>
  </dataValidations>
  <drawing r:id="rId1"/>
  <tableParts count="1">
    <tablePart r:id="rId3"/>
  </tableParts>
</worksheet>
</file>